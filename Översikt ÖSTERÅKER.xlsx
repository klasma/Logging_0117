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45963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45963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45963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45963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45963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45963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45963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54703-2024</t>
        </is>
      </c>
      <c r="B9" s="1" t="n">
        <v>45618</v>
      </c>
      <c r="C9" s="1" t="n">
        <v>45963</v>
      </c>
      <c r="D9" t="inlineStr">
        <is>
          <t>STOCKHOLMS LÄN</t>
        </is>
      </c>
      <c r="E9" t="inlineStr">
        <is>
          <t>ÖSTERÅKER</t>
        </is>
      </c>
      <c r="G9" t="n">
        <v>7.7</v>
      </c>
      <c r="H9" t="n">
        <v>1</v>
      </c>
      <c r="I9" t="n">
        <v>0</v>
      </c>
      <c r="J9" t="n">
        <v>2</v>
      </c>
      <c r="K9" t="n">
        <v>0</v>
      </c>
      <c r="L9" t="n">
        <v>0</v>
      </c>
      <c r="M9" t="n">
        <v>0</v>
      </c>
      <c r="N9" t="n">
        <v>0</v>
      </c>
      <c r="O9" t="n">
        <v>2</v>
      </c>
      <c r="P9" t="n">
        <v>0</v>
      </c>
      <c r="Q9" t="n">
        <v>2</v>
      </c>
      <c r="R9" s="2" t="inlineStr">
        <is>
          <t>Spillkråka
Tallticka</t>
        </is>
      </c>
      <c r="S9">
        <f>HYPERLINK("https://klasma.github.io/Logging_0117/artfynd/A 54703-2024 artfynd.xlsx", "A 54703-2024")</f>
        <v/>
      </c>
      <c r="T9">
        <f>HYPERLINK("https://klasma.github.io/Logging_0117/kartor/A 54703-2024 karta.png", "A 54703-2024")</f>
        <v/>
      </c>
      <c r="V9">
        <f>HYPERLINK("https://klasma.github.io/Logging_0117/klagomål/A 54703-2024 FSC-klagomål.docx", "A 54703-2024")</f>
        <v/>
      </c>
      <c r="W9">
        <f>HYPERLINK("https://klasma.github.io/Logging_0117/klagomålsmail/A 54703-2024 FSC-klagomål mail.docx", "A 54703-2024")</f>
        <v/>
      </c>
      <c r="X9">
        <f>HYPERLINK("https://klasma.github.io/Logging_0117/tillsyn/A 54703-2024 tillsynsbegäran.docx", "A 54703-2024")</f>
        <v/>
      </c>
      <c r="Y9">
        <f>HYPERLINK("https://klasma.github.io/Logging_0117/tillsynsmail/A 54703-2024 tillsynsbegäran mail.docx", "A 54703-2024")</f>
        <v/>
      </c>
      <c r="Z9">
        <f>HYPERLINK("https://klasma.github.io/Logging_0117/fåglar/A 54703-2024 prioriterade fågelarter.docx", "A 54703-2024")</f>
        <v/>
      </c>
    </row>
    <row r="10" ht="15" customHeight="1">
      <c r="A10" t="inlineStr">
        <is>
          <t>A 61275-2021</t>
        </is>
      </c>
      <c r="B10" s="1" t="n">
        <v>44498</v>
      </c>
      <c r="C10" s="1" t="n">
        <v>45963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43308-2024</t>
        </is>
      </c>
      <c r="B11" s="1" t="n">
        <v>45568</v>
      </c>
      <c r="C11" s="1" t="n">
        <v>45963</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45963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45963</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61363-2022</t>
        </is>
      </c>
      <c r="B14" s="1" t="n">
        <v>44915</v>
      </c>
      <c r="C14" s="1" t="n">
        <v>45963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34721-2025</t>
        </is>
      </c>
      <c r="B15" s="1" t="n">
        <v>45848</v>
      </c>
      <c r="C15" s="1" t="n">
        <v>45963</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45963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45963</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45963</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45963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27921-2025</t>
        </is>
      </c>
      <c r="B20" s="1" t="n">
        <v>45817.4846875</v>
      </c>
      <c r="C20" s="1" t="n">
        <v>45963</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45963</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45963</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848-2022</t>
        </is>
      </c>
      <c r="B23" s="1" t="n">
        <v>44569</v>
      </c>
      <c r="C23" s="1" t="n">
        <v>45963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45963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45963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45963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45963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45963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45963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45963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45963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45963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45963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45963</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45963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45963</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45963</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45963</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45963</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45963</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45963</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45963</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39394-2023</t>
        </is>
      </c>
      <c r="B43" s="1" t="n">
        <v>45166</v>
      </c>
      <c r="C43" s="1" t="n">
        <v>45963</v>
      </c>
      <c r="D43" t="inlineStr">
        <is>
          <t>STOCKHOLMS LÄN</t>
        </is>
      </c>
      <c r="E43" t="inlineStr">
        <is>
          <t>ÖSTERÅKER</t>
        </is>
      </c>
      <c r="G43" t="n">
        <v>0.4</v>
      </c>
      <c r="H43" t="n">
        <v>0</v>
      </c>
      <c r="I43" t="n">
        <v>0</v>
      </c>
      <c r="J43" t="n">
        <v>0</v>
      </c>
      <c r="K43" t="n">
        <v>0</v>
      </c>
      <c r="L43" t="n">
        <v>0</v>
      </c>
      <c r="M43" t="n">
        <v>0</v>
      </c>
      <c r="N43" t="n">
        <v>0</v>
      </c>
      <c r="O43" t="n">
        <v>0</v>
      </c>
      <c r="P43" t="n">
        <v>0</v>
      </c>
      <c r="Q43" t="n">
        <v>0</v>
      </c>
      <c r="R43" s="2" t="inlineStr"/>
    </row>
    <row r="44" ht="15" customHeight="1">
      <c r="A44" t="inlineStr">
        <is>
          <t>A 17196-2022</t>
        </is>
      </c>
      <c r="B44" s="1" t="n">
        <v>44677</v>
      </c>
      <c r="C44" s="1" t="n">
        <v>45963</v>
      </c>
      <c r="D44" t="inlineStr">
        <is>
          <t>STOCKHOLMS LÄN</t>
        </is>
      </c>
      <c r="E44" t="inlineStr">
        <is>
          <t>ÖSTERÅKER</t>
        </is>
      </c>
      <c r="G44" t="n">
        <v>5.9</v>
      </c>
      <c r="H44" t="n">
        <v>0</v>
      </c>
      <c r="I44" t="n">
        <v>0</v>
      </c>
      <c r="J44" t="n">
        <v>0</v>
      </c>
      <c r="K44" t="n">
        <v>0</v>
      </c>
      <c r="L44" t="n">
        <v>0</v>
      </c>
      <c r="M44" t="n">
        <v>0</v>
      </c>
      <c r="N44" t="n">
        <v>0</v>
      </c>
      <c r="O44" t="n">
        <v>0</v>
      </c>
      <c r="P44" t="n">
        <v>0</v>
      </c>
      <c r="Q44" t="n">
        <v>0</v>
      </c>
      <c r="R44" s="2" t="inlineStr"/>
    </row>
    <row r="45" ht="15" customHeight="1">
      <c r="A45" t="inlineStr">
        <is>
          <t>A 16803-2022</t>
        </is>
      </c>
      <c r="B45" s="1" t="n">
        <v>44673</v>
      </c>
      <c r="C45" s="1" t="n">
        <v>45963</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470-2022</t>
        </is>
      </c>
      <c r="B46" s="1" t="n">
        <v>44565</v>
      </c>
      <c r="C46" s="1" t="n">
        <v>45963</v>
      </c>
      <c r="D46" t="inlineStr">
        <is>
          <t>STOCKHOLMS LÄN</t>
        </is>
      </c>
      <c r="E46" t="inlineStr">
        <is>
          <t>ÖSTERÅKER</t>
        </is>
      </c>
      <c r="F46" t="inlineStr">
        <is>
          <t>Övriga Aktiebolag</t>
        </is>
      </c>
      <c r="G46" t="n">
        <v>4.6</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45963</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45963</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3917-2023</t>
        </is>
      </c>
      <c r="B49" s="1" t="n">
        <v>44952</v>
      </c>
      <c r="C49" s="1" t="n">
        <v>45963</v>
      </c>
      <c r="D49" t="inlineStr">
        <is>
          <t>STOCKHOLMS LÄN</t>
        </is>
      </c>
      <c r="E49" t="inlineStr">
        <is>
          <t>ÖSTERÅKER</t>
        </is>
      </c>
      <c r="F49" t="inlineStr">
        <is>
          <t>Kommuner</t>
        </is>
      </c>
      <c r="G49" t="n">
        <v>2.8</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45963</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62108-2022</t>
        </is>
      </c>
      <c r="B51" s="1" t="n">
        <v>44920</v>
      </c>
      <c r="C51" s="1" t="n">
        <v>45963</v>
      </c>
      <c r="D51" t="inlineStr">
        <is>
          <t>STOCKHOLMS LÄN</t>
        </is>
      </c>
      <c r="E51" t="inlineStr">
        <is>
          <t>ÖSTERÅKER</t>
        </is>
      </c>
      <c r="G51" t="n">
        <v>1.5</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45963</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23144-2024</t>
        </is>
      </c>
      <c r="B53" s="1" t="n">
        <v>45450.63202546296</v>
      </c>
      <c r="C53" s="1" t="n">
        <v>45963</v>
      </c>
      <c r="D53" t="inlineStr">
        <is>
          <t>STOCKHOLMS LÄN</t>
        </is>
      </c>
      <c r="E53" t="inlineStr">
        <is>
          <t>ÖSTERÅKER</t>
        </is>
      </c>
      <c r="F53" t="inlineStr">
        <is>
          <t>Övriga Aktiebolag</t>
        </is>
      </c>
      <c r="G53" t="n">
        <v>4.7</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45963</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45963</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19404-2024</t>
        </is>
      </c>
      <c r="B56" s="1" t="n">
        <v>45428</v>
      </c>
      <c r="C56" s="1" t="n">
        <v>45963</v>
      </c>
      <c r="D56" t="inlineStr">
        <is>
          <t>STOCKHOLMS LÄN</t>
        </is>
      </c>
      <c r="E56" t="inlineStr">
        <is>
          <t>ÖSTERÅKER</t>
        </is>
      </c>
      <c r="F56" t="inlineStr">
        <is>
          <t>Övriga Aktiebolag</t>
        </is>
      </c>
      <c r="G56" t="n">
        <v>2.2</v>
      </c>
      <c r="H56" t="n">
        <v>0</v>
      </c>
      <c r="I56" t="n">
        <v>0</v>
      </c>
      <c r="J56" t="n">
        <v>0</v>
      </c>
      <c r="K56" t="n">
        <v>0</v>
      </c>
      <c r="L56" t="n">
        <v>0</v>
      </c>
      <c r="M56" t="n">
        <v>0</v>
      </c>
      <c r="N56" t="n">
        <v>0</v>
      </c>
      <c r="O56" t="n">
        <v>0</v>
      </c>
      <c r="P56" t="n">
        <v>0</v>
      </c>
      <c r="Q56" t="n">
        <v>0</v>
      </c>
      <c r="R56" s="2" t="inlineStr"/>
    </row>
    <row r="57" ht="15" customHeight="1">
      <c r="A57" t="inlineStr">
        <is>
          <t>A 6655-2023</t>
        </is>
      </c>
      <c r="B57" s="1" t="n">
        <v>44966.60668981481</v>
      </c>
      <c r="C57" s="1" t="n">
        <v>45963</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45963</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21796-2025</t>
        </is>
      </c>
      <c r="B59" s="1" t="n">
        <v>45783.68135416666</v>
      </c>
      <c r="C59" s="1" t="n">
        <v>45963</v>
      </c>
      <c r="D59" t="inlineStr">
        <is>
          <t>STOCKHOLMS LÄN</t>
        </is>
      </c>
      <c r="E59" t="inlineStr">
        <is>
          <t>ÖSTERÅKER</t>
        </is>
      </c>
      <c r="G59" t="n">
        <v>2.5</v>
      </c>
      <c r="H59" t="n">
        <v>0</v>
      </c>
      <c r="I59" t="n">
        <v>0</v>
      </c>
      <c r="J59" t="n">
        <v>0</v>
      </c>
      <c r="K59" t="n">
        <v>0</v>
      </c>
      <c r="L59" t="n">
        <v>0</v>
      </c>
      <c r="M59" t="n">
        <v>0</v>
      </c>
      <c r="N59" t="n">
        <v>0</v>
      </c>
      <c r="O59" t="n">
        <v>0</v>
      </c>
      <c r="P59" t="n">
        <v>0</v>
      </c>
      <c r="Q59" t="n">
        <v>0</v>
      </c>
      <c r="R59" s="2" t="inlineStr"/>
    </row>
    <row r="60" ht="15" customHeight="1">
      <c r="A60" t="inlineStr">
        <is>
          <t>A 21786-2025</t>
        </is>
      </c>
      <c r="B60" s="1" t="n">
        <v>45783.67215277778</v>
      </c>
      <c r="C60" s="1" t="n">
        <v>45963</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45963</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9865-2025</t>
        </is>
      </c>
      <c r="B62" s="1" t="n">
        <v>45716</v>
      </c>
      <c r="C62" s="1" t="n">
        <v>45963</v>
      </c>
      <c r="D62" t="inlineStr">
        <is>
          <t>STOCKHOLMS LÄN</t>
        </is>
      </c>
      <c r="E62" t="inlineStr">
        <is>
          <t>ÖSTERÅKER</t>
        </is>
      </c>
      <c r="G62" t="n">
        <v>7</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45963</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18091-2022</t>
        </is>
      </c>
      <c r="B64" s="1" t="n">
        <v>44684</v>
      </c>
      <c r="C64" s="1" t="n">
        <v>45963</v>
      </c>
      <c r="D64" t="inlineStr">
        <is>
          <t>STOCKHOLMS LÄN</t>
        </is>
      </c>
      <c r="E64" t="inlineStr">
        <is>
          <t>ÖSTERÅKER</t>
        </is>
      </c>
      <c r="G64" t="n">
        <v>6.1</v>
      </c>
      <c r="H64" t="n">
        <v>0</v>
      </c>
      <c r="I64" t="n">
        <v>0</v>
      </c>
      <c r="J64" t="n">
        <v>0</v>
      </c>
      <c r="K64" t="n">
        <v>0</v>
      </c>
      <c r="L64" t="n">
        <v>0</v>
      </c>
      <c r="M64" t="n">
        <v>0</v>
      </c>
      <c r="N64" t="n">
        <v>0</v>
      </c>
      <c r="O64" t="n">
        <v>0</v>
      </c>
      <c r="P64" t="n">
        <v>0</v>
      </c>
      <c r="Q64" t="n">
        <v>0</v>
      </c>
      <c r="R64" s="2" t="inlineStr"/>
    </row>
    <row r="65" ht="15" customHeight="1">
      <c r="A65" t="inlineStr">
        <is>
          <t>A 30949-2024</t>
        </is>
      </c>
      <c r="B65" s="1" t="n">
        <v>45499</v>
      </c>
      <c r="C65" s="1" t="n">
        <v>45963</v>
      </c>
      <c r="D65" t="inlineStr">
        <is>
          <t>STOCKHOLMS LÄN</t>
        </is>
      </c>
      <c r="E65" t="inlineStr">
        <is>
          <t>ÖSTERÅKER</t>
        </is>
      </c>
      <c r="F65" t="inlineStr">
        <is>
          <t>Övriga Aktiebolag</t>
        </is>
      </c>
      <c r="G65" t="n">
        <v>3.2</v>
      </c>
      <c r="H65" t="n">
        <v>0</v>
      </c>
      <c r="I65" t="n">
        <v>0</v>
      </c>
      <c r="J65" t="n">
        <v>0</v>
      </c>
      <c r="K65" t="n">
        <v>0</v>
      </c>
      <c r="L65" t="n">
        <v>0</v>
      </c>
      <c r="M65" t="n">
        <v>0</v>
      </c>
      <c r="N65" t="n">
        <v>0</v>
      </c>
      <c r="O65" t="n">
        <v>0</v>
      </c>
      <c r="P65" t="n">
        <v>0</v>
      </c>
      <c r="Q65" t="n">
        <v>0</v>
      </c>
      <c r="R65" s="2" t="inlineStr"/>
    </row>
    <row r="66" ht="15" customHeight="1">
      <c r="A66" t="inlineStr">
        <is>
          <t>A 17353-2025</t>
        </is>
      </c>
      <c r="B66" s="1" t="n">
        <v>45756</v>
      </c>
      <c r="C66" s="1" t="n">
        <v>45963</v>
      </c>
      <c r="D66" t="inlineStr">
        <is>
          <t>STOCKHOLMS LÄN</t>
        </is>
      </c>
      <c r="E66" t="inlineStr">
        <is>
          <t>ÖSTERÅKER</t>
        </is>
      </c>
      <c r="F66" t="inlineStr">
        <is>
          <t>Övriga Aktiebolag</t>
        </is>
      </c>
      <c r="G66" t="n">
        <v>5.5</v>
      </c>
      <c r="H66" t="n">
        <v>0</v>
      </c>
      <c r="I66" t="n">
        <v>0</v>
      </c>
      <c r="J66" t="n">
        <v>0</v>
      </c>
      <c r="K66" t="n">
        <v>0</v>
      </c>
      <c r="L66" t="n">
        <v>0</v>
      </c>
      <c r="M66" t="n">
        <v>0</v>
      </c>
      <c r="N66" t="n">
        <v>0</v>
      </c>
      <c r="O66" t="n">
        <v>0</v>
      </c>
      <c r="P66" t="n">
        <v>0</v>
      </c>
      <c r="Q66" t="n">
        <v>0</v>
      </c>
      <c r="R66" s="2" t="inlineStr"/>
    </row>
    <row r="67" ht="15" customHeight="1">
      <c r="A67" t="inlineStr">
        <is>
          <t>A 61360-2022</t>
        </is>
      </c>
      <c r="B67" s="1" t="n">
        <v>44915</v>
      </c>
      <c r="C67" s="1" t="n">
        <v>45963</v>
      </c>
      <c r="D67" t="inlineStr">
        <is>
          <t>STOCKHOLMS LÄN</t>
        </is>
      </c>
      <c r="E67" t="inlineStr">
        <is>
          <t>ÖSTERÅKER</t>
        </is>
      </c>
      <c r="G67" t="n">
        <v>2.3</v>
      </c>
      <c r="H67" t="n">
        <v>0</v>
      </c>
      <c r="I67" t="n">
        <v>0</v>
      </c>
      <c r="J67" t="n">
        <v>0</v>
      </c>
      <c r="K67" t="n">
        <v>0</v>
      </c>
      <c r="L67" t="n">
        <v>0</v>
      </c>
      <c r="M67" t="n">
        <v>0</v>
      </c>
      <c r="N67" t="n">
        <v>0</v>
      </c>
      <c r="O67" t="n">
        <v>0</v>
      </c>
      <c r="P67" t="n">
        <v>0</v>
      </c>
      <c r="Q67" t="n">
        <v>0</v>
      </c>
      <c r="R67" s="2" t="inlineStr"/>
    </row>
    <row r="68" ht="15" customHeight="1">
      <c r="A68" t="inlineStr">
        <is>
          <t>A 61323-2022</t>
        </is>
      </c>
      <c r="B68" s="1" t="n">
        <v>44915</v>
      </c>
      <c r="C68" s="1" t="n">
        <v>45963</v>
      </c>
      <c r="D68" t="inlineStr">
        <is>
          <t>STOCKHOLMS LÄN</t>
        </is>
      </c>
      <c r="E68" t="inlineStr">
        <is>
          <t>ÖSTERÅKER</t>
        </is>
      </c>
      <c r="G68" t="n">
        <v>2.7</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45963</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22080-2024</t>
        </is>
      </c>
      <c r="B70" s="1" t="n">
        <v>45443.64962962963</v>
      </c>
      <c r="C70" s="1" t="n">
        <v>45963</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45963</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1136-2023</t>
        </is>
      </c>
      <c r="B72" s="1" t="n">
        <v>44935</v>
      </c>
      <c r="C72" s="1" t="n">
        <v>45963</v>
      </c>
      <c r="D72" t="inlineStr">
        <is>
          <t>STOCKHOLMS LÄN</t>
        </is>
      </c>
      <c r="E72" t="inlineStr">
        <is>
          <t>ÖSTERÅKER</t>
        </is>
      </c>
      <c r="G72" t="n">
        <v>0.5</v>
      </c>
      <c r="H72" t="n">
        <v>0</v>
      </c>
      <c r="I72" t="n">
        <v>0</v>
      </c>
      <c r="J72" t="n">
        <v>0</v>
      </c>
      <c r="K72" t="n">
        <v>0</v>
      </c>
      <c r="L72" t="n">
        <v>0</v>
      </c>
      <c r="M72" t="n">
        <v>0</v>
      </c>
      <c r="N72" t="n">
        <v>0</v>
      </c>
      <c r="O72" t="n">
        <v>0</v>
      </c>
      <c r="P72" t="n">
        <v>0</v>
      </c>
      <c r="Q72" t="n">
        <v>0</v>
      </c>
      <c r="R72" s="2" t="inlineStr"/>
    </row>
    <row r="73" ht="15" customHeight="1">
      <c r="A73" t="inlineStr">
        <is>
          <t>A 61710-2022</t>
        </is>
      </c>
      <c r="B73" s="1" t="n">
        <v>44917</v>
      </c>
      <c r="C73" s="1" t="n">
        <v>45963</v>
      </c>
      <c r="D73" t="inlineStr">
        <is>
          <t>STOCKHOLMS LÄN</t>
        </is>
      </c>
      <c r="E73" t="inlineStr">
        <is>
          <t>ÖSTERÅKER</t>
        </is>
      </c>
      <c r="G73" t="n">
        <v>6.2</v>
      </c>
      <c r="H73" t="n">
        <v>0</v>
      </c>
      <c r="I73" t="n">
        <v>0</v>
      </c>
      <c r="J73" t="n">
        <v>0</v>
      </c>
      <c r="K73" t="n">
        <v>0</v>
      </c>
      <c r="L73" t="n">
        <v>0</v>
      </c>
      <c r="M73" t="n">
        <v>0</v>
      </c>
      <c r="N73" t="n">
        <v>0</v>
      </c>
      <c r="O73" t="n">
        <v>0</v>
      </c>
      <c r="P73" t="n">
        <v>0</v>
      </c>
      <c r="Q73" t="n">
        <v>0</v>
      </c>
      <c r="R73" s="2" t="inlineStr"/>
    </row>
    <row r="74" ht="15" customHeight="1">
      <c r="A74" t="inlineStr">
        <is>
          <t>A 27137-2025</t>
        </is>
      </c>
      <c r="B74" s="1" t="n">
        <v>45811.95890046296</v>
      </c>
      <c r="C74" s="1" t="n">
        <v>45963</v>
      </c>
      <c r="D74" t="inlineStr">
        <is>
          <t>STOCKHOLMS LÄN</t>
        </is>
      </c>
      <c r="E74" t="inlineStr">
        <is>
          <t>ÖSTERÅKER</t>
        </is>
      </c>
      <c r="G74" t="n">
        <v>3.8</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45963</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31575-2022</t>
        </is>
      </c>
      <c r="B76" s="1" t="n">
        <v>44775.45063657407</v>
      </c>
      <c r="C76" s="1" t="n">
        <v>45963</v>
      </c>
      <c r="D76" t="inlineStr">
        <is>
          <t>STOCKHOLMS LÄN</t>
        </is>
      </c>
      <c r="E76" t="inlineStr">
        <is>
          <t>ÖSTERÅKER</t>
        </is>
      </c>
      <c r="G76" t="n">
        <v>5</v>
      </c>
      <c r="H76" t="n">
        <v>0</v>
      </c>
      <c r="I76" t="n">
        <v>0</v>
      </c>
      <c r="J76" t="n">
        <v>0</v>
      </c>
      <c r="K76" t="n">
        <v>0</v>
      </c>
      <c r="L76" t="n">
        <v>0</v>
      </c>
      <c r="M76" t="n">
        <v>0</v>
      </c>
      <c r="N76" t="n">
        <v>0</v>
      </c>
      <c r="O76" t="n">
        <v>0</v>
      </c>
      <c r="P76" t="n">
        <v>0</v>
      </c>
      <c r="Q76" t="n">
        <v>0</v>
      </c>
      <c r="R76" s="2" t="inlineStr"/>
    </row>
    <row r="77" ht="15" customHeight="1">
      <c r="A77" t="inlineStr">
        <is>
          <t>A 27948-2025</t>
        </is>
      </c>
      <c r="B77" s="1" t="n">
        <v>45817.52460648148</v>
      </c>
      <c r="C77" s="1" t="n">
        <v>45963</v>
      </c>
      <c r="D77" t="inlineStr">
        <is>
          <t>STOCKHOLMS LÄN</t>
        </is>
      </c>
      <c r="E77" t="inlineStr">
        <is>
          <t>ÖSTERÅKER</t>
        </is>
      </c>
      <c r="G77" t="n">
        <v>5.6</v>
      </c>
      <c r="H77" t="n">
        <v>0</v>
      </c>
      <c r="I77" t="n">
        <v>0</v>
      </c>
      <c r="J77" t="n">
        <v>0</v>
      </c>
      <c r="K77" t="n">
        <v>0</v>
      </c>
      <c r="L77" t="n">
        <v>0</v>
      </c>
      <c r="M77" t="n">
        <v>0</v>
      </c>
      <c r="N77" t="n">
        <v>0</v>
      </c>
      <c r="O77" t="n">
        <v>0</v>
      </c>
      <c r="P77" t="n">
        <v>0</v>
      </c>
      <c r="Q77" t="n">
        <v>0</v>
      </c>
      <c r="R77" s="2" t="inlineStr"/>
    </row>
    <row r="78" ht="15" customHeight="1">
      <c r="A78" t="inlineStr">
        <is>
          <t>A 464-2022</t>
        </is>
      </c>
      <c r="B78" s="1" t="n">
        <v>44565</v>
      </c>
      <c r="C78" s="1" t="n">
        <v>45963</v>
      </c>
      <c r="D78" t="inlineStr">
        <is>
          <t>STOCKHOLMS LÄN</t>
        </is>
      </c>
      <c r="E78" t="inlineStr">
        <is>
          <t>ÖSTERÅKER</t>
        </is>
      </c>
      <c r="F78" t="inlineStr">
        <is>
          <t>Övriga Aktiebolag</t>
        </is>
      </c>
      <c r="G78" t="n">
        <v>7.6</v>
      </c>
      <c r="H78" t="n">
        <v>0</v>
      </c>
      <c r="I78" t="n">
        <v>0</v>
      </c>
      <c r="J78" t="n">
        <v>0</v>
      </c>
      <c r="K78" t="n">
        <v>0</v>
      </c>
      <c r="L78" t="n">
        <v>0</v>
      </c>
      <c r="M78" t="n">
        <v>0</v>
      </c>
      <c r="N78" t="n">
        <v>0</v>
      </c>
      <c r="O78" t="n">
        <v>0</v>
      </c>
      <c r="P78" t="n">
        <v>0</v>
      </c>
      <c r="Q78" t="n">
        <v>0</v>
      </c>
      <c r="R78" s="2" t="inlineStr"/>
    </row>
    <row r="79" ht="15" customHeight="1">
      <c r="A79" t="inlineStr">
        <is>
          <t>A 22528-2024</t>
        </is>
      </c>
      <c r="B79" s="1" t="n">
        <v>45447.44967592593</v>
      </c>
      <c r="C79" s="1" t="n">
        <v>45963</v>
      </c>
      <c r="D79" t="inlineStr">
        <is>
          <t>STOCKHOLMS LÄN</t>
        </is>
      </c>
      <c r="E79" t="inlineStr">
        <is>
          <t>ÖSTERÅKER</t>
        </is>
      </c>
      <c r="F79" t="inlineStr">
        <is>
          <t>Övriga Aktiebolag</t>
        </is>
      </c>
      <c r="G79" t="n">
        <v>1.4</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45963</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28143-2024</t>
        </is>
      </c>
      <c r="B81" s="1" t="n">
        <v>45476</v>
      </c>
      <c r="C81" s="1" t="n">
        <v>45963</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31456-2025</t>
        </is>
      </c>
      <c r="B82" s="1" t="n">
        <v>45833.5402662037</v>
      </c>
      <c r="C82" s="1" t="n">
        <v>45963</v>
      </c>
      <c r="D82" t="inlineStr">
        <is>
          <t>STOCKHOLMS LÄN</t>
        </is>
      </c>
      <c r="E82" t="inlineStr">
        <is>
          <t>ÖSTERÅKER</t>
        </is>
      </c>
      <c r="G82" t="n">
        <v>4.3</v>
      </c>
      <c r="H82" t="n">
        <v>0</v>
      </c>
      <c r="I82" t="n">
        <v>0</v>
      </c>
      <c r="J82" t="n">
        <v>0</v>
      </c>
      <c r="K82" t="n">
        <v>0</v>
      </c>
      <c r="L82" t="n">
        <v>0</v>
      </c>
      <c r="M82" t="n">
        <v>0</v>
      </c>
      <c r="N82" t="n">
        <v>0</v>
      </c>
      <c r="O82" t="n">
        <v>0</v>
      </c>
      <c r="P82" t="n">
        <v>0</v>
      </c>
      <c r="Q82" t="n">
        <v>0</v>
      </c>
      <c r="R82" s="2" t="inlineStr"/>
    </row>
    <row r="83" ht="15" customHeight="1">
      <c r="A83" t="inlineStr">
        <is>
          <t>A 67265-2021</t>
        </is>
      </c>
      <c r="B83" s="1" t="n">
        <v>44523.59277777778</v>
      </c>
      <c r="C83" s="1" t="n">
        <v>45963</v>
      </c>
      <c r="D83" t="inlineStr">
        <is>
          <t>STOCKHOLMS LÄN</t>
        </is>
      </c>
      <c r="E83" t="inlineStr">
        <is>
          <t>ÖSTERÅKER</t>
        </is>
      </c>
      <c r="F83" t="inlineStr">
        <is>
          <t>Kommuner</t>
        </is>
      </c>
      <c r="G83" t="n">
        <v>2.6</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45963</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14776-2024</t>
        </is>
      </c>
      <c r="B85" s="1" t="n">
        <v>45397</v>
      </c>
      <c r="C85" s="1" t="n">
        <v>45963</v>
      </c>
      <c r="D85" t="inlineStr">
        <is>
          <t>STOCKHOLMS LÄN</t>
        </is>
      </c>
      <c r="E85" t="inlineStr">
        <is>
          <t>ÖSTERÅKER</t>
        </is>
      </c>
      <c r="G85" t="n">
        <v>13.6</v>
      </c>
      <c r="H85" t="n">
        <v>0</v>
      </c>
      <c r="I85" t="n">
        <v>0</v>
      </c>
      <c r="J85" t="n">
        <v>0</v>
      </c>
      <c r="K85" t="n">
        <v>0</v>
      </c>
      <c r="L85" t="n">
        <v>0</v>
      </c>
      <c r="M85" t="n">
        <v>0</v>
      </c>
      <c r="N85" t="n">
        <v>0</v>
      </c>
      <c r="O85" t="n">
        <v>0</v>
      </c>
      <c r="P85" t="n">
        <v>0</v>
      </c>
      <c r="Q85" t="n">
        <v>0</v>
      </c>
      <c r="R85" s="2" t="inlineStr"/>
    </row>
    <row r="86" ht="15" customHeight="1">
      <c r="A86" t="inlineStr">
        <is>
          <t>A 34079-2025</t>
        </is>
      </c>
      <c r="B86" s="1" t="n">
        <v>45842</v>
      </c>
      <c r="C86" s="1" t="n">
        <v>45963</v>
      </c>
      <c r="D86" t="inlineStr">
        <is>
          <t>STOCKHOLMS LÄN</t>
        </is>
      </c>
      <c r="E86" t="inlineStr">
        <is>
          <t>ÖSTERÅKER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34034-2025</t>
        </is>
      </c>
      <c r="B87" s="1" t="n">
        <v>45842</v>
      </c>
      <c r="C87" s="1" t="n">
        <v>45963</v>
      </c>
      <c r="D87" t="inlineStr">
        <is>
          <t>STOCKHOLMS LÄN</t>
        </is>
      </c>
      <c r="E87" t="inlineStr">
        <is>
          <t>ÖSTERÅKER</t>
        </is>
      </c>
      <c r="F87" t="inlineStr">
        <is>
          <t>Övriga Aktiebolag</t>
        </is>
      </c>
      <c r="G87" t="n">
        <v>3.9</v>
      </c>
      <c r="H87" t="n">
        <v>0</v>
      </c>
      <c r="I87" t="n">
        <v>0</v>
      </c>
      <c r="J87" t="n">
        <v>0</v>
      </c>
      <c r="K87" t="n">
        <v>0</v>
      </c>
      <c r="L87" t="n">
        <v>0</v>
      </c>
      <c r="M87" t="n">
        <v>0</v>
      </c>
      <c r="N87" t="n">
        <v>0</v>
      </c>
      <c r="O87" t="n">
        <v>0</v>
      </c>
      <c r="P87" t="n">
        <v>0</v>
      </c>
      <c r="Q87" t="n">
        <v>0</v>
      </c>
      <c r="R87" s="2" t="inlineStr"/>
    </row>
    <row r="88" ht="15" customHeight="1">
      <c r="A88" t="inlineStr">
        <is>
          <t>A 18711-2023</t>
        </is>
      </c>
      <c r="B88" s="1" t="n">
        <v>45043.6433912037</v>
      </c>
      <c r="C88" s="1" t="n">
        <v>45963</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45963</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28146-2024</t>
        </is>
      </c>
      <c r="B90" s="1" t="n">
        <v>45476</v>
      </c>
      <c r="C90" s="1" t="n">
        <v>45963</v>
      </c>
      <c r="D90" t="inlineStr">
        <is>
          <t>STOCKHOLMS LÄN</t>
        </is>
      </c>
      <c r="E90" t="inlineStr">
        <is>
          <t>ÖSTERÅKER</t>
        </is>
      </c>
      <c r="F90" t="inlineStr">
        <is>
          <t>Övriga Aktiebolag</t>
        </is>
      </c>
      <c r="G90" t="n">
        <v>2.7</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45963</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35819-2025</t>
        </is>
      </c>
      <c r="B92" s="1" t="n">
        <v>45861</v>
      </c>
      <c r="C92" s="1" t="n">
        <v>45963</v>
      </c>
      <c r="D92" t="inlineStr">
        <is>
          <t>STOCKHOLMS LÄN</t>
        </is>
      </c>
      <c r="E92" t="inlineStr">
        <is>
          <t>ÖSTERÅKER</t>
        </is>
      </c>
      <c r="F92" t="inlineStr">
        <is>
          <t>Övriga Aktiebolag</t>
        </is>
      </c>
      <c r="G92" t="n">
        <v>8</v>
      </c>
      <c r="H92" t="n">
        <v>0</v>
      </c>
      <c r="I92" t="n">
        <v>0</v>
      </c>
      <c r="J92" t="n">
        <v>0</v>
      </c>
      <c r="K92" t="n">
        <v>0</v>
      </c>
      <c r="L92" t="n">
        <v>0</v>
      </c>
      <c r="M92" t="n">
        <v>0</v>
      </c>
      <c r="N92" t="n">
        <v>0</v>
      </c>
      <c r="O92" t="n">
        <v>0</v>
      </c>
      <c r="P92" t="n">
        <v>0</v>
      </c>
      <c r="Q92" t="n">
        <v>0</v>
      </c>
      <c r="R92" s="2" t="inlineStr"/>
    </row>
    <row r="93" ht="15" customHeight="1">
      <c r="A93" t="inlineStr">
        <is>
          <t>A 57048-2024</t>
        </is>
      </c>
      <c r="B93" s="1" t="n">
        <v>45629.33938657407</v>
      </c>
      <c r="C93" s="1" t="n">
        <v>45963</v>
      </c>
      <c r="D93" t="inlineStr">
        <is>
          <t>STOCKHOLMS LÄN</t>
        </is>
      </c>
      <c r="E93" t="inlineStr">
        <is>
          <t>ÖSTERÅKER</t>
        </is>
      </c>
      <c r="G93" t="n">
        <v>3</v>
      </c>
      <c r="H93" t="n">
        <v>0</v>
      </c>
      <c r="I93" t="n">
        <v>0</v>
      </c>
      <c r="J93" t="n">
        <v>0</v>
      </c>
      <c r="K93" t="n">
        <v>0</v>
      </c>
      <c r="L93" t="n">
        <v>0</v>
      </c>
      <c r="M93" t="n">
        <v>0</v>
      </c>
      <c r="N93" t="n">
        <v>0</v>
      </c>
      <c r="O93" t="n">
        <v>0</v>
      </c>
      <c r="P93" t="n">
        <v>0</v>
      </c>
      <c r="Q93" t="n">
        <v>0</v>
      </c>
      <c r="R93" s="2" t="inlineStr"/>
    </row>
    <row r="94" ht="15" customHeight="1">
      <c r="A94" t="inlineStr">
        <is>
          <t>A 5286-2025</t>
        </is>
      </c>
      <c r="B94" s="1" t="n">
        <v>45692.44144675926</v>
      </c>
      <c r="C94" s="1" t="n">
        <v>45963</v>
      </c>
      <c r="D94" t="inlineStr">
        <is>
          <t>STOCKHOLMS LÄN</t>
        </is>
      </c>
      <c r="E94" t="inlineStr">
        <is>
          <t>ÖSTERÅKER</t>
        </is>
      </c>
      <c r="G94" t="n">
        <v>11.2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45963</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36611-2025</t>
        </is>
      </c>
      <c r="B96" s="1" t="n">
        <v>45870</v>
      </c>
      <c r="C96" s="1" t="n">
        <v>45963</v>
      </c>
      <c r="D96" t="inlineStr">
        <is>
          <t>STOCKHOLMS LÄN</t>
        </is>
      </c>
      <c r="E96" t="inlineStr">
        <is>
          <t>ÖSTERÅKER</t>
        </is>
      </c>
      <c r="F96" t="inlineStr">
        <is>
          <t>Övriga Aktiebolag</t>
        </is>
      </c>
      <c r="G96" t="n">
        <v>2.6</v>
      </c>
      <c r="H96" t="n">
        <v>0</v>
      </c>
      <c r="I96" t="n">
        <v>0</v>
      </c>
      <c r="J96" t="n">
        <v>0</v>
      </c>
      <c r="K96" t="n">
        <v>0</v>
      </c>
      <c r="L96" t="n">
        <v>0</v>
      </c>
      <c r="M96" t="n">
        <v>0</v>
      </c>
      <c r="N96" t="n">
        <v>0</v>
      </c>
      <c r="O96" t="n">
        <v>0</v>
      </c>
      <c r="P96" t="n">
        <v>0</v>
      </c>
      <c r="Q96" t="n">
        <v>0</v>
      </c>
      <c r="R96" s="2" t="inlineStr"/>
    </row>
    <row r="97" ht="15" customHeight="1">
      <c r="A97" t="inlineStr">
        <is>
          <t>A 544-2023</t>
        </is>
      </c>
      <c r="B97" s="1" t="n">
        <v>44924</v>
      </c>
      <c r="C97" s="1" t="n">
        <v>45963</v>
      </c>
      <c r="D97" t="inlineStr">
        <is>
          <t>STOCKHOLMS LÄN</t>
        </is>
      </c>
      <c r="E97" t="inlineStr">
        <is>
          <t>ÖSTERÅKER</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36614-2025</t>
        </is>
      </c>
      <c r="B98" s="1" t="n">
        <v>45870</v>
      </c>
      <c r="C98" s="1" t="n">
        <v>45963</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36612-2025</t>
        </is>
      </c>
      <c r="B99" s="1" t="n">
        <v>45870</v>
      </c>
      <c r="C99" s="1" t="n">
        <v>45963</v>
      </c>
      <c r="D99" t="inlineStr">
        <is>
          <t>STOCKHOLMS LÄN</t>
        </is>
      </c>
      <c r="E99" t="inlineStr">
        <is>
          <t>ÖSTERÅKER</t>
        </is>
      </c>
      <c r="F99" t="inlineStr">
        <is>
          <t>Övriga Aktiebolag</t>
        </is>
      </c>
      <c r="G99" t="n">
        <v>2.1</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45963</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13366-2024</t>
        </is>
      </c>
      <c r="B101" s="1" t="n">
        <v>45387</v>
      </c>
      <c r="C101" s="1" t="n">
        <v>45963</v>
      </c>
      <c r="D101" t="inlineStr">
        <is>
          <t>STOCKHOLMS LÄN</t>
        </is>
      </c>
      <c r="E101" t="inlineStr">
        <is>
          <t>ÖSTERÅKER</t>
        </is>
      </c>
      <c r="G101" t="n">
        <v>13.7</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45963</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45963</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45963</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45963</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52220-2025</t>
        </is>
      </c>
      <c r="B106" s="1" t="n">
        <v>45953</v>
      </c>
      <c r="C106" s="1" t="n">
        <v>45963</v>
      </c>
      <c r="D106" t="inlineStr">
        <is>
          <t>STOCKHOLMS LÄN</t>
        </is>
      </c>
      <c r="E106" t="inlineStr">
        <is>
          <t>ÖSTERÅKER</t>
        </is>
      </c>
      <c r="G106" t="n">
        <v>0.8</v>
      </c>
      <c r="H106" t="n">
        <v>0</v>
      </c>
      <c r="I106" t="n">
        <v>0</v>
      </c>
      <c r="J106" t="n">
        <v>0</v>
      </c>
      <c r="K106" t="n">
        <v>0</v>
      </c>
      <c r="L106" t="n">
        <v>0</v>
      </c>
      <c r="M106" t="n">
        <v>0</v>
      </c>
      <c r="N106" t="n">
        <v>0</v>
      </c>
      <c r="O106" t="n">
        <v>0</v>
      </c>
      <c r="P106" t="n">
        <v>0</v>
      </c>
      <c r="Q106" t="n">
        <v>0</v>
      </c>
      <c r="R106" s="2" t="inlineStr"/>
    </row>
    <row r="107">
      <c r="A107" t="inlineStr">
        <is>
          <t>A 34713-2025</t>
        </is>
      </c>
      <c r="B107" s="1" t="n">
        <v>45848</v>
      </c>
      <c r="C107" s="1" t="n">
        <v>45963</v>
      </c>
      <c r="D107" t="inlineStr">
        <is>
          <t>STOCKHOLMS LÄN</t>
        </is>
      </c>
      <c r="E107" t="inlineStr">
        <is>
          <t>ÖSTERÅKER</t>
        </is>
      </c>
      <c r="G107" t="n">
        <v>0.9</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2025-11-02T10:02:39Z</dcterms:created>
  <dcterms:modified xmlns:dcterms="http://purl.org/dc/terms/" xmlns:xsi="http://www.w3.org/2001/XMLSchema-instance" xsi:type="dcterms:W3CDTF">2025-11-02T10:02:39Z</dcterms:modified>
</cp:coreProperties>
</file>