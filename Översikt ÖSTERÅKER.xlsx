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46200</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46200</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46200</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46200</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46200</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46200</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46200</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46200</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46200</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46200</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46200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46200</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54703-2024</t>
        </is>
      </c>
      <c r="B14" s="1" t="n">
        <v>45618</v>
      </c>
      <c r="C14" s="1" t="n">
        <v>46200</v>
      </c>
      <c r="D14" t="inlineStr">
        <is>
          <t>STOCKHOLMS LÄN</t>
        </is>
      </c>
      <c r="E14" t="inlineStr">
        <is>
          <t>ÖSTERÅKER</t>
        </is>
      </c>
      <c r="G14" t="n">
        <v>7.7</v>
      </c>
      <c r="H14" t="n">
        <v>2</v>
      </c>
      <c r="I14" t="n">
        <v>0</v>
      </c>
      <c r="J14" t="n">
        <v>1</v>
      </c>
      <c r="K14" t="n">
        <v>0</v>
      </c>
      <c r="L14" t="n">
        <v>0</v>
      </c>
      <c r="M14" t="n">
        <v>0</v>
      </c>
      <c r="N14" t="n">
        <v>0</v>
      </c>
      <c r="O14" t="n">
        <v>1</v>
      </c>
      <c r="P14" t="n">
        <v>0</v>
      </c>
      <c r="Q14" t="n">
        <v>3</v>
      </c>
      <c r="R14" s="2" t="inlineStr">
        <is>
          <t>Tallticka
Spillkråka
Kungsfågel</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46200</v>
      </c>
      <c r="D15" t="inlineStr">
        <is>
          <t>STOCKHOLMS LÄN</t>
        </is>
      </c>
      <c r="E15" t="inlineStr">
        <is>
          <t>ÖSTERÅKER</t>
        </is>
      </c>
      <c r="G15" t="n">
        <v>5.3</v>
      </c>
      <c r="H15" t="n">
        <v>1</v>
      </c>
      <c r="I15" t="n">
        <v>0</v>
      </c>
      <c r="J15" t="n">
        <v>2</v>
      </c>
      <c r="K15" t="n">
        <v>0</v>
      </c>
      <c r="L15" t="n">
        <v>0</v>
      </c>
      <c r="M15" t="n">
        <v>0</v>
      </c>
      <c r="N15" t="n">
        <v>0</v>
      </c>
      <c r="O15" t="n">
        <v>2</v>
      </c>
      <c r="P15" t="n">
        <v>0</v>
      </c>
      <c r="Q15" t="n">
        <v>3</v>
      </c>
      <c r="R15" s="2" t="inlineStr">
        <is>
          <t>Motaggsvamp
Skuggblåslav
Tjäder</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c r="Z15">
        <f>HYPERLINK("https://klasma.github.io/Logging_0117/fåglar/A 61363-2022 prioriterade fågelarter.docx", "A 61363-2022")</f>
        <v/>
      </c>
    </row>
    <row r="16" ht="15" customHeight="1">
      <c r="A16" t="inlineStr">
        <is>
          <t>A 62578-2025</t>
        </is>
      </c>
      <c r="B16" s="1" t="n">
        <v>46007</v>
      </c>
      <c r="C16" s="1" t="n">
        <v>46200</v>
      </c>
      <c r="D16" t="inlineStr">
        <is>
          <t>STOCKHOLMS LÄN</t>
        </is>
      </c>
      <c r="E16" t="inlineStr">
        <is>
          <t>ÖSTERÅKER</t>
        </is>
      </c>
      <c r="G16" t="n">
        <v>3.4</v>
      </c>
      <c r="H16" t="n">
        <v>0</v>
      </c>
      <c r="I16" t="n">
        <v>3</v>
      </c>
      <c r="J16" t="n">
        <v>0</v>
      </c>
      <c r="K16" t="n">
        <v>0</v>
      </c>
      <c r="L16" t="n">
        <v>0</v>
      </c>
      <c r="M16" t="n">
        <v>0</v>
      </c>
      <c r="N16" t="n">
        <v>0</v>
      </c>
      <c r="O16" t="n">
        <v>0</v>
      </c>
      <c r="P16" t="n">
        <v>0</v>
      </c>
      <c r="Q16" t="n">
        <v>3</v>
      </c>
      <c r="R16" s="2" t="inlineStr">
        <is>
          <t>Fällmossa
Mindre märgborre
Vedticka</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67244-2021</t>
        </is>
      </c>
      <c r="B17" s="1" t="n">
        <v>44523</v>
      </c>
      <c r="C17" s="1" t="n">
        <v>46200</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46200</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46200</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31575-2022</t>
        </is>
      </c>
      <c r="B20" s="1" t="n">
        <v>44775</v>
      </c>
      <c r="C20" s="1" t="n">
        <v>46200</v>
      </c>
      <c r="D20" t="inlineStr">
        <is>
          <t>STOCKHOLMS LÄN</t>
        </is>
      </c>
      <c r="E20" t="inlineStr">
        <is>
          <t>ÖSTERÅKER</t>
        </is>
      </c>
      <c r="G20" t="n">
        <v>5</v>
      </c>
      <c r="H20" t="n">
        <v>0</v>
      </c>
      <c r="I20" t="n">
        <v>1</v>
      </c>
      <c r="J20" t="n">
        <v>0</v>
      </c>
      <c r="K20" t="n">
        <v>1</v>
      </c>
      <c r="L20" t="n">
        <v>0</v>
      </c>
      <c r="M20" t="n">
        <v>0</v>
      </c>
      <c r="N20" t="n">
        <v>0</v>
      </c>
      <c r="O20" t="n">
        <v>1</v>
      </c>
      <c r="P20" t="n">
        <v>1</v>
      </c>
      <c r="Q20" t="n">
        <v>2</v>
      </c>
      <c r="R20" s="2" t="inlineStr">
        <is>
          <t>Aspgelélav
Dvärgtufs</t>
        </is>
      </c>
      <c r="S20">
        <f>HYPERLINK("https://klasma.github.io/Logging_0117/artfynd/A 31575-2022 artfynd.xlsx", "A 31575-2022")</f>
        <v/>
      </c>
      <c r="T20">
        <f>HYPERLINK("https://klasma.github.io/Logging_0117/kartor/A 31575-2022 karta.png", "A 31575-2022")</f>
        <v/>
      </c>
      <c r="V20">
        <f>HYPERLINK("https://klasma.github.io/Logging_0117/klagomål/A 31575-2022 FSC-klagomål.docx", "A 31575-2022")</f>
        <v/>
      </c>
      <c r="W20">
        <f>HYPERLINK("https://klasma.github.io/Logging_0117/klagomålsmail/A 31575-2022 FSC-klagomål mail.docx", "A 31575-2022")</f>
        <v/>
      </c>
      <c r="X20">
        <f>HYPERLINK("https://klasma.github.io/Logging_0117/tillsyn/A 31575-2022 tillsynsbegäran.docx", "A 31575-2022")</f>
        <v/>
      </c>
      <c r="Y20">
        <f>HYPERLINK("https://klasma.github.io/Logging_0117/tillsynsmail/A 31575-2022 tillsynsbegäran mail.docx", "A 31575-2022")</f>
        <v/>
      </c>
    </row>
    <row r="21" ht="15" customHeight="1">
      <c r="A21" t="inlineStr">
        <is>
          <t>A 43308-2024</t>
        </is>
      </c>
      <c r="B21" s="1" t="n">
        <v>45568</v>
      </c>
      <c r="C21" s="1" t="n">
        <v>46200</v>
      </c>
      <c r="D21" t="inlineStr">
        <is>
          <t>STOCKHOLMS LÄN</t>
        </is>
      </c>
      <c r="E21" t="inlineStr">
        <is>
          <t>ÖSTERÅKER</t>
        </is>
      </c>
      <c r="F21" t="inlineStr">
        <is>
          <t>Kyrkan</t>
        </is>
      </c>
      <c r="G21" t="n">
        <v>3.2</v>
      </c>
      <c r="H21" t="n">
        <v>0</v>
      </c>
      <c r="I21" t="n">
        <v>0</v>
      </c>
      <c r="J21" t="n">
        <v>2</v>
      </c>
      <c r="K21" t="n">
        <v>0</v>
      </c>
      <c r="L21" t="n">
        <v>0</v>
      </c>
      <c r="M21" t="n">
        <v>0</v>
      </c>
      <c r="N21" t="n">
        <v>0</v>
      </c>
      <c r="O21" t="n">
        <v>2</v>
      </c>
      <c r="P21" t="n">
        <v>0</v>
      </c>
      <c r="Q21" t="n">
        <v>2</v>
      </c>
      <c r="R21" s="2" t="inlineStr">
        <is>
          <t>Dropptaggsvamp
Tallticka</t>
        </is>
      </c>
      <c r="S21">
        <f>HYPERLINK("https://klasma.github.io/Logging_0117/artfynd/A 43308-2024 artfynd.xlsx", "A 43308-2024")</f>
        <v/>
      </c>
      <c r="T21">
        <f>HYPERLINK("https://klasma.github.io/Logging_0117/kartor/A 43308-2024 karta.png", "A 43308-2024")</f>
        <v/>
      </c>
      <c r="V21">
        <f>HYPERLINK("https://klasma.github.io/Logging_0117/klagomål/A 43308-2024 FSC-klagomål.docx", "A 43308-2024")</f>
        <v/>
      </c>
      <c r="W21">
        <f>HYPERLINK("https://klasma.github.io/Logging_0117/klagomålsmail/A 43308-2024 FSC-klagomål mail.docx", "A 43308-2024")</f>
        <v/>
      </c>
      <c r="X21">
        <f>HYPERLINK("https://klasma.github.io/Logging_0117/tillsyn/A 43308-2024 tillsynsbegäran.docx", "A 43308-2024")</f>
        <v/>
      </c>
      <c r="Y21">
        <f>HYPERLINK("https://klasma.github.io/Logging_0117/tillsynsmail/A 43308-2024 tillsynsbegäran mail.docx", "A 43308-2024")</f>
        <v/>
      </c>
    </row>
    <row r="22" ht="15" customHeight="1">
      <c r="A22" t="inlineStr">
        <is>
          <t>A 61323-2022</t>
        </is>
      </c>
      <c r="B22" s="1" t="n">
        <v>44915</v>
      </c>
      <c r="C22" s="1" t="n">
        <v>46200</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46200</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46200</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46200</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62831-2025</t>
        </is>
      </c>
      <c r="B26" s="1" t="n">
        <v>46008</v>
      </c>
      <c r="C26" s="1" t="n">
        <v>46200</v>
      </c>
      <c r="D26" t="inlineStr">
        <is>
          <t>STOCKHOLMS LÄN</t>
        </is>
      </c>
      <c r="E26" t="inlineStr">
        <is>
          <t>ÖSTERÅKER</t>
        </is>
      </c>
      <c r="G26" t="n">
        <v>1.2</v>
      </c>
      <c r="H26" t="n">
        <v>0</v>
      </c>
      <c r="I26" t="n">
        <v>1</v>
      </c>
      <c r="J26" t="n">
        <v>0</v>
      </c>
      <c r="K26" t="n">
        <v>0</v>
      </c>
      <c r="L26" t="n">
        <v>0</v>
      </c>
      <c r="M26" t="n">
        <v>0</v>
      </c>
      <c r="N26" t="n">
        <v>0</v>
      </c>
      <c r="O26" t="n">
        <v>0</v>
      </c>
      <c r="P26" t="n">
        <v>0</v>
      </c>
      <c r="Q26" t="n">
        <v>1</v>
      </c>
      <c r="R26" s="2" t="inlineStr">
        <is>
          <t>Vedticka</t>
        </is>
      </c>
      <c r="S26">
        <f>HYPERLINK("https://klasma.github.io/Logging_0117/artfynd/A 62831-2025 artfynd.xlsx", "A 62831-2025")</f>
        <v/>
      </c>
      <c r="T26">
        <f>HYPERLINK("https://klasma.github.io/Logging_0117/kartor/A 62831-2025 karta.png", "A 62831-2025")</f>
        <v/>
      </c>
      <c r="V26">
        <f>HYPERLINK("https://klasma.github.io/Logging_0117/klagomål/A 62831-2025 FSC-klagomål.docx", "A 62831-2025")</f>
        <v/>
      </c>
      <c r="W26">
        <f>HYPERLINK("https://klasma.github.io/Logging_0117/klagomålsmail/A 62831-2025 FSC-klagomål mail.docx", "A 62831-2025")</f>
        <v/>
      </c>
      <c r="X26">
        <f>HYPERLINK("https://klasma.github.io/Logging_0117/tillsyn/A 62831-2025 tillsynsbegäran.docx", "A 62831-2025")</f>
        <v/>
      </c>
      <c r="Y26">
        <f>HYPERLINK("https://klasma.github.io/Logging_0117/tillsynsmail/A 62831-2025 tillsynsbegäran mail.docx", "A 62831-2025")</f>
        <v/>
      </c>
    </row>
    <row r="27" ht="15" customHeight="1">
      <c r="A27" t="inlineStr">
        <is>
          <t>A 62839-2025</t>
        </is>
      </c>
      <c r="B27" s="1" t="n">
        <v>46008</v>
      </c>
      <c r="C27" s="1" t="n">
        <v>46200</v>
      </c>
      <c r="D27" t="inlineStr">
        <is>
          <t>STOCKHOLMS LÄN</t>
        </is>
      </c>
      <c r="E27" t="inlineStr">
        <is>
          <t>ÖSTERÅKER</t>
        </is>
      </c>
      <c r="G27" t="n">
        <v>1.4</v>
      </c>
      <c r="H27" t="n">
        <v>0</v>
      </c>
      <c r="I27" t="n">
        <v>0</v>
      </c>
      <c r="J27" t="n">
        <v>1</v>
      </c>
      <c r="K27" t="n">
        <v>0</v>
      </c>
      <c r="L27" t="n">
        <v>0</v>
      </c>
      <c r="M27" t="n">
        <v>0</v>
      </c>
      <c r="N27" t="n">
        <v>0</v>
      </c>
      <c r="O27" t="n">
        <v>1</v>
      </c>
      <c r="P27" t="n">
        <v>0</v>
      </c>
      <c r="Q27" t="n">
        <v>1</v>
      </c>
      <c r="R27" s="2" t="inlineStr">
        <is>
          <t>Gullpudra</t>
        </is>
      </c>
      <c r="S27">
        <f>HYPERLINK("https://klasma.github.io/Logging_0117/artfynd/A 62839-2025 artfynd.xlsx", "A 62839-2025")</f>
        <v/>
      </c>
      <c r="T27">
        <f>HYPERLINK("https://klasma.github.io/Logging_0117/kartor/A 62839-2025 karta.png", "A 62839-2025")</f>
        <v/>
      </c>
      <c r="V27">
        <f>HYPERLINK("https://klasma.github.io/Logging_0117/klagomål/A 62839-2025 FSC-klagomål.docx", "A 62839-2025")</f>
        <v/>
      </c>
      <c r="W27">
        <f>HYPERLINK("https://klasma.github.io/Logging_0117/klagomålsmail/A 62839-2025 FSC-klagomål mail.docx", "A 62839-2025")</f>
        <v/>
      </c>
      <c r="X27">
        <f>HYPERLINK("https://klasma.github.io/Logging_0117/tillsyn/A 62839-2025 tillsynsbegäran.docx", "A 62839-2025")</f>
        <v/>
      </c>
      <c r="Y27">
        <f>HYPERLINK("https://klasma.github.io/Logging_0117/tillsynsmail/A 62839-2025 tillsynsbegäran mail.docx", "A 62839-2025")</f>
        <v/>
      </c>
    </row>
    <row r="28" ht="15" customHeight="1">
      <c r="A28" t="inlineStr">
        <is>
          <t>A 2148-2022</t>
        </is>
      </c>
      <c r="B28" s="1" t="n">
        <v>44575</v>
      </c>
      <c r="C28" s="1" t="n">
        <v>46200</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46200</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46200</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838-2022</t>
        </is>
      </c>
      <c r="B31" s="1" t="n">
        <v>44569</v>
      </c>
      <c r="C31" s="1" t="n">
        <v>46200</v>
      </c>
      <c r="D31" t="inlineStr">
        <is>
          <t>STOCKHOLMS LÄN</t>
        </is>
      </c>
      <c r="E31" t="inlineStr">
        <is>
          <t>ÖSTERÅKER</t>
        </is>
      </c>
      <c r="F31" t="inlineStr">
        <is>
          <t>Övriga Aktiebolag</t>
        </is>
      </c>
      <c r="G31" t="n">
        <v>4.9</v>
      </c>
      <c r="H31" t="n">
        <v>0</v>
      </c>
      <c r="I31" t="n">
        <v>0</v>
      </c>
      <c r="J31" t="n">
        <v>0</v>
      </c>
      <c r="K31" t="n">
        <v>0</v>
      </c>
      <c r="L31" t="n">
        <v>0</v>
      </c>
      <c r="M31" t="n">
        <v>0</v>
      </c>
      <c r="N31" t="n">
        <v>0</v>
      </c>
      <c r="O31" t="n">
        <v>0</v>
      </c>
      <c r="P31" t="n">
        <v>0</v>
      </c>
      <c r="Q31" t="n">
        <v>0</v>
      </c>
      <c r="R31" s="2" t="inlineStr"/>
    </row>
    <row r="32" ht="15" customHeight="1">
      <c r="A32" t="inlineStr">
        <is>
          <t>A 865-2022</t>
        </is>
      </c>
      <c r="B32" s="1" t="n">
        <v>44569</v>
      </c>
      <c r="C32" s="1" t="n">
        <v>46200</v>
      </c>
      <c r="D32" t="inlineStr">
        <is>
          <t>STOCKHOLMS LÄN</t>
        </is>
      </c>
      <c r="E32" t="inlineStr">
        <is>
          <t>ÖSTERÅKER</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46200</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v>
      </c>
      <c r="C34" s="1" t="n">
        <v>46200</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v>
      </c>
      <c r="C35" s="1" t="n">
        <v>46200</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46200</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46200</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46200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46200</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46200</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46200</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56909-2024</t>
        </is>
      </c>
      <c r="B42" s="1" t="n">
        <v>45628</v>
      </c>
      <c r="C42" s="1" t="n">
        <v>46200</v>
      </c>
      <c r="D42" t="inlineStr">
        <is>
          <t>STOCKHOLMS LÄN</t>
        </is>
      </c>
      <c r="E42" t="inlineStr">
        <is>
          <t>ÖSTERÅKER</t>
        </is>
      </c>
      <c r="G42" t="n">
        <v>1</v>
      </c>
      <c r="H42" t="n">
        <v>0</v>
      </c>
      <c r="I42" t="n">
        <v>0</v>
      </c>
      <c r="J42" t="n">
        <v>0</v>
      </c>
      <c r="K42" t="n">
        <v>0</v>
      </c>
      <c r="L42" t="n">
        <v>0</v>
      </c>
      <c r="M42" t="n">
        <v>0</v>
      </c>
      <c r="N42" t="n">
        <v>0</v>
      </c>
      <c r="O42" t="n">
        <v>0</v>
      </c>
      <c r="P42" t="n">
        <v>0</v>
      </c>
      <c r="Q42" t="n">
        <v>0</v>
      </c>
      <c r="R42" s="2" t="inlineStr"/>
    </row>
    <row r="43" ht="15" customHeight="1">
      <c r="A43" t="inlineStr">
        <is>
          <t>A 16728-2022</t>
        </is>
      </c>
      <c r="B43" s="1" t="n">
        <v>44673</v>
      </c>
      <c r="C43" s="1" t="n">
        <v>46200</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1136-2023</t>
        </is>
      </c>
      <c r="B44" s="1" t="n">
        <v>44935</v>
      </c>
      <c r="C44" s="1" t="n">
        <v>46200</v>
      </c>
      <c r="D44" t="inlineStr">
        <is>
          <t>STOCKHOLMS LÄN</t>
        </is>
      </c>
      <c r="E44" t="inlineStr">
        <is>
          <t>ÖSTERÅKER</t>
        </is>
      </c>
      <c r="G44" t="n">
        <v>0.5</v>
      </c>
      <c r="H44" t="n">
        <v>0</v>
      </c>
      <c r="I44" t="n">
        <v>0</v>
      </c>
      <c r="J44" t="n">
        <v>0</v>
      </c>
      <c r="K44" t="n">
        <v>0</v>
      </c>
      <c r="L44" t="n">
        <v>0</v>
      </c>
      <c r="M44" t="n">
        <v>0</v>
      </c>
      <c r="N44" t="n">
        <v>0</v>
      </c>
      <c r="O44" t="n">
        <v>0</v>
      </c>
      <c r="P44" t="n">
        <v>0</v>
      </c>
      <c r="Q44" t="n">
        <v>0</v>
      </c>
      <c r="R44" s="2" t="inlineStr"/>
    </row>
    <row r="45" ht="15" customHeight="1">
      <c r="A45" t="inlineStr">
        <is>
          <t>A 61710-2022</t>
        </is>
      </c>
      <c r="B45" s="1" t="n">
        <v>44917</v>
      </c>
      <c r="C45" s="1" t="n">
        <v>46200</v>
      </c>
      <c r="D45" t="inlineStr">
        <is>
          <t>STOCKHOLMS LÄN</t>
        </is>
      </c>
      <c r="E45" t="inlineStr">
        <is>
          <t>ÖSTERÅKER</t>
        </is>
      </c>
      <c r="G45" t="n">
        <v>6.2</v>
      </c>
      <c r="H45" t="n">
        <v>0</v>
      </c>
      <c r="I45" t="n">
        <v>0</v>
      </c>
      <c r="J45" t="n">
        <v>0</v>
      </c>
      <c r="K45" t="n">
        <v>0</v>
      </c>
      <c r="L45" t="n">
        <v>0</v>
      </c>
      <c r="M45" t="n">
        <v>0</v>
      </c>
      <c r="N45" t="n">
        <v>0</v>
      </c>
      <c r="O45" t="n">
        <v>0</v>
      </c>
      <c r="P45" t="n">
        <v>0</v>
      </c>
      <c r="Q45" t="n">
        <v>0</v>
      </c>
      <c r="R45" s="2" t="inlineStr"/>
    </row>
    <row r="46" ht="15" customHeight="1">
      <c r="A46" t="inlineStr">
        <is>
          <t>A 1603-2023</t>
        </is>
      </c>
      <c r="B46" s="1" t="n">
        <v>44937</v>
      </c>
      <c r="C46" s="1" t="n">
        <v>46200</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v>
      </c>
      <c r="C47" s="1" t="n">
        <v>46200</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46200</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22528-2024</t>
        </is>
      </c>
      <c r="B49" s="1" t="n">
        <v>45447</v>
      </c>
      <c r="C49" s="1" t="n">
        <v>46200</v>
      </c>
      <c r="D49" t="inlineStr">
        <is>
          <t>STOCKHOLMS LÄN</t>
        </is>
      </c>
      <c r="E49" t="inlineStr">
        <is>
          <t>ÖSTERÅKER</t>
        </is>
      </c>
      <c r="F49" t="inlineStr">
        <is>
          <t>Övriga Aktiebolag</t>
        </is>
      </c>
      <c r="G49" t="n">
        <v>1.4</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46200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18091-2022</t>
        </is>
      </c>
      <c r="B51" s="1" t="n">
        <v>44684</v>
      </c>
      <c r="C51" s="1" t="n">
        <v>46200</v>
      </c>
      <c r="D51" t="inlineStr">
        <is>
          <t>STOCKHOLMS LÄN</t>
        </is>
      </c>
      <c r="E51" t="inlineStr">
        <is>
          <t>ÖSTERÅKER</t>
        </is>
      </c>
      <c r="G51" t="n">
        <v>6.1</v>
      </c>
      <c r="H51" t="n">
        <v>0</v>
      </c>
      <c r="I51" t="n">
        <v>0</v>
      </c>
      <c r="J51" t="n">
        <v>0</v>
      </c>
      <c r="K51" t="n">
        <v>0</v>
      </c>
      <c r="L51" t="n">
        <v>0</v>
      </c>
      <c r="M51" t="n">
        <v>0</v>
      </c>
      <c r="N51" t="n">
        <v>0</v>
      </c>
      <c r="O51" t="n">
        <v>0</v>
      </c>
      <c r="P51" t="n">
        <v>0</v>
      </c>
      <c r="Q51" t="n">
        <v>0</v>
      </c>
      <c r="R51" s="2" t="inlineStr"/>
    </row>
    <row r="52" ht="15" customHeight="1">
      <c r="A52" t="inlineStr">
        <is>
          <t>A 28143-2024</t>
        </is>
      </c>
      <c r="B52" s="1" t="n">
        <v>45476</v>
      </c>
      <c r="C52" s="1" t="n">
        <v>46200</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46200</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845-2024</t>
        </is>
      </c>
      <c r="B54" s="1" t="n">
        <v>45300</v>
      </c>
      <c r="C54" s="1" t="n">
        <v>46200</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14776-2024</t>
        </is>
      </c>
      <c r="B55" s="1" t="n">
        <v>45397</v>
      </c>
      <c r="C55" s="1" t="n">
        <v>46200</v>
      </c>
      <c r="D55" t="inlineStr">
        <is>
          <t>STOCKHOLMS LÄN</t>
        </is>
      </c>
      <c r="E55" t="inlineStr">
        <is>
          <t>ÖSTERÅKER</t>
        </is>
      </c>
      <c r="G55" t="n">
        <v>13.6</v>
      </c>
      <c r="H55" t="n">
        <v>0</v>
      </c>
      <c r="I55" t="n">
        <v>0</v>
      </c>
      <c r="J55" t="n">
        <v>0</v>
      </c>
      <c r="K55" t="n">
        <v>0</v>
      </c>
      <c r="L55" t="n">
        <v>0</v>
      </c>
      <c r="M55" t="n">
        <v>0</v>
      </c>
      <c r="N55" t="n">
        <v>0</v>
      </c>
      <c r="O55" t="n">
        <v>0</v>
      </c>
      <c r="P55" t="n">
        <v>0</v>
      </c>
      <c r="Q55" t="n">
        <v>0</v>
      </c>
      <c r="R55" s="2" t="inlineStr"/>
    </row>
    <row r="56" ht="15" customHeight="1">
      <c r="A56" t="inlineStr">
        <is>
          <t>A 17196-2022</t>
        </is>
      </c>
      <c r="B56" s="1" t="n">
        <v>44677</v>
      </c>
      <c r="C56" s="1" t="n">
        <v>46200</v>
      </c>
      <c r="D56" t="inlineStr">
        <is>
          <t>STOCKHOLMS LÄN</t>
        </is>
      </c>
      <c r="E56" t="inlineStr">
        <is>
          <t>ÖSTERÅKER</t>
        </is>
      </c>
      <c r="G56" t="n">
        <v>5.9</v>
      </c>
      <c r="H56" t="n">
        <v>0</v>
      </c>
      <c r="I56" t="n">
        <v>0</v>
      </c>
      <c r="J56" t="n">
        <v>0</v>
      </c>
      <c r="K56" t="n">
        <v>0</v>
      </c>
      <c r="L56" t="n">
        <v>0</v>
      </c>
      <c r="M56" t="n">
        <v>0</v>
      </c>
      <c r="N56" t="n">
        <v>0</v>
      </c>
      <c r="O56" t="n">
        <v>0</v>
      </c>
      <c r="P56" t="n">
        <v>0</v>
      </c>
      <c r="Q56" t="n">
        <v>0</v>
      </c>
      <c r="R56" s="2" t="inlineStr"/>
    </row>
    <row r="57" ht="15" customHeight="1">
      <c r="A57" t="inlineStr">
        <is>
          <t>A 31134-2023</t>
        </is>
      </c>
      <c r="B57" s="1" t="n">
        <v>45113</v>
      </c>
      <c r="C57" s="1" t="n">
        <v>46200</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46200</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39394-2023</t>
        </is>
      </c>
      <c r="B59" s="1" t="n">
        <v>45166</v>
      </c>
      <c r="C59" s="1" t="n">
        <v>46200</v>
      </c>
      <c r="D59" t="inlineStr">
        <is>
          <t>STOCKHOLMS LÄN</t>
        </is>
      </c>
      <c r="E59" t="inlineStr">
        <is>
          <t>ÖSTERÅKER</t>
        </is>
      </c>
      <c r="G59" t="n">
        <v>0.4</v>
      </c>
      <c r="H59" t="n">
        <v>0</v>
      </c>
      <c r="I59" t="n">
        <v>0</v>
      </c>
      <c r="J59" t="n">
        <v>0</v>
      </c>
      <c r="K59" t="n">
        <v>0</v>
      </c>
      <c r="L59" t="n">
        <v>0</v>
      </c>
      <c r="M59" t="n">
        <v>0</v>
      </c>
      <c r="N59" t="n">
        <v>0</v>
      </c>
      <c r="O59" t="n">
        <v>0</v>
      </c>
      <c r="P59" t="n">
        <v>0</v>
      </c>
      <c r="Q59" t="n">
        <v>0</v>
      </c>
      <c r="R59" s="2" t="inlineStr"/>
    </row>
    <row r="60" ht="15" customHeight="1">
      <c r="A60" t="inlineStr">
        <is>
          <t>A 16803-2022</t>
        </is>
      </c>
      <c r="B60" s="1" t="n">
        <v>44673</v>
      </c>
      <c r="C60" s="1" t="n">
        <v>46200</v>
      </c>
      <c r="D60" t="inlineStr">
        <is>
          <t>STOCKHOLMS LÄN</t>
        </is>
      </c>
      <c r="E60" t="inlineStr">
        <is>
          <t>ÖSTERÅKER</t>
        </is>
      </c>
      <c r="G60" t="n">
        <v>1.9</v>
      </c>
      <c r="H60" t="n">
        <v>0</v>
      </c>
      <c r="I60" t="n">
        <v>0</v>
      </c>
      <c r="J60" t="n">
        <v>0</v>
      </c>
      <c r="K60" t="n">
        <v>0</v>
      </c>
      <c r="L60" t="n">
        <v>0</v>
      </c>
      <c r="M60" t="n">
        <v>0</v>
      </c>
      <c r="N60" t="n">
        <v>0</v>
      </c>
      <c r="O60" t="n">
        <v>0</v>
      </c>
      <c r="P60" t="n">
        <v>0</v>
      </c>
      <c r="Q60" t="n">
        <v>0</v>
      </c>
      <c r="R60" s="2" t="inlineStr"/>
    </row>
    <row r="61" ht="15" customHeight="1">
      <c r="A61" t="inlineStr">
        <is>
          <t>A 470-2022</t>
        </is>
      </c>
      <c r="B61" s="1" t="n">
        <v>44565</v>
      </c>
      <c r="C61" s="1" t="n">
        <v>46200</v>
      </c>
      <c r="D61" t="inlineStr">
        <is>
          <t>STOCKHOLMS LÄN</t>
        </is>
      </c>
      <c r="E61" t="inlineStr">
        <is>
          <t>ÖSTERÅKER</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10185-2025</t>
        </is>
      </c>
      <c r="B62" s="1" t="n">
        <v>45719</v>
      </c>
      <c r="C62" s="1" t="n">
        <v>46200</v>
      </c>
      <c r="D62" t="inlineStr">
        <is>
          <t>STOCKHOLMS LÄN</t>
        </is>
      </c>
      <c r="E62" t="inlineStr">
        <is>
          <t>ÖSTERÅKER</t>
        </is>
      </c>
      <c r="G62" t="n">
        <v>4.1</v>
      </c>
      <c r="H62" t="n">
        <v>0</v>
      </c>
      <c r="I62" t="n">
        <v>0</v>
      </c>
      <c r="J62" t="n">
        <v>0</v>
      </c>
      <c r="K62" t="n">
        <v>0</v>
      </c>
      <c r="L62" t="n">
        <v>0</v>
      </c>
      <c r="M62" t="n">
        <v>0</v>
      </c>
      <c r="N62" t="n">
        <v>0</v>
      </c>
      <c r="O62" t="n">
        <v>0</v>
      </c>
      <c r="P62" t="n">
        <v>0</v>
      </c>
      <c r="Q62" t="n">
        <v>0</v>
      </c>
      <c r="R62" s="2" t="inlineStr"/>
    </row>
    <row r="63" ht="15" customHeight="1">
      <c r="A63" t="inlineStr">
        <is>
          <t>A 3917-2023</t>
        </is>
      </c>
      <c r="B63" s="1" t="n">
        <v>44952</v>
      </c>
      <c r="C63" s="1" t="n">
        <v>46200</v>
      </c>
      <c r="D63" t="inlineStr">
        <is>
          <t>STOCKHOLMS LÄN</t>
        </is>
      </c>
      <c r="E63" t="inlineStr">
        <is>
          <t>ÖSTERÅKER</t>
        </is>
      </c>
      <c r="F63" t="inlineStr">
        <is>
          <t>Kommuner</t>
        </is>
      </c>
      <c r="G63" t="n">
        <v>2.8</v>
      </c>
      <c r="H63" t="n">
        <v>0</v>
      </c>
      <c r="I63" t="n">
        <v>0</v>
      </c>
      <c r="J63" t="n">
        <v>0</v>
      </c>
      <c r="K63" t="n">
        <v>0</v>
      </c>
      <c r="L63" t="n">
        <v>0</v>
      </c>
      <c r="M63" t="n">
        <v>0</v>
      </c>
      <c r="N63" t="n">
        <v>0</v>
      </c>
      <c r="O63" t="n">
        <v>0</v>
      </c>
      <c r="P63" t="n">
        <v>0</v>
      </c>
      <c r="Q63" t="n">
        <v>0</v>
      </c>
      <c r="R63" s="2" t="inlineStr"/>
    </row>
    <row r="64" ht="15" customHeight="1">
      <c r="A64" t="inlineStr">
        <is>
          <t>A 17353-2025</t>
        </is>
      </c>
      <c r="B64" s="1" t="n">
        <v>45756</v>
      </c>
      <c r="C64" s="1" t="n">
        <v>46200</v>
      </c>
      <c r="D64" t="inlineStr">
        <is>
          <t>STOCKHOLMS LÄN</t>
        </is>
      </c>
      <c r="E64" t="inlineStr">
        <is>
          <t>ÖSTERÅKER</t>
        </is>
      </c>
      <c r="F64" t="inlineStr">
        <is>
          <t>Övriga Aktiebolag</t>
        </is>
      </c>
      <c r="G64" t="n">
        <v>5.5</v>
      </c>
      <c r="H64" t="n">
        <v>0</v>
      </c>
      <c r="I64" t="n">
        <v>0</v>
      </c>
      <c r="J64" t="n">
        <v>0</v>
      </c>
      <c r="K64" t="n">
        <v>0</v>
      </c>
      <c r="L64" t="n">
        <v>0</v>
      </c>
      <c r="M64" t="n">
        <v>0</v>
      </c>
      <c r="N64" t="n">
        <v>0</v>
      </c>
      <c r="O64" t="n">
        <v>0</v>
      </c>
      <c r="P64" t="n">
        <v>0</v>
      </c>
      <c r="Q64" t="n">
        <v>0</v>
      </c>
      <c r="R64" s="2" t="inlineStr"/>
    </row>
    <row r="65" ht="15" customHeight="1">
      <c r="A65" t="inlineStr">
        <is>
          <t>A 61360-2022</t>
        </is>
      </c>
      <c r="B65" s="1" t="n">
        <v>44915</v>
      </c>
      <c r="C65" s="1" t="n">
        <v>46200</v>
      </c>
      <c r="D65" t="inlineStr">
        <is>
          <t>STOCKHOLMS LÄN</t>
        </is>
      </c>
      <c r="E65" t="inlineStr">
        <is>
          <t>ÖSTERÅKER</t>
        </is>
      </c>
      <c r="G65" t="n">
        <v>2.3</v>
      </c>
      <c r="H65" t="n">
        <v>0</v>
      </c>
      <c r="I65" t="n">
        <v>0</v>
      </c>
      <c r="J65" t="n">
        <v>0</v>
      </c>
      <c r="K65" t="n">
        <v>0</v>
      </c>
      <c r="L65" t="n">
        <v>0</v>
      </c>
      <c r="M65" t="n">
        <v>0</v>
      </c>
      <c r="N65" t="n">
        <v>0</v>
      </c>
      <c r="O65" t="n">
        <v>0</v>
      </c>
      <c r="P65" t="n">
        <v>0</v>
      </c>
      <c r="Q65" t="n">
        <v>0</v>
      </c>
      <c r="R65" s="2" t="inlineStr"/>
    </row>
    <row r="66" ht="15" customHeight="1">
      <c r="A66" t="inlineStr">
        <is>
          <t>A 27137-2025</t>
        </is>
      </c>
      <c r="B66" s="1" t="n">
        <v>45811</v>
      </c>
      <c r="C66" s="1" t="n">
        <v>46200</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62108-2022</t>
        </is>
      </c>
      <c r="B67" s="1" t="n">
        <v>44920</v>
      </c>
      <c r="C67" s="1" t="n">
        <v>46200</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24499-2023</t>
        </is>
      </c>
      <c r="B68" s="1" t="n">
        <v>45082</v>
      </c>
      <c r="C68" s="1" t="n">
        <v>46200</v>
      </c>
      <c r="D68" t="inlineStr">
        <is>
          <t>STOCKHOLMS LÄN</t>
        </is>
      </c>
      <c r="E68" t="inlineStr">
        <is>
          <t>ÖSTERÅKER</t>
        </is>
      </c>
      <c r="G68" t="n">
        <v>0.1</v>
      </c>
      <c r="H68" t="n">
        <v>0</v>
      </c>
      <c r="I68" t="n">
        <v>0</v>
      </c>
      <c r="J68" t="n">
        <v>0</v>
      </c>
      <c r="K68" t="n">
        <v>0</v>
      </c>
      <c r="L68" t="n">
        <v>0</v>
      </c>
      <c r="M68" t="n">
        <v>0</v>
      </c>
      <c r="N68" t="n">
        <v>0</v>
      </c>
      <c r="O68" t="n">
        <v>0</v>
      </c>
      <c r="P68" t="n">
        <v>0</v>
      </c>
      <c r="Q68" t="n">
        <v>0</v>
      </c>
      <c r="R68" s="2" t="inlineStr"/>
    </row>
    <row r="69" ht="15" customHeight="1">
      <c r="A69" t="inlineStr">
        <is>
          <t>A 6655-2023</t>
        </is>
      </c>
      <c r="B69" s="1" t="n">
        <v>44966</v>
      </c>
      <c r="C69" s="1" t="n">
        <v>46200</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34034-2025</t>
        </is>
      </c>
      <c r="B70" s="1" t="n">
        <v>45842</v>
      </c>
      <c r="C70" s="1" t="n">
        <v>46200</v>
      </c>
      <c r="D70" t="inlineStr">
        <is>
          <t>STOCKHOLMS LÄN</t>
        </is>
      </c>
      <c r="E70" t="inlineStr">
        <is>
          <t>ÖSTERÅKER</t>
        </is>
      </c>
      <c r="F70" t="inlineStr">
        <is>
          <t>Övriga Aktiebolag</t>
        </is>
      </c>
      <c r="G70" t="n">
        <v>3.9</v>
      </c>
      <c r="H70" t="n">
        <v>0</v>
      </c>
      <c r="I70" t="n">
        <v>0</v>
      </c>
      <c r="J70" t="n">
        <v>0</v>
      </c>
      <c r="K70" t="n">
        <v>0</v>
      </c>
      <c r="L70" t="n">
        <v>0</v>
      </c>
      <c r="M70" t="n">
        <v>0</v>
      </c>
      <c r="N70" t="n">
        <v>0</v>
      </c>
      <c r="O70" t="n">
        <v>0</v>
      </c>
      <c r="P70" t="n">
        <v>0</v>
      </c>
      <c r="Q70" t="n">
        <v>0</v>
      </c>
      <c r="R70" s="2" t="inlineStr"/>
    </row>
    <row r="71" ht="15" customHeight="1">
      <c r="A71" t="inlineStr">
        <is>
          <t>A 28146-2024</t>
        </is>
      </c>
      <c r="B71" s="1" t="n">
        <v>45476</v>
      </c>
      <c r="C71" s="1" t="n">
        <v>46200</v>
      </c>
      <c r="D71" t="inlineStr">
        <is>
          <t>STOCKHOLMS LÄN</t>
        </is>
      </c>
      <c r="E71" t="inlineStr">
        <is>
          <t>ÖSTERÅKER</t>
        </is>
      </c>
      <c r="F71" t="inlineStr">
        <is>
          <t>Övriga Aktiebolag</t>
        </is>
      </c>
      <c r="G71" t="n">
        <v>2.7</v>
      </c>
      <c r="H71" t="n">
        <v>0</v>
      </c>
      <c r="I71" t="n">
        <v>0</v>
      </c>
      <c r="J71" t="n">
        <v>0</v>
      </c>
      <c r="K71" t="n">
        <v>0</v>
      </c>
      <c r="L71" t="n">
        <v>0</v>
      </c>
      <c r="M71" t="n">
        <v>0</v>
      </c>
      <c r="N71" t="n">
        <v>0</v>
      </c>
      <c r="O71" t="n">
        <v>0</v>
      </c>
      <c r="P71" t="n">
        <v>0</v>
      </c>
      <c r="Q71" t="n">
        <v>0</v>
      </c>
      <c r="R71" s="2" t="inlineStr"/>
    </row>
    <row r="72" ht="15" customHeight="1">
      <c r="A72" t="inlineStr">
        <is>
          <t>A 35656-2025</t>
        </is>
      </c>
      <c r="B72" s="1" t="n">
        <v>45859</v>
      </c>
      <c r="C72" s="1" t="n">
        <v>46200</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35819-2025</t>
        </is>
      </c>
      <c r="B73" s="1" t="n">
        <v>45861</v>
      </c>
      <c r="C73" s="1" t="n">
        <v>46200</v>
      </c>
      <c r="D73" t="inlineStr">
        <is>
          <t>STOCKHOLMS LÄN</t>
        </is>
      </c>
      <c r="E73" t="inlineStr">
        <is>
          <t>ÖSTERÅKER</t>
        </is>
      </c>
      <c r="F73" t="inlineStr">
        <is>
          <t>Övriga Aktiebolag</t>
        </is>
      </c>
      <c r="G73" t="n">
        <v>8</v>
      </c>
      <c r="H73" t="n">
        <v>0</v>
      </c>
      <c r="I73" t="n">
        <v>0</v>
      </c>
      <c r="J73" t="n">
        <v>0</v>
      </c>
      <c r="K73" t="n">
        <v>0</v>
      </c>
      <c r="L73" t="n">
        <v>0</v>
      </c>
      <c r="M73" t="n">
        <v>0</v>
      </c>
      <c r="N73" t="n">
        <v>0</v>
      </c>
      <c r="O73" t="n">
        <v>0</v>
      </c>
      <c r="P73" t="n">
        <v>0</v>
      </c>
      <c r="Q73" t="n">
        <v>0</v>
      </c>
      <c r="R73" s="2" t="inlineStr"/>
    </row>
    <row r="74" ht="15" customHeight="1">
      <c r="A74" t="inlineStr">
        <is>
          <t>A 57048-2024</t>
        </is>
      </c>
      <c r="B74" s="1" t="n">
        <v>45629</v>
      </c>
      <c r="C74" s="1" t="n">
        <v>46200</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5286-2025</t>
        </is>
      </c>
      <c r="B75" s="1" t="n">
        <v>45692</v>
      </c>
      <c r="C75" s="1" t="n">
        <v>46200</v>
      </c>
      <c r="D75" t="inlineStr">
        <is>
          <t>STOCKHOLMS LÄN</t>
        </is>
      </c>
      <c r="E75" t="inlineStr">
        <is>
          <t>ÖSTERÅKER</t>
        </is>
      </c>
      <c r="G75" t="n">
        <v>11.2</v>
      </c>
      <c r="H75" t="n">
        <v>0</v>
      </c>
      <c r="I75" t="n">
        <v>0</v>
      </c>
      <c r="J75" t="n">
        <v>0</v>
      </c>
      <c r="K75" t="n">
        <v>0</v>
      </c>
      <c r="L75" t="n">
        <v>0</v>
      </c>
      <c r="M75" t="n">
        <v>0</v>
      </c>
      <c r="N75" t="n">
        <v>0</v>
      </c>
      <c r="O75" t="n">
        <v>0</v>
      </c>
      <c r="P75" t="n">
        <v>0</v>
      </c>
      <c r="Q75" t="n">
        <v>0</v>
      </c>
      <c r="R75" s="2" t="inlineStr"/>
    </row>
    <row r="76" ht="15" customHeight="1">
      <c r="A76" t="inlineStr">
        <is>
          <t>A 3817-2023</t>
        </is>
      </c>
      <c r="B76" s="1" t="n">
        <v>44951</v>
      </c>
      <c r="C76" s="1" t="n">
        <v>46200</v>
      </c>
      <c r="D76" t="inlineStr">
        <is>
          <t>STOCKHOLMS LÄN</t>
        </is>
      </c>
      <c r="E76" t="inlineStr">
        <is>
          <t>ÖSTERÅKER</t>
        </is>
      </c>
      <c r="F76" t="inlineStr">
        <is>
          <t>Kommuner</t>
        </is>
      </c>
      <c r="G76" t="n">
        <v>4.7</v>
      </c>
      <c r="H76" t="n">
        <v>0</v>
      </c>
      <c r="I76" t="n">
        <v>0</v>
      </c>
      <c r="J76" t="n">
        <v>0</v>
      </c>
      <c r="K76" t="n">
        <v>0</v>
      </c>
      <c r="L76" t="n">
        <v>0</v>
      </c>
      <c r="M76" t="n">
        <v>0</v>
      </c>
      <c r="N76" t="n">
        <v>0</v>
      </c>
      <c r="O76" t="n">
        <v>0</v>
      </c>
      <c r="P76" t="n">
        <v>0</v>
      </c>
      <c r="Q76" t="n">
        <v>0</v>
      </c>
      <c r="R76" s="2" t="inlineStr"/>
    </row>
    <row r="77" ht="15" customHeight="1">
      <c r="A77" t="inlineStr">
        <is>
          <t>A 544-2023</t>
        </is>
      </c>
      <c r="B77" s="1" t="n">
        <v>44924</v>
      </c>
      <c r="C77" s="1" t="n">
        <v>46200</v>
      </c>
      <c r="D77" t="inlineStr">
        <is>
          <t>STOCKHOLMS LÄN</t>
        </is>
      </c>
      <c r="E77" t="inlineStr">
        <is>
          <t>ÖSTERÅKER</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3326-2022</t>
        </is>
      </c>
      <c r="B78" s="1" t="n">
        <v>44583</v>
      </c>
      <c r="C78" s="1" t="n">
        <v>46200</v>
      </c>
      <c r="D78" t="inlineStr">
        <is>
          <t>STOCKHOLMS LÄN</t>
        </is>
      </c>
      <c r="E78" t="inlineStr">
        <is>
          <t>ÖSTERÅKER</t>
        </is>
      </c>
      <c r="F78" t="inlineStr">
        <is>
          <t>Övriga Aktiebolag</t>
        </is>
      </c>
      <c r="G78" t="n">
        <v>2.7</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46200</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52220-2025</t>
        </is>
      </c>
      <c r="B80" s="1" t="n">
        <v>45953</v>
      </c>
      <c r="C80" s="1" t="n">
        <v>46200</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57055-2024</t>
        </is>
      </c>
      <c r="B81" s="1" t="n">
        <v>45629</v>
      </c>
      <c r="C81" s="1" t="n">
        <v>46200</v>
      </c>
      <c r="D81" t="inlineStr">
        <is>
          <t>STOCKHOLMS LÄN</t>
        </is>
      </c>
      <c r="E81" t="inlineStr">
        <is>
          <t>ÖSTERÅKER</t>
        </is>
      </c>
      <c r="G81" t="n">
        <v>0.5</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46200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46688-2022</t>
        </is>
      </c>
      <c r="B83" s="1" t="n">
        <v>44851</v>
      </c>
      <c r="C83" s="1" t="n">
        <v>46200</v>
      </c>
      <c r="D83" t="inlineStr">
        <is>
          <t>STOCKHOLMS LÄN</t>
        </is>
      </c>
      <c r="E83" t="inlineStr">
        <is>
          <t>ÖSTERÅKER</t>
        </is>
      </c>
      <c r="G83" t="n">
        <v>2</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46200</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46200</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12345-2026</t>
        </is>
      </c>
      <c r="B86" s="1" t="n">
        <v>46087</v>
      </c>
      <c r="C86" s="1" t="n">
        <v>46200</v>
      </c>
      <c r="D86" t="inlineStr">
        <is>
          <t>STOCKHOLMS LÄN</t>
        </is>
      </c>
      <c r="E86" t="inlineStr">
        <is>
          <t>ÖSTERÅKER</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23198-2026</t>
        </is>
      </c>
      <c r="B87" s="1" t="n">
        <v>46161</v>
      </c>
      <c r="C87" s="1" t="n">
        <v>46200</v>
      </c>
      <c r="D87" t="inlineStr">
        <is>
          <t>STOCKHOLMS LÄN</t>
        </is>
      </c>
      <c r="E87" t="inlineStr">
        <is>
          <t>ÖSTERÅKER</t>
        </is>
      </c>
      <c r="G87" t="n">
        <v>0.6</v>
      </c>
      <c r="H87" t="n">
        <v>0</v>
      </c>
      <c r="I87" t="n">
        <v>0</v>
      </c>
      <c r="J87" t="n">
        <v>0</v>
      </c>
      <c r="K87" t="n">
        <v>0</v>
      </c>
      <c r="L87" t="n">
        <v>0</v>
      </c>
      <c r="M87" t="n">
        <v>0</v>
      </c>
      <c r="N87" t="n">
        <v>0</v>
      </c>
      <c r="O87" t="n">
        <v>0</v>
      </c>
      <c r="P87" t="n">
        <v>0</v>
      </c>
      <c r="Q87" t="n">
        <v>0</v>
      </c>
      <c r="R87" s="2" t="inlineStr"/>
    </row>
    <row r="88" ht="15" customHeight="1">
      <c r="A88" t="inlineStr">
        <is>
          <t>A 34713-2025</t>
        </is>
      </c>
      <c r="B88" s="1" t="n">
        <v>45848</v>
      </c>
      <c r="C88" s="1" t="n">
        <v>46200</v>
      </c>
      <c r="D88" t="inlineStr">
        <is>
          <t>STOCKHOLMS LÄN</t>
        </is>
      </c>
      <c r="E88" t="inlineStr">
        <is>
          <t>ÖSTERÅKER</t>
        </is>
      </c>
      <c r="G88" t="n">
        <v>0.9</v>
      </c>
      <c r="H88" t="n">
        <v>0</v>
      </c>
      <c r="I88" t="n">
        <v>0</v>
      </c>
      <c r="J88" t="n">
        <v>0</v>
      </c>
      <c r="K88" t="n">
        <v>0</v>
      </c>
      <c r="L88" t="n">
        <v>0</v>
      </c>
      <c r="M88" t="n">
        <v>0</v>
      </c>
      <c r="N88" t="n">
        <v>0</v>
      </c>
      <c r="O88" t="n">
        <v>0</v>
      </c>
      <c r="P88" t="n">
        <v>0</v>
      </c>
      <c r="Q88" t="n">
        <v>0</v>
      </c>
      <c r="R88" s="2" t="inlineStr"/>
    </row>
    <row r="89" ht="15" customHeight="1">
      <c r="A89" t="inlineStr">
        <is>
          <t>A 60482-2025</t>
        </is>
      </c>
      <c r="B89" s="1" t="n">
        <v>45995</v>
      </c>
      <c r="C89" s="1" t="n">
        <v>46200</v>
      </c>
      <c r="D89" t="inlineStr">
        <is>
          <t>STOCKHOLMS LÄN</t>
        </is>
      </c>
      <c r="E89" t="inlineStr">
        <is>
          <t>ÖSTERÅKER</t>
        </is>
      </c>
      <c r="G89" t="n">
        <v>1.4</v>
      </c>
      <c r="H89" t="n">
        <v>0</v>
      </c>
      <c r="I89" t="n">
        <v>0</v>
      </c>
      <c r="J89" t="n">
        <v>0</v>
      </c>
      <c r="K89" t="n">
        <v>0</v>
      </c>
      <c r="L89" t="n">
        <v>0</v>
      </c>
      <c r="M89" t="n">
        <v>0</v>
      </c>
      <c r="N89" t="n">
        <v>0</v>
      </c>
      <c r="O89" t="n">
        <v>0</v>
      </c>
      <c r="P89" t="n">
        <v>0</v>
      </c>
      <c r="Q89" t="n">
        <v>0</v>
      </c>
      <c r="R89" s="2" t="inlineStr"/>
    </row>
    <row r="90" ht="15" customHeight="1">
      <c r="A90" t="inlineStr">
        <is>
          <t>A 21796-2025</t>
        </is>
      </c>
      <c r="B90" s="1" t="n">
        <v>45783</v>
      </c>
      <c r="C90" s="1" t="n">
        <v>46200</v>
      </c>
      <c r="D90" t="inlineStr">
        <is>
          <t>STOCKHOLMS LÄN</t>
        </is>
      </c>
      <c r="E90" t="inlineStr">
        <is>
          <t>ÖSTERÅKER</t>
        </is>
      </c>
      <c r="G90" t="n">
        <v>2.5</v>
      </c>
      <c r="H90" t="n">
        <v>0</v>
      </c>
      <c r="I90" t="n">
        <v>0</v>
      </c>
      <c r="J90" t="n">
        <v>0</v>
      </c>
      <c r="K90" t="n">
        <v>0</v>
      </c>
      <c r="L90" t="n">
        <v>0</v>
      </c>
      <c r="M90" t="n">
        <v>0</v>
      </c>
      <c r="N90" t="n">
        <v>0</v>
      </c>
      <c r="O90" t="n">
        <v>0</v>
      </c>
      <c r="P90" t="n">
        <v>0</v>
      </c>
      <c r="Q90" t="n">
        <v>0</v>
      </c>
      <c r="R90" s="2" t="inlineStr"/>
    </row>
    <row r="91" ht="15" customHeight="1">
      <c r="A91" t="inlineStr">
        <is>
          <t>A 18711-2023</t>
        </is>
      </c>
      <c r="B91" s="1" t="n">
        <v>45043</v>
      </c>
      <c r="C91" s="1" t="n">
        <v>46200</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23144-2024</t>
        </is>
      </c>
      <c r="B92" s="1" t="n">
        <v>45450</v>
      </c>
      <c r="C92" s="1" t="n">
        <v>46200</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26249-2026</t>
        </is>
      </c>
      <c r="B93" s="1" t="n">
        <v>46182</v>
      </c>
      <c r="C93" s="1" t="n">
        <v>46200</v>
      </c>
      <c r="D93" t="inlineStr">
        <is>
          <t>STOCKHOLMS LÄN</t>
        </is>
      </c>
      <c r="E93" t="inlineStr">
        <is>
          <t>ÖSTERÅKER</t>
        </is>
      </c>
      <c r="G93" t="n">
        <v>4.9</v>
      </c>
      <c r="H93" t="n">
        <v>0</v>
      </c>
      <c r="I93" t="n">
        <v>0</v>
      </c>
      <c r="J93" t="n">
        <v>0</v>
      </c>
      <c r="K93" t="n">
        <v>0</v>
      </c>
      <c r="L93" t="n">
        <v>0</v>
      </c>
      <c r="M93" t="n">
        <v>0</v>
      </c>
      <c r="N93" t="n">
        <v>0</v>
      </c>
      <c r="O93" t="n">
        <v>0</v>
      </c>
      <c r="P93" t="n">
        <v>0</v>
      </c>
      <c r="Q93" t="n">
        <v>0</v>
      </c>
      <c r="R93" s="2" t="inlineStr"/>
    </row>
    <row r="94" ht="15" customHeight="1">
      <c r="A94" t="inlineStr">
        <is>
          <t>A 17263-2022</t>
        </is>
      </c>
      <c r="B94" s="1" t="n">
        <v>44678</v>
      </c>
      <c r="C94" s="1" t="n">
        <v>46200</v>
      </c>
      <c r="D94" t="inlineStr">
        <is>
          <t>STOCKHOLMS LÄN</t>
        </is>
      </c>
      <c r="E94" t="inlineStr">
        <is>
          <t>ÖSTERÅKER</t>
        </is>
      </c>
      <c r="G94" t="n">
        <v>2.4</v>
      </c>
      <c r="H94" t="n">
        <v>0</v>
      </c>
      <c r="I94" t="n">
        <v>0</v>
      </c>
      <c r="J94" t="n">
        <v>0</v>
      </c>
      <c r="K94" t="n">
        <v>0</v>
      </c>
      <c r="L94" t="n">
        <v>0</v>
      </c>
      <c r="M94" t="n">
        <v>0</v>
      </c>
      <c r="N94" t="n">
        <v>0</v>
      </c>
      <c r="O94" t="n">
        <v>0</v>
      </c>
      <c r="P94" t="n">
        <v>0</v>
      </c>
      <c r="Q94" t="n">
        <v>0</v>
      </c>
      <c r="R94" s="2" t="inlineStr"/>
    </row>
    <row r="95">
      <c r="A95" t="inlineStr">
        <is>
          <t>A 34038-2025</t>
        </is>
      </c>
      <c r="B95" s="1" t="n">
        <v>45842</v>
      </c>
      <c r="C95" s="1" t="n">
        <v>46200</v>
      </c>
      <c r="D95" t="inlineStr">
        <is>
          <t>STOCKHOLMS LÄN</t>
        </is>
      </c>
      <c r="E95" t="inlineStr">
        <is>
          <t>ÖSTERÅKER</t>
        </is>
      </c>
      <c r="F95" t="inlineStr">
        <is>
          <t>Övriga Aktiebolag</t>
        </is>
      </c>
      <c r="G95" t="n">
        <v>4.7</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