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46288</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46288</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46288</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46288</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46288</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46288</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46288</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46288</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46288</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46288</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46288</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46288</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62578-2025</t>
        </is>
      </c>
      <c r="B14" t="inlineStr">
        <is>
          <t>avverkningsanmälan</t>
        </is>
      </c>
      <c r="C14" t="inlineStr">
        <is>
          <t>Föryngringsavverkning</t>
        </is>
      </c>
      <c r="D14" s="1" t="n">
        <v>46007</v>
      </c>
      <c r="E14" s="1" t="n">
        <v>46288</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61363-2022</t>
        </is>
      </c>
      <c r="B15" t="inlineStr">
        <is>
          <t>avverkningsanmälan</t>
        </is>
      </c>
      <c r="C15" t="inlineStr">
        <is>
          <t>Föryngringsavverkning</t>
        </is>
      </c>
      <c r="D15" s="1" t="n">
        <v>44915</v>
      </c>
      <c r="E15" s="1" t="n">
        <v>46288</v>
      </c>
      <c r="F15" t="inlineStr">
        <is>
          <t>STOCKHOLMS LÄN</t>
        </is>
      </c>
      <c r="G15" t="inlineStr">
        <is>
          <t>ÖSTERÅKER</t>
        </is>
      </c>
      <c r="I15" t="n">
        <v>5.3</v>
      </c>
      <c r="J15" t="n">
        <v>1</v>
      </c>
      <c r="K15" t="n">
        <v>0</v>
      </c>
      <c r="L15" t="n">
        <v>2</v>
      </c>
      <c r="M15" t="n">
        <v>0</v>
      </c>
      <c r="N15" t="n">
        <v>0</v>
      </c>
      <c r="O15" t="n">
        <v>0</v>
      </c>
      <c r="P15" t="n">
        <v>0</v>
      </c>
      <c r="Q15" t="n">
        <v>2</v>
      </c>
      <c r="R15" t="n">
        <v>0</v>
      </c>
      <c r="S15" t="n">
        <v>3</v>
      </c>
      <c r="T15" t="n">
        <v>3</v>
      </c>
      <c r="U15" t="n">
        <v>3</v>
      </c>
      <c r="V15" s="2" t="inlineStr">
        <is>
          <t>Motaggsvamp
Skuggblåslav
Tjäder</t>
        </is>
      </c>
      <c r="W15">
        <f>HYPERLINK("https://klasma.github.io/Logging_0117/artfynd/A 61363-2022 artfynd.xlsx", "A 61363-2022")</f>
        <v/>
      </c>
      <c r="X15">
        <f>HYPERLINK("https://klasma.github.io/Logging_0117/kartor/A 61363-2022 karta.png", "A 61363-2022")</f>
        <v/>
      </c>
      <c r="Y15">
        <f>HYPERLINK("https://klasma.github.io/Logging_0117/kartor_geotiff/A 61363-2022 georefererad karta.tif", "A 61363-2022")</f>
        <v/>
      </c>
      <c r="AA15">
        <f>HYPERLINK("https://klasma.github.io/Logging_0117/klagomål/A 61363-2022 FSC-klagomål.docx", "A 61363-2022")</f>
        <v/>
      </c>
      <c r="AB15">
        <f>HYPERLINK("https://klasma.github.io/Logging_0117/klagomålsmail/A 61363-2022 FSC-klagomål mail.docx", "A 61363-2022")</f>
        <v/>
      </c>
      <c r="AC15">
        <f>HYPERLINK("https://klasma.github.io/Logging_0117/tillsyn/A 61363-2022 tillsynsbegäran.docx", "A 61363-2022")</f>
        <v/>
      </c>
      <c r="AD15">
        <f>HYPERLINK("https://klasma.github.io/Logging_0117/tillsynsmail/A 61363-2022 tillsynsbegäran mail.docx", "A 61363-2022")</f>
        <v/>
      </c>
      <c r="AE15">
        <f>HYPERLINK("https://klasma.github.io/Logging_0117/fåglar/A 61363-2022 prioriterade fågelarter.docx", "A 61363-2022")</f>
        <v/>
      </c>
    </row>
    <row r="16" ht="15" customHeight="1">
      <c r="A16" t="inlineStr">
        <is>
          <t>A 54703-2024</t>
        </is>
      </c>
      <c r="B16" t="inlineStr">
        <is>
          <t>avverkningsanmälan</t>
        </is>
      </c>
      <c r="C16" t="inlineStr">
        <is>
          <t>Avverkning för annat ändamål</t>
        </is>
      </c>
      <c r="D16" s="1" t="n">
        <v>45618</v>
      </c>
      <c r="E16" s="1" t="n">
        <v>46288</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27948-2025</t>
        </is>
      </c>
      <c r="B17" t="inlineStr">
        <is>
          <t>avverkningsanmälan</t>
        </is>
      </c>
      <c r="C17" t="inlineStr">
        <is>
          <t>Föryngringsavverkning</t>
        </is>
      </c>
      <c r="D17" s="1" t="n">
        <v>45817</v>
      </c>
      <c r="E17" s="1" t="n">
        <v>46288</v>
      </c>
      <c r="F17" t="inlineStr">
        <is>
          <t>STOCKHOLMS LÄN</t>
        </is>
      </c>
      <c r="G17" t="inlineStr">
        <is>
          <t>ÖSTERÅKER</t>
        </is>
      </c>
      <c r="I17" t="n">
        <v>5.6</v>
      </c>
      <c r="J17" t="n">
        <v>3</v>
      </c>
      <c r="K17" t="n">
        <v>0</v>
      </c>
      <c r="L17" t="n">
        <v>1</v>
      </c>
      <c r="M17" t="n">
        <v>1</v>
      </c>
      <c r="N17" t="n">
        <v>0</v>
      </c>
      <c r="O17" t="n">
        <v>0</v>
      </c>
      <c r="P17" t="n">
        <v>0</v>
      </c>
      <c r="Q17" t="n">
        <v>2</v>
      </c>
      <c r="R17" t="n">
        <v>1</v>
      </c>
      <c r="S17" t="n">
        <v>3</v>
      </c>
      <c r="T17" t="n">
        <v>3</v>
      </c>
      <c r="U17" t="n">
        <v>0</v>
      </c>
      <c r="V17" s="2" t="inlineStr">
        <is>
          <t>Tornseglare
Ladusvala
Törnskata</t>
        </is>
      </c>
      <c r="W17">
        <f>HYPERLINK("https://klasma.github.io/Logging_0117/artfynd/A 27948-2025 artfynd.xlsx", "A 27948-2025")</f>
        <v/>
      </c>
      <c r="X17">
        <f>HYPERLINK("https://klasma.github.io/Logging_0117/kartor/A 27948-2025 karta.png", "A 27948-2025")</f>
        <v/>
      </c>
      <c r="Y17">
        <f>HYPERLINK("https://klasma.github.io/Logging_0117/kartor_geotiff/A 27948-2025 georefererad karta.tif", "A 27948-2025")</f>
        <v/>
      </c>
      <c r="AA17">
        <f>HYPERLINK("https://klasma.github.io/Logging_0117/klagomål/A 27948-2025 FSC-klagomål.docx", "A 27948-2025")</f>
        <v/>
      </c>
      <c r="AB17">
        <f>HYPERLINK("https://klasma.github.io/Logging_0117/klagomålsmail/A 27948-2025 FSC-klagomål mail.docx", "A 27948-2025")</f>
        <v/>
      </c>
      <c r="AC17">
        <f>HYPERLINK("https://klasma.github.io/Logging_0117/tillsyn/A 27948-2025 tillsynsbegäran.docx", "A 27948-2025")</f>
        <v/>
      </c>
      <c r="AD17">
        <f>HYPERLINK("https://klasma.github.io/Logging_0117/tillsynsmail/A 27948-2025 tillsynsbegäran mail.docx", "A 27948-2025")</f>
        <v/>
      </c>
      <c r="AE17">
        <f>HYPERLINK("https://klasma.github.io/Logging_0117/fåglar/A 27948-2025 prioriterade fågelarter.docx", "A 27948-2025")</f>
        <v/>
      </c>
    </row>
    <row r="18" ht="15" customHeight="1">
      <c r="A18" t="inlineStr">
        <is>
          <t>A 67244-2021</t>
        </is>
      </c>
      <c r="B18" t="inlineStr">
        <is>
          <t>avverkningsanmälan</t>
        </is>
      </c>
      <c r="C18" t="inlineStr">
        <is>
          <t>Avverkning för annat ändamål</t>
        </is>
      </c>
      <c r="D18" s="1" t="n">
        <v>44523</v>
      </c>
      <c r="E18" s="1" t="n">
        <v>46288</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46288</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46288</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46288</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46288</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61323-2022</t>
        </is>
      </c>
      <c r="B23" t="inlineStr">
        <is>
          <t>avverkningsanmälan</t>
        </is>
      </c>
      <c r="C23" t="inlineStr">
        <is>
          <t>Föryngringsavverkning</t>
        </is>
      </c>
      <c r="D23" s="1" t="n">
        <v>44915</v>
      </c>
      <c r="E23" s="1" t="n">
        <v>46288</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62839-2025</t>
        </is>
      </c>
      <c r="B24" t="inlineStr">
        <is>
          <t>avverkningsanmälan</t>
        </is>
      </c>
      <c r="C24" t="inlineStr">
        <is>
          <t>Föryngringsavverkning</t>
        </is>
      </c>
      <c r="D24" s="1" t="n">
        <v>46008</v>
      </c>
      <c r="E24" s="1" t="n">
        <v>46288</v>
      </c>
      <c r="F24" t="inlineStr">
        <is>
          <t>STOCKHOLMS LÄN</t>
        </is>
      </c>
      <c r="G24" t="inlineStr">
        <is>
          <t>ÖSTERÅKER</t>
        </is>
      </c>
      <c r="I24" t="n">
        <v>1.4</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HYPERLINK("https://klasma.github.io/Logging_0117/artfynd/A 62839-2025 artfynd.xlsx", "A 62839-2025")</f>
        <v/>
      </c>
      <c r="X24">
        <f>HYPERLINK("https://klasma.github.io/Logging_0117/kartor/A 62839-2025 karta.png", "A 62839-2025")</f>
        <v/>
      </c>
      <c r="Y24">
        <f>HYPERLINK("https://klasma.github.io/Logging_0117/kartor_geotiff/A 62839-2025 georefererad karta.tif", "A 62839-2025")</f>
        <v/>
      </c>
      <c r="AA24">
        <f>HYPERLINK("https://klasma.github.io/Logging_0117/klagomål/A 62839-2025 FSC-klagomål.docx", "A 62839-2025")</f>
        <v/>
      </c>
      <c r="AB24">
        <f>HYPERLINK("https://klasma.github.io/Logging_0117/klagomålsmail/A 62839-2025 FSC-klagomål mail.docx", "A 62839-2025")</f>
        <v/>
      </c>
      <c r="AC24">
        <f>HYPERLINK("https://klasma.github.io/Logging_0117/tillsyn/A 62839-2025 tillsynsbegäran.docx", "A 62839-2025")</f>
        <v/>
      </c>
      <c r="AD24">
        <f>HYPERLINK("https://klasma.github.io/Logging_0117/tillsynsmail/A 62839-2025 tillsynsbegäran mail.docx", "A 62839-2025")</f>
        <v/>
      </c>
    </row>
    <row r="25" ht="15" customHeight="1">
      <c r="A25" t="inlineStr">
        <is>
          <t>A 62831-2025</t>
        </is>
      </c>
      <c r="B25" t="inlineStr">
        <is>
          <t>avverkningsanmälan</t>
        </is>
      </c>
      <c r="C25" t="inlineStr">
        <is>
          <t>Föryngringsavverkning</t>
        </is>
      </c>
      <c r="D25" s="1" t="n">
        <v>46008</v>
      </c>
      <c r="E25" s="1" t="n">
        <v>46288</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67265-2021</t>
        </is>
      </c>
      <c r="B26" t="inlineStr">
        <is>
          <t>avverkningsanmälan</t>
        </is>
      </c>
      <c r="C26" t="inlineStr">
        <is>
          <t>Föryngringsavverkning</t>
        </is>
      </c>
      <c r="D26" s="1" t="n">
        <v>44523</v>
      </c>
      <c r="E26" s="1" t="n">
        <v>46288</v>
      </c>
      <c r="F26" t="inlineStr">
        <is>
          <t>STOCKHOLMS LÄN</t>
        </is>
      </c>
      <c r="G26" t="inlineStr">
        <is>
          <t>ÖSTERÅKER</t>
        </is>
      </c>
      <c r="H26" t="inlineStr">
        <is>
          <t>Kommuner</t>
        </is>
      </c>
      <c r="I26" t="n">
        <v>2.6</v>
      </c>
      <c r="J26" t="n">
        <v>1</v>
      </c>
      <c r="K26" t="n">
        <v>0</v>
      </c>
      <c r="L26" t="n">
        <v>1</v>
      </c>
      <c r="M26" t="n">
        <v>0</v>
      </c>
      <c r="N26" t="n">
        <v>0</v>
      </c>
      <c r="O26" t="n">
        <v>0</v>
      </c>
      <c r="P26" t="n">
        <v>0</v>
      </c>
      <c r="Q26" t="n">
        <v>1</v>
      </c>
      <c r="R26" t="n">
        <v>0</v>
      </c>
      <c r="S26" t="n">
        <v>1</v>
      </c>
      <c r="T26" t="n">
        <v>1</v>
      </c>
      <c r="U26" t="n">
        <v>1</v>
      </c>
      <c r="V26" s="2" t="inlineStr">
        <is>
          <t>Mindre hackspett</t>
        </is>
      </c>
      <c r="W26">
        <f>HYPERLINK("https://klasma.github.io/Logging_0117/artfynd/A 67265-2021 artfynd.xlsx", "A 67265-2021")</f>
        <v/>
      </c>
      <c r="X26">
        <f>HYPERLINK("https://klasma.github.io/Logging_0117/kartor/A 67265-2021 karta.png", "A 67265-2021")</f>
        <v/>
      </c>
      <c r="Y26">
        <f>HYPERLINK("https://klasma.github.io/Logging_0117/kartor_geotiff/A 67265-2021 georefererad karta.tif", "A 67265-2021")</f>
        <v/>
      </c>
      <c r="AA26">
        <f>HYPERLINK("https://klasma.github.io/Logging_0117/klagomål/A 67265-2021 FSC-klagomål.docx", "A 67265-2021")</f>
        <v/>
      </c>
      <c r="AB26">
        <f>HYPERLINK("https://klasma.github.io/Logging_0117/klagomålsmail/A 67265-2021 FSC-klagomål mail.docx", "A 67265-2021")</f>
        <v/>
      </c>
      <c r="AC26">
        <f>HYPERLINK("https://klasma.github.io/Logging_0117/tillsyn/A 67265-2021 tillsynsbegäran.docx", "A 67265-2021")</f>
        <v/>
      </c>
      <c r="AD26">
        <f>HYPERLINK("https://klasma.github.io/Logging_0117/tillsynsmail/A 67265-2021 tillsynsbegäran mail.docx", "A 67265-2021")</f>
        <v/>
      </c>
      <c r="AE26">
        <f>HYPERLINK("https://klasma.github.io/Logging_0117/fåglar/A 67265-2021 prioriterade fågelarter.docx", "A 67265-2021")</f>
        <v/>
      </c>
    </row>
    <row r="27" ht="15" customHeight="1">
      <c r="A27" t="inlineStr">
        <is>
          <t>A 31716-2025</t>
        </is>
      </c>
      <c r="B27" t="inlineStr">
        <is>
          <t>avverkningsanmälan</t>
        </is>
      </c>
      <c r="C27" t="inlineStr">
        <is>
          <t>Föryngringsavverkning</t>
        </is>
      </c>
      <c r="D27" s="1" t="n">
        <v>45834</v>
      </c>
      <c r="E27" s="1" t="n">
        <v>46288</v>
      </c>
      <c r="F27" t="inlineStr">
        <is>
          <t>STOCKHOLMS LÄN</t>
        </is>
      </c>
      <c r="G27" t="inlineStr">
        <is>
          <t>ÖSTERÅKER</t>
        </is>
      </c>
      <c r="I27" t="n">
        <v>2.8</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HYPERLINK("https://klasma.github.io/Logging_0117/artfynd/A 31716-2025 artfynd.xlsx", "A 31716-2025")</f>
        <v/>
      </c>
      <c r="X27">
        <f>HYPERLINK("https://klasma.github.io/Logging_0117/kartor/A 31716-2025 karta.png", "A 31716-2025")</f>
        <v/>
      </c>
      <c r="Y27">
        <f>HYPERLINK("https://klasma.github.io/Logging_0117/kartor_geotiff/A 31716-2025 georefererad karta.tif", "A 31716-2025")</f>
        <v/>
      </c>
      <c r="AA27">
        <f>HYPERLINK("https://klasma.github.io/Logging_0117/klagomål/A 31716-2025 FSC-klagomål.docx", "A 31716-2025")</f>
        <v/>
      </c>
      <c r="AB27">
        <f>HYPERLINK("https://klasma.github.io/Logging_0117/klagomålsmail/A 31716-2025 FSC-klagomål mail.docx", "A 31716-2025")</f>
        <v/>
      </c>
      <c r="AC27">
        <f>HYPERLINK("https://klasma.github.io/Logging_0117/tillsyn/A 31716-2025 tillsynsbegäran.docx", "A 31716-2025")</f>
        <v/>
      </c>
      <c r="AD27">
        <f>HYPERLINK("https://klasma.github.io/Logging_0117/tillsynsmail/A 31716-2025 tillsynsbegäran mail.docx", "A 31716-2025")</f>
        <v/>
      </c>
    </row>
    <row r="28" ht="15" customHeight="1">
      <c r="A28" t="inlineStr">
        <is>
          <t>S 5861-2022</t>
        </is>
      </c>
      <c r="B28" t="inlineStr">
        <is>
          <t>samrådsanmälan</t>
        </is>
      </c>
      <c r="C28" t="inlineStr">
        <is>
          <t>Annan skogsbruksåtgärd</t>
        </is>
      </c>
      <c r="D28" s="1" t="n">
        <v>44852</v>
      </c>
      <c r="E28" s="1" t="n">
        <v>46288</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46288</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46288</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46288</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46288</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46288</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46288</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46288</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46288</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46288</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46288</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46288</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46288</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46288</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46288</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46288</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46288</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46288</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46288</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37037-2023</t>
        </is>
      </c>
      <c r="B47" t="inlineStr">
        <is>
          <t>avverkningsanmälan</t>
        </is>
      </c>
      <c r="C47" t="inlineStr">
        <is>
          <t>Föryngringsavverkning</t>
        </is>
      </c>
      <c r="D47" s="1" t="n">
        <v>45155</v>
      </c>
      <c r="E47" s="1" t="n">
        <v>46288</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3828-2023</t>
        </is>
      </c>
      <c r="B48" t="inlineStr">
        <is>
          <t>avverkningsanmälan</t>
        </is>
      </c>
      <c r="C48" t="inlineStr">
        <is>
          <t>Föryngringsavverkning</t>
        </is>
      </c>
      <c r="D48" s="1" t="n">
        <v>44951</v>
      </c>
      <c r="E48" s="1" t="n">
        <v>46288</v>
      </c>
      <c r="F48" t="inlineStr">
        <is>
          <t>STOCKHOLMS LÄN</t>
        </is>
      </c>
      <c r="G48" t="inlineStr">
        <is>
          <t>ÖSTERÅKER</t>
        </is>
      </c>
      <c r="H48" t="inlineStr">
        <is>
          <t>Kommuner</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46288</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17353-2025</t>
        </is>
      </c>
      <c r="B50" t="inlineStr">
        <is>
          <t>avverkningsanmälan</t>
        </is>
      </c>
      <c r="C50" t="inlineStr">
        <is>
          <t>Föryngringsavverkning</t>
        </is>
      </c>
      <c r="D50" s="1" t="n">
        <v>45756</v>
      </c>
      <c r="E50" s="1" t="n">
        <v>46288</v>
      </c>
      <c r="F50" t="inlineStr">
        <is>
          <t>STOCKHOLMS LÄN</t>
        </is>
      </c>
      <c r="G50" t="inlineStr">
        <is>
          <t>ÖSTERÅKER</t>
        </is>
      </c>
      <c r="H50" t="inlineStr">
        <is>
          <t>Övriga Aktiebolag</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61360-2022</t>
        </is>
      </c>
      <c r="B51" t="inlineStr">
        <is>
          <t>avverkningsanmälan</t>
        </is>
      </c>
      <c r="C51" t="inlineStr">
        <is>
          <t>Föryngringsavverkning</t>
        </is>
      </c>
      <c r="D51" s="1" t="n">
        <v>44915</v>
      </c>
      <c r="E51" s="1" t="n">
        <v>46288</v>
      </c>
      <c r="F51" t="inlineStr">
        <is>
          <t>STOCKHOLMS LÄN</t>
        </is>
      </c>
      <c r="G51" t="inlineStr">
        <is>
          <t>ÖSTERÅKER</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16728-2022</t>
        </is>
      </c>
      <c r="B52" t="inlineStr">
        <is>
          <t>avverkningsanmälan</t>
        </is>
      </c>
      <c r="C52" t="inlineStr">
        <is>
          <t>Föryngringsavverkning</t>
        </is>
      </c>
      <c r="D52" s="1" t="n">
        <v>44673</v>
      </c>
      <c r="E52" s="1" t="n">
        <v>46288</v>
      </c>
      <c r="F52" t="inlineStr">
        <is>
          <t>STOCKHOLMS LÄN</t>
        </is>
      </c>
      <c r="G52" t="inlineStr">
        <is>
          <t>ÖSTERÅKER</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61710-2022</t>
        </is>
      </c>
      <c r="B53" t="inlineStr">
        <is>
          <t>avverkningsanmälan</t>
        </is>
      </c>
      <c r="C53" t="inlineStr">
        <is>
          <t>Föryngringsavverkning</t>
        </is>
      </c>
      <c r="D53" s="1" t="n">
        <v>44917</v>
      </c>
      <c r="E53" s="1" t="n">
        <v>46288</v>
      </c>
      <c r="F53" t="inlineStr">
        <is>
          <t>STOCKHOLMS LÄN</t>
        </is>
      </c>
      <c r="G53" t="inlineStr">
        <is>
          <t>ÖSTERÅKER</t>
        </is>
      </c>
      <c r="I53" t="n">
        <v>6.2</v>
      </c>
      <c r="J53" t="n">
        <v>0</v>
      </c>
      <c r="K53" t="n">
        <v>0</v>
      </c>
      <c r="L53" t="n">
        <v>0</v>
      </c>
      <c r="M53" t="n">
        <v>0</v>
      </c>
      <c r="N53" t="n">
        <v>0</v>
      </c>
      <c r="O53" t="n">
        <v>0</v>
      </c>
      <c r="P53" t="n">
        <v>0</v>
      </c>
      <c r="Q53" t="n">
        <v>0</v>
      </c>
      <c r="R53" t="n">
        <v>0</v>
      </c>
      <c r="S53" t="n">
        <v>0</v>
      </c>
      <c r="T53" t="n">
        <v>0</v>
      </c>
      <c r="U53" t="n">
        <v>0</v>
      </c>
      <c r="V53" s="2" t="inlineStr"/>
    </row>
    <row r="54" ht="15" customHeight="1">
      <c r="A54" t="inlineStr">
        <is>
          <t>A 1136-2023</t>
        </is>
      </c>
      <c r="B54" t="inlineStr">
        <is>
          <t>avverkningsanmälan</t>
        </is>
      </c>
      <c r="C54" t="inlineStr">
        <is>
          <t>Avverkning för annat ändamål</t>
        </is>
      </c>
      <c r="D54" s="1" t="n">
        <v>44935</v>
      </c>
      <c r="E54" s="1" t="n">
        <v>46288</v>
      </c>
      <c r="F54" t="inlineStr">
        <is>
          <t>STOCKHOLMS LÄN</t>
        </is>
      </c>
      <c r="G54" t="inlineStr">
        <is>
          <t>ÖSTERÅKER</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22528-2024</t>
        </is>
      </c>
      <c r="B55" t="inlineStr">
        <is>
          <t>avverkningsanmälan</t>
        </is>
      </c>
      <c r="C55" t="inlineStr">
        <is>
          <t>Föryngringsavverkning</t>
        </is>
      </c>
      <c r="D55" s="1" t="n">
        <v>45447</v>
      </c>
      <c r="E55" s="1" t="n">
        <v>46288</v>
      </c>
      <c r="F55" t="inlineStr">
        <is>
          <t>STOCKHOLMS LÄN</t>
        </is>
      </c>
      <c r="G55" t="inlineStr">
        <is>
          <t>ÖSTERÅKER</t>
        </is>
      </c>
      <c r="H55" t="inlineStr">
        <is>
          <t>Övriga Aktiebolag</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28143-2024</t>
        </is>
      </c>
      <c r="B56" t="inlineStr">
        <is>
          <t>avverkningsanmälan</t>
        </is>
      </c>
      <c r="C56" t="inlineStr">
        <is>
          <t>Föryngringsavverkning</t>
        </is>
      </c>
      <c r="D56" s="1" t="n">
        <v>45476</v>
      </c>
      <c r="E56" s="1" t="n">
        <v>46288</v>
      </c>
      <c r="F56" t="inlineStr">
        <is>
          <t>STOCKHOLMS LÄN</t>
        </is>
      </c>
      <c r="G56" t="inlineStr">
        <is>
          <t>ÖSTERÅKER</t>
        </is>
      </c>
      <c r="H56" t="inlineStr">
        <is>
          <t>Övriga Aktiebolag</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34713-2025</t>
        </is>
      </c>
      <c r="B57" t="inlineStr">
        <is>
          <t>avverkningsanmälan</t>
        </is>
      </c>
      <c r="C57" t="inlineStr">
        <is>
          <t>Föryngringsavverkning</t>
        </is>
      </c>
      <c r="D57" s="1" t="n">
        <v>45848</v>
      </c>
      <c r="E57" s="1" t="n">
        <v>46288</v>
      </c>
      <c r="F57" t="inlineStr">
        <is>
          <t>STOCKHOLMS LÄN</t>
        </is>
      </c>
      <c r="G57" t="inlineStr">
        <is>
          <t>ÖSTERÅKER</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60482-2025</t>
        </is>
      </c>
      <c r="B58" t="inlineStr">
        <is>
          <t>avverkningsanmälan</t>
        </is>
      </c>
      <c r="C58" t="inlineStr">
        <is>
          <t>Föryngringsavverkning</t>
        </is>
      </c>
      <c r="D58" s="1" t="n">
        <v>45995</v>
      </c>
      <c r="E58" s="1" t="n">
        <v>46288</v>
      </c>
      <c r="F58" t="inlineStr">
        <is>
          <t>STOCKHOLMS LÄN</t>
        </is>
      </c>
      <c r="G58" t="inlineStr">
        <is>
          <t>ÖSTERÅKER</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21796-2025</t>
        </is>
      </c>
      <c r="B59" t="inlineStr">
        <is>
          <t>avverkningsanmälan</t>
        </is>
      </c>
      <c r="C59" t="inlineStr">
        <is>
          <t>Föryngringsavverkning</t>
        </is>
      </c>
      <c r="D59" s="1" t="n">
        <v>45783</v>
      </c>
      <c r="E59" s="1" t="n">
        <v>46288</v>
      </c>
      <c r="F59" t="inlineStr">
        <is>
          <t>STOCKHOLMS LÄN</t>
        </is>
      </c>
      <c r="G59" t="inlineStr">
        <is>
          <t>ÖSTERÅKER</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18711-2023</t>
        </is>
      </c>
      <c r="B60" t="inlineStr">
        <is>
          <t>avverkningsanmälan</t>
        </is>
      </c>
      <c r="C60" t="inlineStr">
        <is>
          <t>Föryngringsavverkning</t>
        </is>
      </c>
      <c r="D60" s="1" t="n">
        <v>45043</v>
      </c>
      <c r="E60" s="1" t="n">
        <v>46288</v>
      </c>
      <c r="F60" t="inlineStr">
        <is>
          <t>STOCKHOLMS LÄN</t>
        </is>
      </c>
      <c r="G60" t="inlineStr">
        <is>
          <t>ÖSTERÅKER</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14776-2024</t>
        </is>
      </c>
      <c r="B61" t="inlineStr">
        <is>
          <t>avverkningsanmälan</t>
        </is>
      </c>
      <c r="C61" t="inlineStr">
        <is>
          <t>Föryngringsavverkning</t>
        </is>
      </c>
      <c r="D61" s="1" t="n">
        <v>45397</v>
      </c>
      <c r="E61" s="1" t="n">
        <v>46288</v>
      </c>
      <c r="F61" t="inlineStr">
        <is>
          <t>STOCKHOLMS LÄN</t>
        </is>
      </c>
      <c r="G61" t="inlineStr">
        <is>
          <t>ÖSTERÅKER</t>
        </is>
      </c>
      <c r="I61" t="n">
        <v>13.6</v>
      </c>
      <c r="J61" t="n">
        <v>0</v>
      </c>
      <c r="K61" t="n">
        <v>0</v>
      </c>
      <c r="L61" t="n">
        <v>0</v>
      </c>
      <c r="M61" t="n">
        <v>0</v>
      </c>
      <c r="N61" t="n">
        <v>0</v>
      </c>
      <c r="O61" t="n">
        <v>0</v>
      </c>
      <c r="P61" t="n">
        <v>0</v>
      </c>
      <c r="Q61" t="n">
        <v>0</v>
      </c>
      <c r="R61" t="n">
        <v>0</v>
      </c>
      <c r="S61" t="n">
        <v>0</v>
      </c>
      <c r="T61" t="n">
        <v>0</v>
      </c>
      <c r="U61" t="n">
        <v>0</v>
      </c>
      <c r="V61" s="2" t="inlineStr"/>
    </row>
    <row r="62" ht="15" customHeight="1">
      <c r="A62" t="inlineStr">
        <is>
          <t>A 23144-2024</t>
        </is>
      </c>
      <c r="B62" t="inlineStr">
        <is>
          <t>avverkningsanmälan</t>
        </is>
      </c>
      <c r="C62" t="inlineStr">
        <is>
          <t>Föryngringsavverkning</t>
        </is>
      </c>
      <c r="D62" s="1" t="n">
        <v>45450</v>
      </c>
      <c r="E62" s="1" t="n">
        <v>46288</v>
      </c>
      <c r="F62" t="inlineStr">
        <is>
          <t>STOCKHOLMS LÄN</t>
        </is>
      </c>
      <c r="G62" t="inlineStr">
        <is>
          <t>ÖSTERÅKER</t>
        </is>
      </c>
      <c r="H62" t="inlineStr">
        <is>
          <t>Övriga Aktiebolag</t>
        </is>
      </c>
      <c r="I62" t="n">
        <v>4.7</v>
      </c>
      <c r="J62" t="n">
        <v>0</v>
      </c>
      <c r="K62" t="n">
        <v>0</v>
      </c>
      <c r="L62" t="n">
        <v>0</v>
      </c>
      <c r="M62" t="n">
        <v>0</v>
      </c>
      <c r="N62" t="n">
        <v>0</v>
      </c>
      <c r="O62" t="n">
        <v>0</v>
      </c>
      <c r="P62" t="n">
        <v>0</v>
      </c>
      <c r="Q62" t="n">
        <v>0</v>
      </c>
      <c r="R62" t="n">
        <v>0</v>
      </c>
      <c r="S62" t="n">
        <v>0</v>
      </c>
      <c r="T62" t="n">
        <v>0</v>
      </c>
      <c r="U62" t="n">
        <v>0</v>
      </c>
      <c r="V62" s="2" t="inlineStr"/>
    </row>
    <row r="63" ht="15" customHeight="1">
      <c r="A63" t="inlineStr">
        <is>
          <t>A 17263-2022</t>
        </is>
      </c>
      <c r="B63" t="inlineStr">
        <is>
          <t>avverkningsanmälan</t>
        </is>
      </c>
      <c r="C63" t="inlineStr">
        <is>
          <t>Föryngringsavverkning</t>
        </is>
      </c>
      <c r="D63" s="1" t="n">
        <v>44678</v>
      </c>
      <c r="E63" s="1" t="n">
        <v>46288</v>
      </c>
      <c r="F63" t="inlineStr">
        <is>
          <t>STOCKHOLMS LÄN</t>
        </is>
      </c>
      <c r="G63" t="inlineStr">
        <is>
          <t>ÖSTERÅKER</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34038-2025</t>
        </is>
      </c>
      <c r="B64" t="inlineStr">
        <is>
          <t>avverkningsanmälan</t>
        </is>
      </c>
      <c r="C64" t="inlineStr">
        <is>
          <t>Föryngringsavverkning</t>
        </is>
      </c>
      <c r="D64" s="1" t="n">
        <v>45842</v>
      </c>
      <c r="E64" s="1" t="n">
        <v>46288</v>
      </c>
      <c r="F64" t="inlineStr">
        <is>
          <t>STOCKHOLMS LÄN</t>
        </is>
      </c>
      <c r="G64" t="inlineStr">
        <is>
          <t>ÖSTERÅKER</t>
        </is>
      </c>
      <c r="H64" t="inlineStr">
        <is>
          <t>Övriga Aktiebolag</t>
        </is>
      </c>
      <c r="I64" t="n">
        <v>4.7</v>
      </c>
      <c r="J64" t="n">
        <v>0</v>
      </c>
      <c r="K64" t="n">
        <v>0</v>
      </c>
      <c r="L64" t="n">
        <v>0</v>
      </c>
      <c r="M64" t="n">
        <v>0</v>
      </c>
      <c r="N64" t="n">
        <v>0</v>
      </c>
      <c r="O64" t="n">
        <v>0</v>
      </c>
      <c r="P64" t="n">
        <v>0</v>
      </c>
      <c r="Q64" t="n">
        <v>0</v>
      </c>
      <c r="R64" t="n">
        <v>0</v>
      </c>
      <c r="S64" t="n">
        <v>0</v>
      </c>
      <c r="T64" t="n">
        <v>0</v>
      </c>
      <c r="U64" t="n">
        <v>0</v>
      </c>
      <c r="V64" s="2" t="inlineStr"/>
    </row>
    <row r="65" ht="15" customHeight="1">
      <c r="A65" t="inlineStr">
        <is>
          <t>A 52220-2025</t>
        </is>
      </c>
      <c r="B65" t="inlineStr">
        <is>
          <t>avverkningsanmälan</t>
        </is>
      </c>
      <c r="C65" t="inlineStr">
        <is>
          <t>Avverkning för annat ändamål</t>
        </is>
      </c>
      <c r="D65" s="1" t="n">
        <v>45953</v>
      </c>
      <c r="E65" s="1" t="n">
        <v>46288</v>
      </c>
      <c r="F65" t="inlineStr">
        <is>
          <t>STOCKHOLMS LÄN</t>
        </is>
      </c>
      <c r="G65" t="inlineStr">
        <is>
          <t>ÖSTERÅKER</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39394-2023</t>
        </is>
      </c>
      <c r="B66" t="inlineStr">
        <is>
          <t>avverkningsanmälan</t>
        </is>
      </c>
      <c r="C66" t="inlineStr">
        <is>
          <t>Föryngringsavverkning</t>
        </is>
      </c>
      <c r="D66" s="1" t="n">
        <v>45166</v>
      </c>
      <c r="E66" s="1" t="n">
        <v>46288</v>
      </c>
      <c r="F66" t="inlineStr">
        <is>
          <t>STOCKHOLMS LÄN</t>
        </is>
      </c>
      <c r="G66" t="inlineStr">
        <is>
          <t>ÖSTERÅKER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16803-2022</t>
        </is>
      </c>
      <c r="B67" t="inlineStr">
        <is>
          <t>avverkningsanmälan</t>
        </is>
      </c>
      <c r="C67" t="inlineStr">
        <is>
          <t>Föryngringsavverkning</t>
        </is>
      </c>
      <c r="D67" s="1" t="n">
        <v>44673</v>
      </c>
      <c r="E67" s="1" t="n">
        <v>46288</v>
      </c>
      <c r="F67" t="inlineStr">
        <is>
          <t>STOCKHOLMS LÄN</t>
        </is>
      </c>
      <c r="G67" t="inlineStr">
        <is>
          <t>ÖSTERÅKER</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470-2022</t>
        </is>
      </c>
      <c r="B68" t="inlineStr">
        <is>
          <t>avverkningsanmälan</t>
        </is>
      </c>
      <c r="C68" t="inlineStr">
        <is>
          <t>Föryngringsavverkning</t>
        </is>
      </c>
      <c r="D68" s="1" t="n">
        <v>44565</v>
      </c>
      <c r="E68" s="1" t="n">
        <v>46288</v>
      </c>
      <c r="F68" t="inlineStr">
        <is>
          <t>STOCKHOLMS LÄN</t>
        </is>
      </c>
      <c r="G68" t="inlineStr">
        <is>
          <t>ÖSTERÅKER</t>
        </is>
      </c>
      <c r="H68" t="inlineStr">
        <is>
          <t>Övriga Aktiebolag</t>
        </is>
      </c>
      <c r="I68" t="n">
        <v>4.6</v>
      </c>
      <c r="J68" t="n">
        <v>0</v>
      </c>
      <c r="K68" t="n">
        <v>0</v>
      </c>
      <c r="L68" t="n">
        <v>0</v>
      </c>
      <c r="M68" t="n">
        <v>0</v>
      </c>
      <c r="N68" t="n">
        <v>0</v>
      </c>
      <c r="O68" t="n">
        <v>0</v>
      </c>
      <c r="P68" t="n">
        <v>0</v>
      </c>
      <c r="Q68" t="n">
        <v>0</v>
      </c>
      <c r="R68" t="n">
        <v>0</v>
      </c>
      <c r="S68" t="n">
        <v>0</v>
      </c>
      <c r="T68" t="n">
        <v>0</v>
      </c>
      <c r="U68" t="n">
        <v>0</v>
      </c>
      <c r="V68" s="2" t="inlineStr"/>
    </row>
    <row r="69" ht="15" customHeight="1">
      <c r="A69" t="inlineStr">
        <is>
          <t>A 23198-2026</t>
        </is>
      </c>
      <c r="B69" t="inlineStr">
        <is>
          <t>avverkningsanmälan</t>
        </is>
      </c>
      <c r="C69" t="inlineStr">
        <is>
          <t>Avverkning för annat ändamål</t>
        </is>
      </c>
      <c r="D69" s="1" t="n">
        <v>46161</v>
      </c>
      <c r="E69" s="1" t="n">
        <v>46288</v>
      </c>
      <c r="F69" t="inlineStr">
        <is>
          <t>STOCKHOLMS LÄN</t>
        </is>
      </c>
      <c r="G69" t="inlineStr">
        <is>
          <t>ÖSTERÅKER</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9865-2025</t>
        </is>
      </c>
      <c r="B70" t="inlineStr">
        <is>
          <t>avverkningsanmälan</t>
        </is>
      </c>
      <c r="C70" t="inlineStr">
        <is>
          <t>Föryngringsavverkning</t>
        </is>
      </c>
      <c r="D70" s="1" t="n">
        <v>45716</v>
      </c>
      <c r="E70" s="1" t="n">
        <v>46288</v>
      </c>
      <c r="F70" t="inlineStr">
        <is>
          <t>STOCKHOLMS LÄN</t>
        </is>
      </c>
      <c r="G70" t="inlineStr">
        <is>
          <t>ÖSTERÅKER</t>
        </is>
      </c>
      <c r="I70" t="n">
        <v>7</v>
      </c>
      <c r="J70" t="n">
        <v>0</v>
      </c>
      <c r="K70" t="n">
        <v>0</v>
      </c>
      <c r="L70" t="n">
        <v>0</v>
      </c>
      <c r="M70" t="n">
        <v>0</v>
      </c>
      <c r="N70" t="n">
        <v>0</v>
      </c>
      <c r="O70" t="n">
        <v>0</v>
      </c>
      <c r="P70" t="n">
        <v>0</v>
      </c>
      <c r="Q70" t="n">
        <v>0</v>
      </c>
      <c r="R70" t="n">
        <v>0</v>
      </c>
      <c r="S70" t="n">
        <v>0</v>
      </c>
      <c r="T70" t="n">
        <v>0</v>
      </c>
      <c r="U70" t="n">
        <v>0</v>
      </c>
      <c r="V70" s="2" t="inlineStr"/>
    </row>
    <row r="71" ht="15" customHeight="1">
      <c r="A71" t="inlineStr">
        <is>
          <t>A 6655-2023</t>
        </is>
      </c>
      <c r="B71" t="inlineStr">
        <is>
          <t>avverkningsanmälan</t>
        </is>
      </c>
      <c r="C71" t="inlineStr">
        <is>
          <t>Föryngringsavverkning</t>
        </is>
      </c>
      <c r="D71" s="1" t="n">
        <v>44966</v>
      </c>
      <c r="E71" s="1" t="n">
        <v>46288</v>
      </c>
      <c r="F71" t="inlineStr">
        <is>
          <t>STOCKHOLMS LÄN</t>
        </is>
      </c>
      <c r="G71" t="inlineStr">
        <is>
          <t>ÖSTERÅKER</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26249-2026</t>
        </is>
      </c>
      <c r="B72" t="inlineStr">
        <is>
          <t>avverkningsanmälan</t>
        </is>
      </c>
      <c r="C72" t="inlineStr">
        <is>
          <t>Avverkning för annat ändamål</t>
        </is>
      </c>
      <c r="D72" s="1" t="n">
        <v>46182</v>
      </c>
      <c r="E72" s="1" t="n">
        <v>46288</v>
      </c>
      <c r="F72" t="inlineStr">
        <is>
          <t>STOCKHOLMS LÄN</t>
        </is>
      </c>
      <c r="G72" t="inlineStr">
        <is>
          <t>ÖSTERÅKER</t>
        </is>
      </c>
      <c r="I72" t="n">
        <v>4.9</v>
      </c>
      <c r="J72" t="n">
        <v>0</v>
      </c>
      <c r="K72" t="n">
        <v>0</v>
      </c>
      <c r="L72" t="n">
        <v>0</v>
      </c>
      <c r="M72" t="n">
        <v>0</v>
      </c>
      <c r="N72" t="n">
        <v>0</v>
      </c>
      <c r="O72" t="n">
        <v>0</v>
      </c>
      <c r="P72" t="n">
        <v>0</v>
      </c>
      <c r="Q72" t="n">
        <v>0</v>
      </c>
      <c r="R72" t="n">
        <v>0</v>
      </c>
      <c r="S72" t="n">
        <v>0</v>
      </c>
      <c r="T72" t="n">
        <v>0</v>
      </c>
      <c r="U72" t="n">
        <v>0</v>
      </c>
      <c r="V72" s="2" t="inlineStr"/>
    </row>
    <row r="73" ht="15" customHeight="1">
      <c r="A73" t="inlineStr">
        <is>
          <t>A 5038-2026</t>
        </is>
      </c>
      <c r="B73" t="inlineStr">
        <is>
          <t>avverkningsanmälan</t>
        </is>
      </c>
      <c r="C73" t="inlineStr">
        <is>
          <t>Föryngringsavverkning</t>
        </is>
      </c>
      <c r="D73" s="1" t="n">
        <v>46049</v>
      </c>
      <c r="E73" s="1" t="n">
        <v>46288</v>
      </c>
      <c r="F73" t="inlineStr">
        <is>
          <t>STOCKHOLMS LÄN</t>
        </is>
      </c>
      <c r="G73" t="inlineStr">
        <is>
          <t>ÖSTERÅKER</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56909-2024</t>
        </is>
      </c>
      <c r="B74" t="inlineStr">
        <is>
          <t>avverkningsanmälan</t>
        </is>
      </c>
      <c r="C74" t="inlineStr">
        <is>
          <t>Avverkning för att bevara och utveckla /försöksver</t>
        </is>
      </c>
      <c r="D74" s="1" t="n">
        <v>45628</v>
      </c>
      <c r="E74" s="1" t="n">
        <v>46288</v>
      </c>
      <c r="F74" t="inlineStr">
        <is>
          <t>STOCKHOLMS LÄN</t>
        </is>
      </c>
      <c r="G74" t="inlineStr">
        <is>
          <t>ÖSTERÅKER</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845-2024</t>
        </is>
      </c>
      <c r="B75" t="inlineStr">
        <is>
          <t>avverkningsanmälan</t>
        </is>
      </c>
      <c r="C75" t="inlineStr">
        <is>
          <t>Föryngringsavverkning</t>
        </is>
      </c>
      <c r="D75" s="1" t="n">
        <v>45300</v>
      </c>
      <c r="E75" s="1" t="n">
        <v>46288</v>
      </c>
      <c r="F75" t="inlineStr">
        <is>
          <t>STOCKHOLMS LÄN</t>
        </is>
      </c>
      <c r="G75" t="inlineStr">
        <is>
          <t>ÖSTERÅKER</t>
        </is>
      </c>
      <c r="I75" t="n">
        <v>10.1</v>
      </c>
      <c r="J75" t="n">
        <v>0</v>
      </c>
      <c r="K75" t="n">
        <v>0</v>
      </c>
      <c r="L75" t="n">
        <v>0</v>
      </c>
      <c r="M75" t="n">
        <v>0</v>
      </c>
      <c r="N75" t="n">
        <v>0</v>
      </c>
      <c r="O75" t="n">
        <v>0</v>
      </c>
      <c r="P75" t="n">
        <v>0</v>
      </c>
      <c r="Q75" t="n">
        <v>0</v>
      </c>
      <c r="R75" t="n">
        <v>0</v>
      </c>
      <c r="S75" t="n">
        <v>0</v>
      </c>
      <c r="T75" t="n">
        <v>0</v>
      </c>
      <c r="U75" t="n">
        <v>0</v>
      </c>
      <c r="V75" s="2" t="inlineStr"/>
    </row>
    <row r="76" ht="15" customHeight="1">
      <c r="A76" t="inlineStr">
        <is>
          <t>A 12345-2026</t>
        </is>
      </c>
      <c r="B76" t="inlineStr">
        <is>
          <t>avverkningsanmälan</t>
        </is>
      </c>
      <c r="C76" t="inlineStr">
        <is>
          <t>Föryngringsavverkning</t>
        </is>
      </c>
      <c r="D76" s="1" t="n">
        <v>46087</v>
      </c>
      <c r="E76" s="1" t="n">
        <v>46288</v>
      </c>
      <c r="F76" t="inlineStr">
        <is>
          <t>STOCKHOLMS LÄN</t>
        </is>
      </c>
      <c r="G76" t="inlineStr">
        <is>
          <t>ÖSTERÅKER</t>
        </is>
      </c>
      <c r="H76" t="inlineStr">
        <is>
          <t>Övriga Aktiebolag</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29443-2026</t>
        </is>
      </c>
      <c r="B77" t="inlineStr">
        <is>
          <t>avverkningsanmälan</t>
        </is>
      </c>
      <c r="C77" t="inlineStr">
        <is>
          <t>Föryngringsavverkning</t>
        </is>
      </c>
      <c r="D77" s="1" t="n">
        <v>46203</v>
      </c>
      <c r="E77" s="1" t="n">
        <v>46288</v>
      </c>
      <c r="F77" t="inlineStr">
        <is>
          <t>STOCKHOLMS LÄN</t>
        </is>
      </c>
      <c r="G77" t="inlineStr">
        <is>
          <t>ÖSTERÅKER</t>
        </is>
      </c>
      <c r="I77" t="n">
        <v>13.8</v>
      </c>
      <c r="J77" t="n">
        <v>0</v>
      </c>
      <c r="K77" t="n">
        <v>0</v>
      </c>
      <c r="L77" t="n">
        <v>0</v>
      </c>
      <c r="M77" t="n">
        <v>0</v>
      </c>
      <c r="N77" t="n">
        <v>0</v>
      </c>
      <c r="O77" t="n">
        <v>0</v>
      </c>
      <c r="P77" t="n">
        <v>0</v>
      </c>
      <c r="Q77" t="n">
        <v>0</v>
      </c>
      <c r="R77" t="n">
        <v>0</v>
      </c>
      <c r="S77" t="n">
        <v>0</v>
      </c>
      <c r="T77" t="n">
        <v>0</v>
      </c>
      <c r="U77" t="n">
        <v>0</v>
      </c>
      <c r="V77" s="2" t="inlineStr"/>
    </row>
    <row r="78" ht="15" customHeight="1">
      <c r="A78" t="inlineStr">
        <is>
          <t>A 31134-2023</t>
        </is>
      </c>
      <c r="B78" t="inlineStr">
        <is>
          <t>avverkningsanmälan</t>
        </is>
      </c>
      <c r="C78" t="inlineStr">
        <is>
          <t>Föryngringsavverkning</t>
        </is>
      </c>
      <c r="D78" s="1" t="n">
        <v>45113</v>
      </c>
      <c r="E78" s="1" t="n">
        <v>46288</v>
      </c>
      <c r="F78" t="inlineStr">
        <is>
          <t>STOCKHOLMS LÄN</t>
        </is>
      </c>
      <c r="G78" t="inlineStr">
        <is>
          <t>ÖSTERÅKER</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10185-2025</t>
        </is>
      </c>
      <c r="B79" t="inlineStr">
        <is>
          <t>avverkningsanmälan</t>
        </is>
      </c>
      <c r="C79" t="inlineStr">
        <is>
          <t>Föryngringsavverkning</t>
        </is>
      </c>
      <c r="D79" s="1" t="n">
        <v>45719</v>
      </c>
      <c r="E79" s="1" t="n">
        <v>46288</v>
      </c>
      <c r="F79" t="inlineStr">
        <is>
          <t>STOCKHOLMS LÄN</t>
        </is>
      </c>
      <c r="G79" t="inlineStr">
        <is>
          <t>ÖSTERÅKER</t>
        </is>
      </c>
      <c r="I79" t="n">
        <v>4.1</v>
      </c>
      <c r="J79" t="n">
        <v>0</v>
      </c>
      <c r="K79" t="n">
        <v>0</v>
      </c>
      <c r="L79" t="n">
        <v>0</v>
      </c>
      <c r="M79" t="n">
        <v>0</v>
      </c>
      <c r="N79" t="n">
        <v>0</v>
      </c>
      <c r="O79" t="n">
        <v>0</v>
      </c>
      <c r="P79" t="n">
        <v>0</v>
      </c>
      <c r="Q79" t="n">
        <v>0</v>
      </c>
      <c r="R79" t="n">
        <v>0</v>
      </c>
      <c r="S79" t="n">
        <v>0</v>
      </c>
      <c r="T79" t="n">
        <v>0</v>
      </c>
      <c r="U79" t="n">
        <v>0</v>
      </c>
      <c r="V79" s="2" t="inlineStr"/>
    </row>
    <row r="80" ht="15" customHeight="1">
      <c r="A80" t="inlineStr">
        <is>
          <t>A 30599-2026</t>
        </is>
      </c>
      <c r="B80" t="inlineStr">
        <is>
          <t>avverkningsanmälan</t>
        </is>
      </c>
      <c r="C80" t="inlineStr">
        <is>
          <t>Föryngringsavverkning</t>
        </is>
      </c>
      <c r="D80" s="1" t="n">
        <v>46210</v>
      </c>
      <c r="E80" s="1" t="n">
        <v>46288</v>
      </c>
      <c r="F80" t="inlineStr">
        <is>
          <t>STOCKHOLMS LÄN</t>
        </is>
      </c>
      <c r="G80" t="inlineStr">
        <is>
          <t>ÖSTERÅKER</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24499-2023</t>
        </is>
      </c>
      <c r="B81" t="inlineStr">
        <is>
          <t>avverkningsanmälan</t>
        </is>
      </c>
      <c r="C81" t="inlineStr">
        <is>
          <t>Föryngringsavverkning</t>
        </is>
      </c>
      <c r="D81" s="1" t="n">
        <v>45082</v>
      </c>
      <c r="E81" s="1" t="n">
        <v>46288</v>
      </c>
      <c r="F81" t="inlineStr">
        <is>
          <t>STOCKHOLMS LÄN</t>
        </is>
      </c>
      <c r="G81" t="inlineStr">
        <is>
          <t>ÖSTERÅKER</t>
        </is>
      </c>
      <c r="I81" t="n">
        <v>0.1</v>
      </c>
      <c r="J81" t="n">
        <v>0</v>
      </c>
      <c r="K81" t="n">
        <v>0</v>
      </c>
      <c r="L81" t="n">
        <v>0</v>
      </c>
      <c r="M81" t="n">
        <v>0</v>
      </c>
      <c r="N81" t="n">
        <v>0</v>
      </c>
      <c r="O81" t="n">
        <v>0</v>
      </c>
      <c r="P81" t="n">
        <v>0</v>
      </c>
      <c r="Q81" t="n">
        <v>0</v>
      </c>
      <c r="R81" t="n">
        <v>0</v>
      </c>
      <c r="S81" t="n">
        <v>0</v>
      </c>
      <c r="T81" t="n">
        <v>0</v>
      </c>
      <c r="U81" t="n">
        <v>0</v>
      </c>
      <c r="V81" s="2" t="inlineStr"/>
    </row>
    <row r="82" ht="15" customHeight="1">
      <c r="A82" t="inlineStr">
        <is>
          <t>A 28146-2024</t>
        </is>
      </c>
      <c r="B82" t="inlineStr">
        <is>
          <t>avverkningsanmälan</t>
        </is>
      </c>
      <c r="C82" t="inlineStr">
        <is>
          <t>Föryngringsavverkning</t>
        </is>
      </c>
      <c r="D82" s="1" t="n">
        <v>45476</v>
      </c>
      <c r="E82" s="1" t="n">
        <v>46288</v>
      </c>
      <c r="F82" t="inlineStr">
        <is>
          <t>STOCKHOLMS LÄN</t>
        </is>
      </c>
      <c r="G82" t="inlineStr">
        <is>
          <t>ÖSTERÅKER</t>
        </is>
      </c>
      <c r="H82" t="inlineStr">
        <is>
          <t>Övriga Aktiebolag</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31154-2026</t>
        </is>
      </c>
      <c r="B83" t="inlineStr">
        <is>
          <t>avverkningsanmälan</t>
        </is>
      </c>
      <c r="C83" t="inlineStr">
        <is>
          <t>Föryngringsavverkning</t>
        </is>
      </c>
      <c r="D83" s="1" t="n">
        <v>46216</v>
      </c>
      <c r="E83" s="1" t="n">
        <v>46288</v>
      </c>
      <c r="F83" t="inlineStr">
        <is>
          <t>STOCKHOLMS LÄN</t>
        </is>
      </c>
      <c r="G83" t="inlineStr">
        <is>
          <t>ÖSTERÅKER</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31146-2026</t>
        </is>
      </c>
      <c r="B84" t="inlineStr">
        <is>
          <t>avverkningsanmälan</t>
        </is>
      </c>
      <c r="C84" t="inlineStr">
        <is>
          <t>Föryngringsavverkning</t>
        </is>
      </c>
      <c r="D84" s="1" t="n">
        <v>46216</v>
      </c>
      <c r="E84" s="1" t="n">
        <v>46288</v>
      </c>
      <c r="F84" t="inlineStr">
        <is>
          <t>STOCKHOLMS LÄN</t>
        </is>
      </c>
      <c r="G84" t="inlineStr">
        <is>
          <t>ÖSTERÅKER</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31149-2026</t>
        </is>
      </c>
      <c r="B85" t="inlineStr">
        <is>
          <t>avverkningsanmälan</t>
        </is>
      </c>
      <c r="C85" t="inlineStr">
        <is>
          <t>Föryngringsavverkning</t>
        </is>
      </c>
      <c r="D85" s="1" t="n">
        <v>46216</v>
      </c>
      <c r="E85" s="1" t="n">
        <v>46288</v>
      </c>
      <c r="F85" t="inlineStr">
        <is>
          <t>STOCKHOLMS LÄN</t>
        </is>
      </c>
      <c r="G85" t="inlineStr">
        <is>
          <t>ÖSTERÅKER</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31156-2026</t>
        </is>
      </c>
      <c r="B86" t="inlineStr">
        <is>
          <t>avverkningsanmälan</t>
        </is>
      </c>
      <c r="C86" t="inlineStr">
        <is>
          <t>Föryngringsavverkning</t>
        </is>
      </c>
      <c r="D86" s="1" t="n">
        <v>46216</v>
      </c>
      <c r="E86" s="1" t="n">
        <v>46288</v>
      </c>
      <c r="F86" t="inlineStr">
        <is>
          <t>STOCKHOLMS LÄN</t>
        </is>
      </c>
      <c r="G86" t="inlineStr">
        <is>
          <t>ÖSTERÅKER</t>
        </is>
      </c>
      <c r="I86" t="n">
        <v>5.1</v>
      </c>
      <c r="J86" t="n">
        <v>0</v>
      </c>
      <c r="K86" t="n">
        <v>0</v>
      </c>
      <c r="L86" t="n">
        <v>0</v>
      </c>
      <c r="M86" t="n">
        <v>0</v>
      </c>
      <c r="N86" t="n">
        <v>0</v>
      </c>
      <c r="O86" t="n">
        <v>0</v>
      </c>
      <c r="P86" t="n">
        <v>0</v>
      </c>
      <c r="Q86" t="n">
        <v>0</v>
      </c>
      <c r="R86" t="n">
        <v>0</v>
      </c>
      <c r="S86" t="n">
        <v>0</v>
      </c>
      <c r="T86" t="n">
        <v>0</v>
      </c>
      <c r="U86" t="n">
        <v>0</v>
      </c>
      <c r="V86" s="2" t="inlineStr"/>
    </row>
    <row r="87" ht="15" customHeight="1">
      <c r="A87" t="inlineStr">
        <is>
          <t>A 57048-2024</t>
        </is>
      </c>
      <c r="B87" t="inlineStr">
        <is>
          <t>avverkningsanmälan</t>
        </is>
      </c>
      <c r="C87" t="inlineStr">
        <is>
          <t>Föryngringsavverkning</t>
        </is>
      </c>
      <c r="D87" s="1" t="n">
        <v>45629</v>
      </c>
      <c r="E87" s="1" t="n">
        <v>46288</v>
      </c>
      <c r="F87" t="inlineStr">
        <is>
          <t>STOCKHOLMS LÄN</t>
        </is>
      </c>
      <c r="G87" t="inlineStr">
        <is>
          <t>ÖSTERÅKER</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5286-2025</t>
        </is>
      </c>
      <c r="B88" t="inlineStr">
        <is>
          <t>avverkningsanmälan</t>
        </is>
      </c>
      <c r="C88" t="inlineStr">
        <is>
          <t>Föryngringsavverkning</t>
        </is>
      </c>
      <c r="D88" s="1" t="n">
        <v>45692</v>
      </c>
      <c r="E88" s="1" t="n">
        <v>46288</v>
      </c>
      <c r="F88" t="inlineStr">
        <is>
          <t>STOCKHOLMS LÄN</t>
        </is>
      </c>
      <c r="G88" t="inlineStr">
        <is>
          <t>ÖSTERÅKER</t>
        </is>
      </c>
      <c r="I88" t="n">
        <v>11.2</v>
      </c>
      <c r="J88" t="n">
        <v>0</v>
      </c>
      <c r="K88" t="n">
        <v>0</v>
      </c>
      <c r="L88" t="n">
        <v>0</v>
      </c>
      <c r="M88" t="n">
        <v>0</v>
      </c>
      <c r="N88" t="n">
        <v>0</v>
      </c>
      <c r="O88" t="n">
        <v>0</v>
      </c>
      <c r="P88" t="n">
        <v>0</v>
      </c>
      <c r="Q88" t="n">
        <v>0</v>
      </c>
      <c r="R88" t="n">
        <v>0</v>
      </c>
      <c r="S88" t="n">
        <v>0</v>
      </c>
      <c r="T88" t="n">
        <v>0</v>
      </c>
      <c r="U88" t="n">
        <v>0</v>
      </c>
      <c r="V88" s="2" t="inlineStr"/>
    </row>
    <row r="89" ht="15" customHeight="1">
      <c r="A89" t="inlineStr">
        <is>
          <t>A 3817-2023</t>
        </is>
      </c>
      <c r="B89" t="inlineStr">
        <is>
          <t>avverkningsanmälan</t>
        </is>
      </c>
      <c r="C89" t="inlineStr">
        <is>
          <t>Föryngringsavverkning</t>
        </is>
      </c>
      <c r="D89" s="1" t="n">
        <v>44951</v>
      </c>
      <c r="E89" s="1" t="n">
        <v>46288</v>
      </c>
      <c r="F89" t="inlineStr">
        <is>
          <t>STOCKHOLMS LÄN</t>
        </is>
      </c>
      <c r="G89" t="inlineStr">
        <is>
          <t>ÖSTERÅKER</t>
        </is>
      </c>
      <c r="H89" t="inlineStr">
        <is>
          <t>Kommuner</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544-2023</t>
        </is>
      </c>
      <c r="B90" t="inlineStr">
        <is>
          <t>avverkningsanmälan</t>
        </is>
      </c>
      <c r="C90" t="inlineStr">
        <is>
          <t>Avverkning för annat ändamål</t>
        </is>
      </c>
      <c r="D90" s="1" t="n">
        <v>44924</v>
      </c>
      <c r="E90" s="1" t="n">
        <v>46288</v>
      </c>
      <c r="F90" t="inlineStr">
        <is>
          <t>STOCKHOLMS LÄN</t>
        </is>
      </c>
      <c r="G90" t="inlineStr">
        <is>
          <t>ÖSTERÅKER</t>
        </is>
      </c>
      <c r="H90" t="inlineStr">
        <is>
          <t>Övriga Aktiebolag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3326-2022</t>
        </is>
      </c>
      <c r="B91" t="inlineStr">
        <is>
          <t>avverkningsanmälan</t>
        </is>
      </c>
      <c r="C91" t="inlineStr">
        <is>
          <t>Föryngringsavverkning</t>
        </is>
      </c>
      <c r="D91" s="1" t="n">
        <v>44583</v>
      </c>
      <c r="E91" s="1" t="n">
        <v>46288</v>
      </c>
      <c r="F91" t="inlineStr">
        <is>
          <t>STOCKHOLMS LÄN</t>
        </is>
      </c>
      <c r="G91" t="inlineStr">
        <is>
          <t>ÖSTERÅKER</t>
        </is>
      </c>
      <c r="H91" t="inlineStr">
        <is>
          <t>Övriga Aktiebolag</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13366-2024</t>
        </is>
      </c>
      <c r="B92" t="inlineStr">
        <is>
          <t>avverkningsanmälan</t>
        </is>
      </c>
      <c r="C92" t="inlineStr">
        <is>
          <t>Föryngringsavverkning</t>
        </is>
      </c>
      <c r="D92" s="1" t="n">
        <v>45387</v>
      </c>
      <c r="E92" s="1" t="n">
        <v>46288</v>
      </c>
      <c r="F92" t="inlineStr">
        <is>
          <t>STOCKHOLMS LÄN</t>
        </is>
      </c>
      <c r="G92" t="inlineStr">
        <is>
          <t>ÖSTERÅKER</t>
        </is>
      </c>
      <c r="I92" t="n">
        <v>13.7</v>
      </c>
      <c r="J92" t="n">
        <v>0</v>
      </c>
      <c r="K92" t="n">
        <v>0</v>
      </c>
      <c r="L92" t="n">
        <v>0</v>
      </c>
      <c r="M92" t="n">
        <v>0</v>
      </c>
      <c r="N92" t="n">
        <v>0</v>
      </c>
      <c r="O92" t="n">
        <v>0</v>
      </c>
      <c r="P92" t="n">
        <v>0</v>
      </c>
      <c r="Q92" t="n">
        <v>0</v>
      </c>
      <c r="R92" t="n">
        <v>0</v>
      </c>
      <c r="S92" t="n">
        <v>0</v>
      </c>
      <c r="T92" t="n">
        <v>0</v>
      </c>
      <c r="U92" t="n">
        <v>0</v>
      </c>
      <c r="V92" s="2" t="inlineStr"/>
    </row>
    <row r="93" ht="15" customHeight="1">
      <c r="A93" t="inlineStr">
        <is>
          <t>A 57055-2024</t>
        </is>
      </c>
      <c r="B93" t="inlineStr">
        <is>
          <t>avverkningsanmälan</t>
        </is>
      </c>
      <c r="C93" t="inlineStr">
        <is>
          <t>Föryngringsavverkning</t>
        </is>
      </c>
      <c r="D93" s="1" t="n">
        <v>45629</v>
      </c>
      <c r="E93" s="1" t="n">
        <v>46288</v>
      </c>
      <c r="F93" t="inlineStr">
        <is>
          <t>STOCKHOLMS LÄN</t>
        </is>
      </c>
      <c r="G93" t="inlineStr">
        <is>
          <t>ÖSTERÅKER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59379-2022</t>
        </is>
      </c>
      <c r="B94" t="inlineStr">
        <is>
          <t>avverkningsanmälan</t>
        </is>
      </c>
      <c r="C94" t="inlineStr">
        <is>
          <t>Föryngringsavverkning</t>
        </is>
      </c>
      <c r="D94" s="1" t="n">
        <v>44905</v>
      </c>
      <c r="E94" s="1" t="n">
        <v>46288</v>
      </c>
      <c r="F94" t="inlineStr">
        <is>
          <t>STOCKHOLMS LÄN</t>
        </is>
      </c>
      <c r="G94" t="inlineStr">
        <is>
          <t>ÖSTERÅKER</t>
        </is>
      </c>
      <c r="H94" t="inlineStr">
        <is>
          <t>Kommuner</t>
        </is>
      </c>
      <c r="I94" t="n">
        <v>4.7</v>
      </c>
      <c r="J94" t="n">
        <v>0</v>
      </c>
      <c r="K94" t="n">
        <v>0</v>
      </c>
      <c r="L94" t="n">
        <v>0</v>
      </c>
      <c r="M94" t="n">
        <v>0</v>
      </c>
      <c r="N94" t="n">
        <v>0</v>
      </c>
      <c r="O94" t="n">
        <v>0</v>
      </c>
      <c r="P94" t="n">
        <v>0</v>
      </c>
      <c r="Q94" t="n">
        <v>0</v>
      </c>
      <c r="R94" t="n">
        <v>0</v>
      </c>
      <c r="S94" t="n">
        <v>0</v>
      </c>
      <c r="T94" t="n">
        <v>0</v>
      </c>
      <c r="U94" t="n">
        <v>0</v>
      </c>
      <c r="V94" s="2" t="inlineStr"/>
    </row>
    <row r="95" ht="15" customHeight="1">
      <c r="A95" t="inlineStr">
        <is>
          <t>A 46688-2022</t>
        </is>
      </c>
      <c r="B95" t="inlineStr">
        <is>
          <t>avverkningsanmälan</t>
        </is>
      </c>
      <c r="C95" t="inlineStr">
        <is>
          <t>Föryngringsavverkning</t>
        </is>
      </c>
      <c r="D95" s="1" t="n">
        <v>44851</v>
      </c>
      <c r="E95" s="1" t="n">
        <v>46288</v>
      </c>
      <c r="F95" t="inlineStr">
        <is>
          <t>STOCKHOLMS LÄN</t>
        </is>
      </c>
      <c r="G95" t="inlineStr">
        <is>
          <t>ÖSTERÅKER</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16738-2022</t>
        </is>
      </c>
      <c r="B96" t="inlineStr">
        <is>
          <t>avverkningsanmälan</t>
        </is>
      </c>
      <c r="C96" t="inlineStr">
        <is>
          <t>Avverkning för annat ändamål</t>
        </is>
      </c>
      <c r="D96" s="1" t="n">
        <v>44673</v>
      </c>
      <c r="E96" s="1" t="n">
        <v>46288</v>
      </c>
      <c r="F96" t="inlineStr">
        <is>
          <t>STOCKHOLMS LÄN</t>
        </is>
      </c>
      <c r="G96" t="inlineStr">
        <is>
          <t>ÖSTERÅKER</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17196-2022</t>
        </is>
      </c>
      <c r="B97" t="inlineStr">
        <is>
          <t>avverkningsanmälan</t>
        </is>
      </c>
      <c r="C97" t="inlineStr">
        <is>
          <t>Föryngringsavverkning</t>
        </is>
      </c>
      <c r="D97" s="1" t="n">
        <v>44677</v>
      </c>
      <c r="E97" s="1" t="n">
        <v>46288</v>
      </c>
      <c r="F97" t="inlineStr">
        <is>
          <t>STOCKHOLMS LÄN</t>
        </is>
      </c>
      <c r="G97" t="inlineStr">
        <is>
          <t>ÖSTERÅKER</t>
        </is>
      </c>
      <c r="I97" t="n">
        <v>5.9</v>
      </c>
      <c r="J97" t="n">
        <v>0</v>
      </c>
      <c r="K97" t="n">
        <v>0</v>
      </c>
      <c r="L97" t="n">
        <v>0</v>
      </c>
      <c r="M97" t="n">
        <v>0</v>
      </c>
      <c r="N97" t="n">
        <v>0</v>
      </c>
      <c r="O97" t="n">
        <v>0</v>
      </c>
      <c r="P97" t="n">
        <v>0</v>
      </c>
      <c r="Q97" t="n">
        <v>0</v>
      </c>
      <c r="R97" t="n">
        <v>0</v>
      </c>
      <c r="S97" t="n">
        <v>0</v>
      </c>
      <c r="T97" t="n">
        <v>0</v>
      </c>
      <c r="U97" t="n">
        <v>0</v>
      </c>
      <c r="V97" s="2" t="inlineStr"/>
    </row>
    <row r="98" ht="15" customHeight="1">
      <c r="A98" t="inlineStr">
        <is>
          <t>A 3917-2023</t>
        </is>
      </c>
      <c r="B98" t="inlineStr">
        <is>
          <t>avverkningsanmälan</t>
        </is>
      </c>
      <c r="C98" t="inlineStr">
        <is>
          <t>Föryngringsavverkning</t>
        </is>
      </c>
      <c r="D98" s="1" t="n">
        <v>44952</v>
      </c>
      <c r="E98" s="1" t="n">
        <v>46288</v>
      </c>
      <c r="F98" t="inlineStr">
        <is>
          <t>STOCKHOLMS LÄN</t>
        </is>
      </c>
      <c r="G98" t="inlineStr">
        <is>
          <t>ÖSTERÅKER</t>
        </is>
      </c>
      <c r="H98" t="inlineStr">
        <is>
          <t>Kommuner</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62108-2022</t>
        </is>
      </c>
      <c r="B99" t="inlineStr">
        <is>
          <t>avverkningsanmälan</t>
        </is>
      </c>
      <c r="C99" t="inlineStr">
        <is>
          <t>Föryngringsavverkning</t>
        </is>
      </c>
      <c r="D99" s="1" t="n">
        <v>44920</v>
      </c>
      <c r="E99" s="1" t="n">
        <v>46288</v>
      </c>
      <c r="F99" t="inlineStr">
        <is>
          <t>STOCKHOLMS LÄN</t>
        </is>
      </c>
      <c r="G99" t="inlineStr">
        <is>
          <t>ÖSTERÅKER</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27137-2025</t>
        </is>
      </c>
      <c r="B100" t="inlineStr">
        <is>
          <t>avverkningsanmälan</t>
        </is>
      </c>
      <c r="C100" t="inlineStr">
        <is>
          <t>Föryngringsavverkning</t>
        </is>
      </c>
      <c r="D100" s="1" t="n">
        <v>45811</v>
      </c>
      <c r="E100" s="1" t="n">
        <v>46288</v>
      </c>
      <c r="F100" t="inlineStr">
        <is>
          <t>STOCKHOLMS LÄN</t>
        </is>
      </c>
      <c r="G100" t="inlineStr">
        <is>
          <t>ÖSTERÅKER</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34034-2025</t>
        </is>
      </c>
      <c r="B101" t="inlineStr">
        <is>
          <t>avverkningsanmälan</t>
        </is>
      </c>
      <c r="C101" t="inlineStr">
        <is>
          <t>Föryngringsavverkning</t>
        </is>
      </c>
      <c r="D101" s="1" t="n">
        <v>45842</v>
      </c>
      <c r="E101" s="1" t="n">
        <v>46288</v>
      </c>
      <c r="F101" t="inlineStr">
        <is>
          <t>STOCKHOLMS LÄN</t>
        </is>
      </c>
      <c r="G101" t="inlineStr">
        <is>
          <t>ÖSTERÅKER</t>
        </is>
      </c>
      <c r="H101" t="inlineStr">
        <is>
          <t>Övriga Aktiebolag</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35819-2025</t>
        </is>
      </c>
      <c r="B102" t="inlineStr">
        <is>
          <t>avverkningsanmälan</t>
        </is>
      </c>
      <c r="C102" t="inlineStr">
        <is>
          <t>Föryngringsavverkning</t>
        </is>
      </c>
      <c r="D102" s="1" t="n">
        <v>45861</v>
      </c>
      <c r="E102" s="1" t="n">
        <v>46288</v>
      </c>
      <c r="F102" t="inlineStr">
        <is>
          <t>STOCKHOLMS LÄN</t>
        </is>
      </c>
      <c r="G102" t="inlineStr">
        <is>
          <t>ÖSTERÅKER</t>
        </is>
      </c>
      <c r="H102" t="inlineStr">
        <is>
          <t>Övriga Aktiebolag</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46288</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46288</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46288</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2026-09-23T01:53:28Z</dcterms:created>
  <dcterms:modified xmlns:dcterms="http://purl.org/dc/terms/" xmlns:xsi="http://www.w3.org/2001/XMLSchema-instance" xsi:type="dcterms:W3CDTF">2026-09-23T01:53:28Z</dcterms:modified>
</cp:coreProperties>
</file>