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46193</v>
      </c>
      <c r="D2" t="inlineStr">
        <is>
          <t>STOCKHOLMS LÄN</t>
        </is>
      </c>
      <c r="E2" t="inlineStr">
        <is>
          <t>ÖSTERÅKER</t>
        </is>
      </c>
      <c r="G2" t="n">
        <v>8.1</v>
      </c>
      <c r="H2" t="n">
        <v>5</v>
      </c>
      <c r="I2" t="n">
        <v>15</v>
      </c>
      <c r="J2" t="n">
        <v>6</v>
      </c>
      <c r="K2" t="n">
        <v>4</v>
      </c>
      <c r="L2" t="n">
        <v>1</v>
      </c>
      <c r="M2" t="n">
        <v>0</v>
      </c>
      <c r="N2" t="n">
        <v>0</v>
      </c>
      <c r="O2" t="n">
        <v>11</v>
      </c>
      <c r="P2" t="n">
        <v>5</v>
      </c>
      <c r="Q2" t="n">
        <v>29</v>
      </c>
      <c r="R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46193</v>
      </c>
      <c r="D3" t="inlineStr">
        <is>
          <t>STOCKHOLMS LÄN</t>
        </is>
      </c>
      <c r="E3" t="inlineStr">
        <is>
          <t>ÖSTERÅKER</t>
        </is>
      </c>
      <c r="F3" t="inlineStr">
        <is>
          <t>Kommuner</t>
        </is>
      </c>
      <c r="G3" t="n">
        <v>4.9</v>
      </c>
      <c r="H3" t="n">
        <v>13</v>
      </c>
      <c r="I3" t="n">
        <v>0</v>
      </c>
      <c r="J3" t="n">
        <v>4</v>
      </c>
      <c r="K3" t="n">
        <v>2</v>
      </c>
      <c r="L3" t="n">
        <v>0</v>
      </c>
      <c r="M3" t="n">
        <v>0</v>
      </c>
      <c r="N3" t="n">
        <v>0</v>
      </c>
      <c r="O3" t="n">
        <v>6</v>
      </c>
      <c r="P3" t="n">
        <v>2</v>
      </c>
      <c r="Q3" t="n">
        <v>14</v>
      </c>
      <c r="R3" s="2" t="inlineStr">
        <is>
          <t>Grönfink
Stare
Brunlångöra
Grönsångare
Nordfladdermus
Tallticka
Tofsmes
Dvärgpipistrell
Grönsiska
Kråka
Kungsfågel
Större brunfladdermus
Svartvit flugsnappare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46193</v>
      </c>
      <c r="D4" t="inlineStr">
        <is>
          <t>STOCKHOLMS LÄN</t>
        </is>
      </c>
      <c r="E4" t="inlineStr">
        <is>
          <t>ÖSTERÅKER</t>
        </is>
      </c>
      <c r="G4" t="n">
        <v>5.7</v>
      </c>
      <c r="H4" t="n">
        <v>5</v>
      </c>
      <c r="I4" t="n">
        <v>4</v>
      </c>
      <c r="J4" t="n">
        <v>5</v>
      </c>
      <c r="K4" t="n">
        <v>1</v>
      </c>
      <c r="L4" t="n">
        <v>0</v>
      </c>
      <c r="M4" t="n">
        <v>0</v>
      </c>
      <c r="N4" t="n">
        <v>0</v>
      </c>
      <c r="O4" t="n">
        <v>6</v>
      </c>
      <c r="P4" t="n">
        <v>1</v>
      </c>
      <c r="Q4" t="n">
        <v>14</v>
      </c>
      <c r="R4" s="2" t="inlineStr">
        <is>
          <t>Garnlav
Sårläka
Tallticka
Talltita
Ullticka
Älg
Björksplintborre
Mörk husmossa
Thomsons trägnagare
Tibast
Blåsippa
Spillkråka
Sångsvan
Nattviol</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25888-2026</t>
        </is>
      </c>
      <c r="B5" s="1" t="n">
        <v>46178</v>
      </c>
      <c r="C5" s="1" t="n">
        <v>46193</v>
      </c>
      <c r="D5" t="inlineStr">
        <is>
          <t>STOCKHOLMS LÄN</t>
        </is>
      </c>
      <c r="E5" t="inlineStr">
        <is>
          <t>ÖSTERÅKER</t>
        </is>
      </c>
      <c r="G5" t="n">
        <v>3</v>
      </c>
      <c r="H5" t="n">
        <v>4</v>
      </c>
      <c r="I5" t="n">
        <v>4</v>
      </c>
      <c r="J5" t="n">
        <v>3</v>
      </c>
      <c r="K5" t="n">
        <v>1</v>
      </c>
      <c r="L5" t="n">
        <v>0</v>
      </c>
      <c r="M5" t="n">
        <v>0</v>
      </c>
      <c r="N5" t="n">
        <v>0</v>
      </c>
      <c r="O5" t="n">
        <v>4</v>
      </c>
      <c r="P5" t="n">
        <v>1</v>
      </c>
      <c r="Q5" t="n">
        <v>10</v>
      </c>
      <c r="R5" s="2" t="inlineStr">
        <is>
          <t>Knärot
Mindre hackspett
Ullticka
Vedskivlav
Björksplintborre
Jättesvampmal
Stubbspretmossa
Vedticka
Kungsfågel
Revlummer</t>
        </is>
      </c>
      <c r="S5">
        <f>HYPERLINK("https://klasma.github.io/Logging_0117/artfynd/A 25888-2026 artfynd.xlsx", "A 25888-2026")</f>
        <v/>
      </c>
      <c r="T5">
        <f>HYPERLINK("https://klasma.github.io/Logging_0117/kartor/A 25888-2026 karta.png", "A 25888-2026")</f>
        <v/>
      </c>
      <c r="U5">
        <f>HYPERLINK("https://klasma.github.io/Logging_0117/knärot/A 25888-2026 karta knärot.png", "A 25888-2026")</f>
        <v/>
      </c>
      <c r="V5">
        <f>HYPERLINK("https://klasma.github.io/Logging_0117/klagomål/A 25888-2026 FSC-klagomål.docx", "A 25888-2026")</f>
        <v/>
      </c>
      <c r="W5">
        <f>HYPERLINK("https://klasma.github.io/Logging_0117/klagomålsmail/A 25888-2026 FSC-klagomål mail.docx", "A 25888-2026")</f>
        <v/>
      </c>
      <c r="X5">
        <f>HYPERLINK("https://klasma.github.io/Logging_0117/tillsyn/A 25888-2026 tillsynsbegäran.docx", "A 25888-2026")</f>
        <v/>
      </c>
      <c r="Y5">
        <f>HYPERLINK("https://klasma.github.io/Logging_0117/tillsynsmail/A 25888-2026 tillsynsbegäran mail.docx", "A 25888-2026")</f>
        <v/>
      </c>
      <c r="Z5">
        <f>HYPERLINK("https://klasma.github.io/Logging_0117/fåglar/A 25888-2026 prioriterade fågelarter.docx", "A 25888-2026")</f>
        <v/>
      </c>
    </row>
    <row r="6" ht="15" customHeight="1">
      <c r="A6" t="inlineStr">
        <is>
          <t>A 31015-2024</t>
        </is>
      </c>
      <c r="B6" s="1" t="n">
        <v>45499</v>
      </c>
      <c r="C6" s="1" t="n">
        <v>46193</v>
      </c>
      <c r="D6" t="inlineStr">
        <is>
          <t>STOCKHOLMS LÄN</t>
        </is>
      </c>
      <c r="E6" t="inlineStr">
        <is>
          <t>ÖSTERÅKER</t>
        </is>
      </c>
      <c r="F6" t="inlineStr">
        <is>
          <t>Övriga Aktiebolag</t>
        </is>
      </c>
      <c r="G6" t="n">
        <v>5.3</v>
      </c>
      <c r="H6" t="n">
        <v>1</v>
      </c>
      <c r="I6" t="n">
        <v>5</v>
      </c>
      <c r="J6" t="n">
        <v>3</v>
      </c>
      <c r="K6" t="n">
        <v>0</v>
      </c>
      <c r="L6" t="n">
        <v>0</v>
      </c>
      <c r="M6" t="n">
        <v>0</v>
      </c>
      <c r="N6" t="n">
        <v>0</v>
      </c>
      <c r="O6" t="n">
        <v>3</v>
      </c>
      <c r="P6" t="n">
        <v>0</v>
      </c>
      <c r="Q6" t="n">
        <v>9</v>
      </c>
      <c r="R6" s="2" t="inlineStr">
        <is>
          <t>Motaggsvamp
Tallticka
Ullticka
Blodticka
Bronshjon
Jättesvampmal
Mindre märgborre
Vågbandad barkbock
Spillkråka</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v>
      </c>
      <c r="C7" s="1" t="n">
        <v>46193</v>
      </c>
      <c r="D7" t="inlineStr">
        <is>
          <t>STOCKHOLMS LÄN</t>
        </is>
      </c>
      <c r="E7" t="inlineStr">
        <is>
          <t>ÖSTERÅKER</t>
        </is>
      </c>
      <c r="F7" t="inlineStr">
        <is>
          <t>Kommuner</t>
        </is>
      </c>
      <c r="G7" t="n">
        <v>5.3</v>
      </c>
      <c r="H7" t="n">
        <v>7</v>
      </c>
      <c r="I7" t="n">
        <v>0</v>
      </c>
      <c r="J7" t="n">
        <v>0</v>
      </c>
      <c r="K7" t="n">
        <v>2</v>
      </c>
      <c r="L7" t="n">
        <v>0</v>
      </c>
      <c r="M7" t="n">
        <v>0</v>
      </c>
      <c r="N7" t="n">
        <v>0</v>
      </c>
      <c r="O7" t="n">
        <v>2</v>
      </c>
      <c r="P7" t="n">
        <v>2</v>
      </c>
      <c r="Q7" t="n">
        <v>7</v>
      </c>
      <c r="R7" s="2" t="inlineStr">
        <is>
          <t>Grönfink
Stare
Tallbit
Grönsiska
Kråka
Kungsfågel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22172-2022</t>
        </is>
      </c>
      <c r="B8" s="1" t="n">
        <v>44712</v>
      </c>
      <c r="C8" s="1" t="n">
        <v>46193</v>
      </c>
      <c r="D8" t="inlineStr">
        <is>
          <t>STOCKHOLMS LÄN</t>
        </is>
      </c>
      <c r="E8" t="inlineStr">
        <is>
          <t>ÖSTERÅKER</t>
        </is>
      </c>
      <c r="G8" t="n">
        <v>3.7</v>
      </c>
      <c r="H8" t="n">
        <v>5</v>
      </c>
      <c r="I8" t="n">
        <v>0</v>
      </c>
      <c r="J8" t="n">
        <v>3</v>
      </c>
      <c r="K8" t="n">
        <v>0</v>
      </c>
      <c r="L8" t="n">
        <v>0</v>
      </c>
      <c r="M8" t="n">
        <v>0</v>
      </c>
      <c r="N8" t="n">
        <v>0</v>
      </c>
      <c r="O8" t="n">
        <v>3</v>
      </c>
      <c r="P8" t="n">
        <v>0</v>
      </c>
      <c r="Q8" t="n">
        <v>6</v>
      </c>
      <c r="R8" s="2" t="inlineStr">
        <is>
          <t>Brunlångöra
Gullpudra
Nordfladdermus
Dvärgpipistrell
Större brunfladdermus
Vattenfladdermus</t>
        </is>
      </c>
      <c r="S8">
        <f>HYPERLINK("https://klasma.github.io/Logging_0117/artfynd/A 22172-2022 artfynd.xlsx", "A 22172-2022")</f>
        <v/>
      </c>
      <c r="T8">
        <f>HYPERLINK("https://klasma.github.io/Logging_0117/kartor/A 22172-2022 karta.png", "A 22172-2022")</f>
        <v/>
      </c>
      <c r="V8">
        <f>HYPERLINK("https://klasma.github.io/Logging_0117/klagomål/A 22172-2022 FSC-klagomål.docx", "A 22172-2022")</f>
        <v/>
      </c>
      <c r="W8">
        <f>HYPERLINK("https://klasma.github.io/Logging_0117/klagomålsmail/A 22172-2022 FSC-klagomål mail.docx", "A 22172-2022")</f>
        <v/>
      </c>
      <c r="X8">
        <f>HYPERLINK("https://klasma.github.io/Logging_0117/tillsyn/A 22172-2022 tillsynsbegäran.docx", "A 22172-2022")</f>
        <v/>
      </c>
      <c r="Y8">
        <f>HYPERLINK("https://klasma.github.io/Logging_0117/tillsynsmail/A 22172-2022 tillsynsbegäran mail.docx", "A 22172-2022")</f>
        <v/>
      </c>
    </row>
    <row r="9" ht="15" customHeight="1">
      <c r="A9" t="inlineStr">
        <is>
          <t>A 3914-2023</t>
        </is>
      </c>
      <c r="B9" s="1" t="n">
        <v>44952</v>
      </c>
      <c r="C9" s="1" t="n">
        <v>46193</v>
      </c>
      <c r="D9" t="inlineStr">
        <is>
          <t>STOCKHOLMS LÄN</t>
        </is>
      </c>
      <c r="E9" t="inlineStr">
        <is>
          <t>ÖSTERÅKER</t>
        </is>
      </c>
      <c r="F9" t="inlineStr">
        <is>
          <t>Kommuner</t>
        </is>
      </c>
      <c r="G9" t="n">
        <v>15.3</v>
      </c>
      <c r="H9" t="n">
        <v>4</v>
      </c>
      <c r="I9" t="n">
        <v>0</v>
      </c>
      <c r="J9" t="n">
        <v>1</v>
      </c>
      <c r="K9" t="n">
        <v>0</v>
      </c>
      <c r="L9" t="n">
        <v>0</v>
      </c>
      <c r="M9" t="n">
        <v>0</v>
      </c>
      <c r="N9" t="n">
        <v>0</v>
      </c>
      <c r="O9" t="n">
        <v>1</v>
      </c>
      <c r="P9" t="n">
        <v>0</v>
      </c>
      <c r="Q9" t="n">
        <v>4</v>
      </c>
      <c r="R9" s="2" t="inlineStr">
        <is>
          <t>Järnsparv
Gröngöling
Kråka
Kungsfågel</t>
        </is>
      </c>
      <c r="S9">
        <f>HYPERLINK("https://klasma.github.io/Logging_0117/artfynd/A 3914-2023 artfynd.xlsx", "A 3914-2023")</f>
        <v/>
      </c>
      <c r="T9">
        <f>HYPERLINK("https://klasma.github.io/Logging_0117/kartor/A 3914-2023 karta.png", "A 3914-2023")</f>
        <v/>
      </c>
      <c r="V9">
        <f>HYPERLINK("https://klasma.github.io/Logging_0117/klagomål/A 3914-2023 FSC-klagomål.docx", "A 3914-2023")</f>
        <v/>
      </c>
      <c r="W9">
        <f>HYPERLINK("https://klasma.github.io/Logging_0117/klagomålsmail/A 3914-2023 FSC-klagomål mail.docx", "A 3914-2023")</f>
        <v/>
      </c>
      <c r="X9">
        <f>HYPERLINK("https://klasma.github.io/Logging_0117/tillsyn/A 3914-2023 tillsynsbegäran.docx", "A 3914-2023")</f>
        <v/>
      </c>
      <c r="Y9">
        <f>HYPERLINK("https://klasma.github.io/Logging_0117/tillsynsmail/A 3914-2023 tillsynsbegäran mail.docx", "A 3914-2023")</f>
        <v/>
      </c>
      <c r="Z9">
        <f>HYPERLINK("https://klasma.github.io/Logging_0117/fåglar/A 3914-2023 prioriterade fågelarter.docx", "A 3914-2023")</f>
        <v/>
      </c>
    </row>
    <row r="10" ht="15" customHeight="1">
      <c r="A10" t="inlineStr">
        <is>
          <t>A 31523-2022</t>
        </is>
      </c>
      <c r="B10" s="1" t="n">
        <v>44775</v>
      </c>
      <c r="C10" s="1" t="n">
        <v>46193</v>
      </c>
      <c r="D10" t="inlineStr">
        <is>
          <t>STOCKHOLMS LÄN</t>
        </is>
      </c>
      <c r="E10" t="inlineStr">
        <is>
          <t>ÖSTERÅKER</t>
        </is>
      </c>
      <c r="G10" t="n">
        <v>9</v>
      </c>
      <c r="H10" t="n">
        <v>1</v>
      </c>
      <c r="I10" t="n">
        <v>0</v>
      </c>
      <c r="J10" t="n">
        <v>1</v>
      </c>
      <c r="K10" t="n">
        <v>2</v>
      </c>
      <c r="L10" t="n">
        <v>0</v>
      </c>
      <c r="M10" t="n">
        <v>0</v>
      </c>
      <c r="N10" t="n">
        <v>0</v>
      </c>
      <c r="O10" t="n">
        <v>3</v>
      </c>
      <c r="P10" t="n">
        <v>2</v>
      </c>
      <c r="Q10" t="n">
        <v>4</v>
      </c>
      <c r="R10" s="2" t="inlineStr">
        <is>
          <t>Aspgelélav
Garnlav
Tallticka
Tjäder</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c r="Z10">
        <f>HYPERLINK("https://klasma.github.io/Logging_0117/fåglar/A 31523-2022 prioriterade fågelarter.docx", "A 31523-2022")</f>
        <v/>
      </c>
    </row>
    <row r="11" ht="15" customHeight="1">
      <c r="A11" t="inlineStr">
        <is>
          <t>A 37244-2024</t>
        </is>
      </c>
      <c r="B11" s="1" t="n">
        <v>45540</v>
      </c>
      <c r="C11" s="1" t="n">
        <v>46193</v>
      </c>
      <c r="D11" t="inlineStr">
        <is>
          <t>STOCKHOLMS LÄN</t>
        </is>
      </c>
      <c r="E11" t="inlineStr">
        <is>
          <t>ÖSTERÅKER</t>
        </is>
      </c>
      <c r="G11" t="n">
        <v>2.6</v>
      </c>
      <c r="H11" t="n">
        <v>1</v>
      </c>
      <c r="I11" t="n">
        <v>1</v>
      </c>
      <c r="J11" t="n">
        <v>3</v>
      </c>
      <c r="K11" t="n">
        <v>0</v>
      </c>
      <c r="L11" t="n">
        <v>0</v>
      </c>
      <c r="M11" t="n">
        <v>0</v>
      </c>
      <c r="N11" t="n">
        <v>0</v>
      </c>
      <c r="O11" t="n">
        <v>3</v>
      </c>
      <c r="P11" t="n">
        <v>0</v>
      </c>
      <c r="Q11" t="n">
        <v>4</v>
      </c>
      <c r="R11" s="2" t="inlineStr">
        <is>
          <t>Tallticka
Talltita
Vedskivlav
Grovticka</t>
        </is>
      </c>
      <c r="S11">
        <f>HYPERLINK("https://klasma.github.io/Logging_0117/artfynd/A 37244-2024 artfynd.xlsx", "A 37244-2024")</f>
        <v/>
      </c>
      <c r="T11">
        <f>HYPERLINK("https://klasma.github.io/Logging_0117/kartor/A 37244-2024 karta.png", "A 37244-2024")</f>
        <v/>
      </c>
      <c r="V11">
        <f>HYPERLINK("https://klasma.github.io/Logging_0117/klagomål/A 37244-2024 FSC-klagomål.docx", "A 37244-2024")</f>
        <v/>
      </c>
      <c r="W11">
        <f>HYPERLINK("https://klasma.github.io/Logging_0117/klagomålsmail/A 37244-2024 FSC-klagomål mail.docx", "A 37244-2024")</f>
        <v/>
      </c>
      <c r="X11">
        <f>HYPERLINK("https://klasma.github.io/Logging_0117/tillsyn/A 37244-2024 tillsynsbegäran.docx", "A 37244-2024")</f>
        <v/>
      </c>
      <c r="Y11">
        <f>HYPERLINK("https://klasma.github.io/Logging_0117/tillsynsmail/A 37244-2024 tillsynsbegäran mail.docx", "A 37244-2024")</f>
        <v/>
      </c>
      <c r="Z11">
        <f>HYPERLINK("https://klasma.github.io/Logging_0117/fåglar/A 37244-2024 prioriterade fågelarter.docx", "A 37244-2024")</f>
        <v/>
      </c>
    </row>
    <row r="12" ht="15" customHeight="1">
      <c r="A12" t="inlineStr">
        <is>
          <t>A 12620-2022</t>
        </is>
      </c>
      <c r="B12" s="1" t="n">
        <v>44638</v>
      </c>
      <c r="C12" s="1" t="n">
        <v>46193</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27948-2025</t>
        </is>
      </c>
      <c r="B13" s="1" t="n">
        <v>45817</v>
      </c>
      <c r="C13" s="1" t="n">
        <v>46193</v>
      </c>
      <c r="D13" t="inlineStr">
        <is>
          <t>STOCKHOLMS LÄN</t>
        </is>
      </c>
      <c r="E13" t="inlineStr">
        <is>
          <t>ÖSTERÅKER</t>
        </is>
      </c>
      <c r="G13" t="n">
        <v>5.6</v>
      </c>
      <c r="H13" t="n">
        <v>3</v>
      </c>
      <c r="I13" t="n">
        <v>0</v>
      </c>
      <c r="J13" t="n">
        <v>1</v>
      </c>
      <c r="K13" t="n">
        <v>1</v>
      </c>
      <c r="L13" t="n">
        <v>0</v>
      </c>
      <c r="M13" t="n">
        <v>0</v>
      </c>
      <c r="N13" t="n">
        <v>0</v>
      </c>
      <c r="O13" t="n">
        <v>2</v>
      </c>
      <c r="P13" t="n">
        <v>1</v>
      </c>
      <c r="Q13" t="n">
        <v>3</v>
      </c>
      <c r="R13" s="2" t="inlineStr">
        <is>
          <t>Tornseglare
Ladusvala
Törnskata</t>
        </is>
      </c>
      <c r="S13">
        <f>HYPERLINK("https://klasma.github.io/Logging_0117/artfynd/A 27948-2025 artfynd.xlsx", "A 27948-2025")</f>
        <v/>
      </c>
      <c r="T13">
        <f>HYPERLINK("https://klasma.github.io/Logging_0117/kartor/A 27948-2025 karta.png", "A 27948-2025")</f>
        <v/>
      </c>
      <c r="V13">
        <f>HYPERLINK("https://klasma.github.io/Logging_0117/klagomål/A 27948-2025 FSC-klagomål.docx", "A 27948-2025")</f>
        <v/>
      </c>
      <c r="W13">
        <f>HYPERLINK("https://klasma.github.io/Logging_0117/klagomålsmail/A 27948-2025 FSC-klagomål mail.docx", "A 27948-2025")</f>
        <v/>
      </c>
      <c r="X13">
        <f>HYPERLINK("https://klasma.github.io/Logging_0117/tillsyn/A 27948-2025 tillsynsbegäran.docx", "A 27948-2025")</f>
        <v/>
      </c>
      <c r="Y13">
        <f>HYPERLINK("https://klasma.github.io/Logging_0117/tillsynsmail/A 27948-2025 tillsynsbegäran mail.docx", "A 27948-2025")</f>
        <v/>
      </c>
      <c r="Z13">
        <f>HYPERLINK("https://klasma.github.io/Logging_0117/fåglar/A 27948-2025 prioriterade fågelarter.docx", "A 27948-2025")</f>
        <v/>
      </c>
    </row>
    <row r="14" ht="15" customHeight="1">
      <c r="A14" t="inlineStr">
        <is>
          <t>A 62578-2025</t>
        </is>
      </c>
      <c r="B14" s="1" t="n">
        <v>46007</v>
      </c>
      <c r="C14" s="1" t="n">
        <v>46193</v>
      </c>
      <c r="D14" t="inlineStr">
        <is>
          <t>STOCKHOLMS LÄN</t>
        </is>
      </c>
      <c r="E14" t="inlineStr">
        <is>
          <t>ÖSTERÅKER</t>
        </is>
      </c>
      <c r="G14" t="n">
        <v>3.4</v>
      </c>
      <c r="H14" t="n">
        <v>0</v>
      </c>
      <c r="I14" t="n">
        <v>3</v>
      </c>
      <c r="J14" t="n">
        <v>0</v>
      </c>
      <c r="K14" t="n">
        <v>0</v>
      </c>
      <c r="L14" t="n">
        <v>0</v>
      </c>
      <c r="M14" t="n">
        <v>0</v>
      </c>
      <c r="N14" t="n">
        <v>0</v>
      </c>
      <c r="O14" t="n">
        <v>0</v>
      </c>
      <c r="P14" t="n">
        <v>0</v>
      </c>
      <c r="Q14" t="n">
        <v>3</v>
      </c>
      <c r="R14" s="2" t="inlineStr">
        <is>
          <t>Fällmossa
Mindre märgborre
Vedticka</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54703-2024</t>
        </is>
      </c>
      <c r="B15" s="1" t="n">
        <v>45618</v>
      </c>
      <c r="C15" s="1" t="n">
        <v>46193</v>
      </c>
      <c r="D15" t="inlineStr">
        <is>
          <t>STOCKHOLMS LÄN</t>
        </is>
      </c>
      <c r="E15" t="inlineStr">
        <is>
          <t>ÖSTERÅKER</t>
        </is>
      </c>
      <c r="G15" t="n">
        <v>7.7</v>
      </c>
      <c r="H15" t="n">
        <v>2</v>
      </c>
      <c r="I15" t="n">
        <v>0</v>
      </c>
      <c r="J15" t="n">
        <v>1</v>
      </c>
      <c r="K15" t="n">
        <v>0</v>
      </c>
      <c r="L15" t="n">
        <v>0</v>
      </c>
      <c r="M15" t="n">
        <v>0</v>
      </c>
      <c r="N15" t="n">
        <v>0</v>
      </c>
      <c r="O15" t="n">
        <v>1</v>
      </c>
      <c r="P15" t="n">
        <v>0</v>
      </c>
      <c r="Q15" t="n">
        <v>3</v>
      </c>
      <c r="R15" s="2" t="inlineStr">
        <is>
          <t>Tallticka
Spillkråka
Kungsfågel</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46193</v>
      </c>
      <c r="D16" t="inlineStr">
        <is>
          <t>STOCKHOLMS LÄN</t>
        </is>
      </c>
      <c r="E16" t="inlineStr">
        <is>
          <t>ÖSTERÅKER</t>
        </is>
      </c>
      <c r="G16" t="n">
        <v>5.3</v>
      </c>
      <c r="H16" t="n">
        <v>1</v>
      </c>
      <c r="I16" t="n">
        <v>0</v>
      </c>
      <c r="J16" t="n">
        <v>2</v>
      </c>
      <c r="K16" t="n">
        <v>0</v>
      </c>
      <c r="L16" t="n">
        <v>0</v>
      </c>
      <c r="M16" t="n">
        <v>0</v>
      </c>
      <c r="N16" t="n">
        <v>0</v>
      </c>
      <c r="O16" t="n">
        <v>2</v>
      </c>
      <c r="P16" t="n">
        <v>0</v>
      </c>
      <c r="Q16" t="n">
        <v>3</v>
      </c>
      <c r="R16" s="2" t="inlineStr">
        <is>
          <t>Motaggsvamp
Skuggblåslav
Tjäder</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c r="Z16">
        <f>HYPERLINK("https://klasma.github.io/Logging_0117/fåglar/A 61363-2022 prioriterade fågelarter.docx", "A 61363-2022")</f>
        <v/>
      </c>
    </row>
    <row r="17" ht="15" customHeight="1">
      <c r="A17" t="inlineStr">
        <is>
          <t>A 67244-2021</t>
        </is>
      </c>
      <c r="B17" s="1" t="n">
        <v>44523</v>
      </c>
      <c r="C17" s="1" t="n">
        <v>46193</v>
      </c>
      <c r="D17" t="inlineStr">
        <is>
          <t>STOCKHOLMS LÄN</t>
        </is>
      </c>
      <c r="E17" t="inlineStr">
        <is>
          <t>ÖSTERÅKER</t>
        </is>
      </c>
      <c r="F17" t="inlineStr">
        <is>
          <t>Kommuner</t>
        </is>
      </c>
      <c r="G17" t="n">
        <v>5.3</v>
      </c>
      <c r="H17" t="n">
        <v>0</v>
      </c>
      <c r="I17" t="n">
        <v>0</v>
      </c>
      <c r="J17" t="n">
        <v>0</v>
      </c>
      <c r="K17" t="n">
        <v>1</v>
      </c>
      <c r="L17" t="n">
        <v>0</v>
      </c>
      <c r="M17" t="n">
        <v>0</v>
      </c>
      <c r="N17" t="n">
        <v>0</v>
      </c>
      <c r="O17" t="n">
        <v>2</v>
      </c>
      <c r="P17" t="n">
        <v>1</v>
      </c>
      <c r="Q17" t="n">
        <v>2</v>
      </c>
      <c r="R17" s="2" t="inlineStr">
        <is>
          <t>Igelkott
Backdvärgmal</t>
        </is>
      </c>
      <c r="S17">
        <f>HYPERLINK("https://klasma.github.io/Logging_0117/artfynd/A 67244-2021 artfynd.xlsx", "A 67244-2021")</f>
        <v/>
      </c>
      <c r="T17">
        <f>HYPERLINK("https://klasma.github.io/Logging_0117/kartor/A 67244-2021 karta.png", "A 67244-2021")</f>
        <v/>
      </c>
      <c r="V17">
        <f>HYPERLINK("https://klasma.github.io/Logging_0117/klagomål/A 67244-2021 FSC-klagomål.docx", "A 67244-2021")</f>
        <v/>
      </c>
      <c r="W17">
        <f>HYPERLINK("https://klasma.github.io/Logging_0117/klagomålsmail/A 67244-2021 FSC-klagomål mail.docx", "A 67244-2021")</f>
        <v/>
      </c>
      <c r="X17">
        <f>HYPERLINK("https://klasma.github.io/Logging_0117/tillsyn/A 67244-2021 tillsynsbegäran.docx", "A 67244-2021")</f>
        <v/>
      </c>
      <c r="Y17">
        <f>HYPERLINK("https://klasma.github.io/Logging_0117/tillsynsmail/A 67244-2021 tillsynsbegäran mail.docx", "A 67244-2021")</f>
        <v/>
      </c>
    </row>
    <row r="18" ht="15" customHeight="1">
      <c r="A18" t="inlineStr">
        <is>
          <t>A 61275-2021</t>
        </is>
      </c>
      <c r="B18" s="1" t="n">
        <v>44498</v>
      </c>
      <c r="C18" s="1" t="n">
        <v>46193</v>
      </c>
      <c r="D18" t="inlineStr">
        <is>
          <t>STOCKHOLMS LÄN</t>
        </is>
      </c>
      <c r="E18" t="inlineStr">
        <is>
          <t>ÖSTERÅKER</t>
        </is>
      </c>
      <c r="G18" t="n">
        <v>2.1</v>
      </c>
      <c r="H18" t="n">
        <v>2</v>
      </c>
      <c r="I18" t="n">
        <v>0</v>
      </c>
      <c r="J18" t="n">
        <v>0</v>
      </c>
      <c r="K18" t="n">
        <v>0</v>
      </c>
      <c r="L18" t="n">
        <v>0</v>
      </c>
      <c r="M18" t="n">
        <v>0</v>
      </c>
      <c r="N18" t="n">
        <v>0</v>
      </c>
      <c r="O18" t="n">
        <v>0</v>
      </c>
      <c r="P18" t="n">
        <v>0</v>
      </c>
      <c r="Q18" t="n">
        <v>2</v>
      </c>
      <c r="R18" s="2" t="inlineStr">
        <is>
          <t>Fläcknycklar
Nattviol</t>
        </is>
      </c>
      <c r="S18">
        <f>HYPERLINK("https://klasma.github.io/Logging_0117/artfynd/A 61275-2021 artfynd.xlsx", "A 61275-2021")</f>
        <v/>
      </c>
      <c r="T18">
        <f>HYPERLINK("https://klasma.github.io/Logging_0117/kartor/A 61275-2021 karta.png", "A 61275-2021")</f>
        <v/>
      </c>
      <c r="V18">
        <f>HYPERLINK("https://klasma.github.io/Logging_0117/klagomål/A 61275-2021 FSC-klagomål.docx", "A 61275-2021")</f>
        <v/>
      </c>
      <c r="W18">
        <f>HYPERLINK("https://klasma.github.io/Logging_0117/klagomålsmail/A 61275-2021 FSC-klagomål mail.docx", "A 61275-2021")</f>
        <v/>
      </c>
      <c r="X18">
        <f>HYPERLINK("https://klasma.github.io/Logging_0117/tillsyn/A 61275-2021 tillsynsbegäran.docx", "A 61275-2021")</f>
        <v/>
      </c>
      <c r="Y18">
        <f>HYPERLINK("https://klasma.github.io/Logging_0117/tillsynsmail/A 61275-2021 tillsynsbegäran mail.docx", "A 61275-2021")</f>
        <v/>
      </c>
    </row>
    <row r="19" ht="15" customHeight="1">
      <c r="A19" t="inlineStr">
        <is>
          <t>A 30949-2024</t>
        </is>
      </c>
      <c r="B19" s="1" t="n">
        <v>45499</v>
      </c>
      <c r="C19" s="1" t="n">
        <v>46193</v>
      </c>
      <c r="D19" t="inlineStr">
        <is>
          <t>STOCKHOLMS LÄN</t>
        </is>
      </c>
      <c r="E19" t="inlineStr">
        <is>
          <t>ÖSTERÅKER</t>
        </is>
      </c>
      <c r="F19" t="inlineStr">
        <is>
          <t>Övriga Aktiebolag</t>
        </is>
      </c>
      <c r="G19" t="n">
        <v>3.2</v>
      </c>
      <c r="H19" t="n">
        <v>0</v>
      </c>
      <c r="I19" t="n">
        <v>1</v>
      </c>
      <c r="J19" t="n">
        <v>1</v>
      </c>
      <c r="K19" t="n">
        <v>0</v>
      </c>
      <c r="L19" t="n">
        <v>0</v>
      </c>
      <c r="M19" t="n">
        <v>0</v>
      </c>
      <c r="N19" t="n">
        <v>0</v>
      </c>
      <c r="O19" t="n">
        <v>1</v>
      </c>
      <c r="P19" t="n">
        <v>0</v>
      </c>
      <c r="Q19" t="n">
        <v>2</v>
      </c>
      <c r="R19" s="2" t="inlineStr">
        <is>
          <t>Tallticka
Blåmossa</t>
        </is>
      </c>
      <c r="S19">
        <f>HYPERLINK("https://klasma.github.io/Logging_0117/artfynd/A 30949-2024 artfynd.xlsx", "A 30949-2024")</f>
        <v/>
      </c>
      <c r="T19">
        <f>HYPERLINK("https://klasma.github.io/Logging_0117/kartor/A 30949-2024 karta.png", "A 30949-2024")</f>
        <v/>
      </c>
      <c r="V19">
        <f>HYPERLINK("https://klasma.github.io/Logging_0117/klagomål/A 30949-2024 FSC-klagomål.docx", "A 30949-2024")</f>
        <v/>
      </c>
      <c r="W19">
        <f>HYPERLINK("https://klasma.github.io/Logging_0117/klagomålsmail/A 30949-2024 FSC-klagomål mail.docx", "A 30949-2024")</f>
        <v/>
      </c>
      <c r="X19">
        <f>HYPERLINK("https://klasma.github.io/Logging_0117/tillsyn/A 30949-2024 tillsynsbegäran.docx", "A 30949-2024")</f>
        <v/>
      </c>
      <c r="Y19">
        <f>HYPERLINK("https://klasma.github.io/Logging_0117/tillsynsmail/A 30949-2024 tillsynsbegäran mail.docx", "A 30949-2024")</f>
        <v/>
      </c>
    </row>
    <row r="20" ht="15" customHeight="1">
      <c r="A20" t="inlineStr">
        <is>
          <t>A 43308-2024</t>
        </is>
      </c>
      <c r="B20" s="1" t="n">
        <v>45568</v>
      </c>
      <c r="C20" s="1" t="n">
        <v>46193</v>
      </c>
      <c r="D20" t="inlineStr">
        <is>
          <t>STOCKHOLMS LÄN</t>
        </is>
      </c>
      <c r="E20" t="inlineStr">
        <is>
          <t>ÖSTERÅKER</t>
        </is>
      </c>
      <c r="F20" t="inlineStr">
        <is>
          <t>Kyrkan</t>
        </is>
      </c>
      <c r="G20" t="n">
        <v>3.2</v>
      </c>
      <c r="H20" t="n">
        <v>0</v>
      </c>
      <c r="I20" t="n">
        <v>0</v>
      </c>
      <c r="J20" t="n">
        <v>2</v>
      </c>
      <c r="K20" t="n">
        <v>0</v>
      </c>
      <c r="L20" t="n">
        <v>0</v>
      </c>
      <c r="M20" t="n">
        <v>0</v>
      </c>
      <c r="N20" t="n">
        <v>0</v>
      </c>
      <c r="O20" t="n">
        <v>2</v>
      </c>
      <c r="P20" t="n">
        <v>0</v>
      </c>
      <c r="Q20" t="n">
        <v>2</v>
      </c>
      <c r="R20" s="2" t="inlineStr">
        <is>
          <t>Dropptaggsvamp
Tallticka</t>
        </is>
      </c>
      <c r="S20">
        <f>HYPERLINK("https://klasma.github.io/Logging_0117/artfynd/A 43308-2024 artfynd.xlsx", "A 43308-2024")</f>
        <v/>
      </c>
      <c r="T20">
        <f>HYPERLINK("https://klasma.github.io/Logging_0117/kartor/A 43308-2024 karta.png", "A 43308-2024")</f>
        <v/>
      </c>
      <c r="V20">
        <f>HYPERLINK("https://klasma.github.io/Logging_0117/klagomål/A 43308-2024 FSC-klagomål.docx", "A 43308-2024")</f>
        <v/>
      </c>
      <c r="W20">
        <f>HYPERLINK("https://klasma.github.io/Logging_0117/klagomålsmail/A 43308-2024 FSC-klagomål mail.docx", "A 43308-2024")</f>
        <v/>
      </c>
      <c r="X20">
        <f>HYPERLINK("https://klasma.github.io/Logging_0117/tillsyn/A 43308-2024 tillsynsbegäran.docx", "A 43308-2024")</f>
        <v/>
      </c>
      <c r="Y20">
        <f>HYPERLINK("https://klasma.github.io/Logging_0117/tillsynsmail/A 43308-2024 tillsynsbegäran mail.docx", "A 43308-2024")</f>
        <v/>
      </c>
    </row>
    <row r="21" ht="15" customHeight="1">
      <c r="A21" t="inlineStr">
        <is>
          <t>A 31575-2022</t>
        </is>
      </c>
      <c r="B21" s="1" t="n">
        <v>44775</v>
      </c>
      <c r="C21" s="1" t="n">
        <v>46193</v>
      </c>
      <c r="D21" t="inlineStr">
        <is>
          <t>STOCKHOLMS LÄN</t>
        </is>
      </c>
      <c r="E21" t="inlineStr">
        <is>
          <t>ÖSTERÅKER</t>
        </is>
      </c>
      <c r="G21" t="n">
        <v>5</v>
      </c>
      <c r="H21" t="n">
        <v>0</v>
      </c>
      <c r="I21" t="n">
        <v>1</v>
      </c>
      <c r="J21" t="n">
        <v>0</v>
      </c>
      <c r="K21" t="n">
        <v>1</v>
      </c>
      <c r="L21" t="n">
        <v>0</v>
      </c>
      <c r="M21" t="n">
        <v>0</v>
      </c>
      <c r="N21" t="n">
        <v>0</v>
      </c>
      <c r="O21" t="n">
        <v>1</v>
      </c>
      <c r="P21" t="n">
        <v>1</v>
      </c>
      <c r="Q21" t="n">
        <v>2</v>
      </c>
      <c r="R21" s="2" t="inlineStr">
        <is>
          <t>Aspgelélav
Dvärgtufs</t>
        </is>
      </c>
      <c r="S21">
        <f>HYPERLINK("https://klasma.github.io/Logging_0117/artfynd/A 31575-2022 artfynd.xlsx", "A 31575-2022")</f>
        <v/>
      </c>
      <c r="T21">
        <f>HYPERLINK("https://klasma.github.io/Logging_0117/kartor/A 31575-2022 karta.png", "A 31575-2022")</f>
        <v/>
      </c>
      <c r="V21">
        <f>HYPERLINK("https://klasma.github.io/Logging_0117/klagomål/A 31575-2022 FSC-klagomål.docx", "A 31575-2022")</f>
        <v/>
      </c>
      <c r="W21">
        <f>HYPERLINK("https://klasma.github.io/Logging_0117/klagomålsmail/A 31575-2022 FSC-klagomål mail.docx", "A 31575-2022")</f>
        <v/>
      </c>
      <c r="X21">
        <f>HYPERLINK("https://klasma.github.io/Logging_0117/tillsyn/A 31575-2022 tillsynsbegäran.docx", "A 31575-2022")</f>
        <v/>
      </c>
      <c r="Y21">
        <f>HYPERLINK("https://klasma.github.io/Logging_0117/tillsynsmail/A 31575-2022 tillsynsbegäran mail.docx", "A 31575-2022")</f>
        <v/>
      </c>
    </row>
    <row r="22" ht="15" customHeight="1">
      <c r="A22" t="inlineStr">
        <is>
          <t>A 61323-2022</t>
        </is>
      </c>
      <c r="B22" s="1" t="n">
        <v>44915</v>
      </c>
      <c r="C22" s="1" t="n">
        <v>46193</v>
      </c>
      <c r="D22" t="inlineStr">
        <is>
          <t>STOCKHOLMS LÄN</t>
        </is>
      </c>
      <c r="E22" t="inlineStr">
        <is>
          <t>ÖSTERÅKER</t>
        </is>
      </c>
      <c r="G22" t="n">
        <v>2.7</v>
      </c>
      <c r="H22" t="n">
        <v>0</v>
      </c>
      <c r="I22" t="n">
        <v>0</v>
      </c>
      <c r="J22" t="n">
        <v>0</v>
      </c>
      <c r="K22" t="n">
        <v>1</v>
      </c>
      <c r="L22" t="n">
        <v>0</v>
      </c>
      <c r="M22" t="n">
        <v>0</v>
      </c>
      <c r="N22" t="n">
        <v>0</v>
      </c>
      <c r="O22" t="n">
        <v>1</v>
      </c>
      <c r="P22" t="n">
        <v>1</v>
      </c>
      <c r="Q22" t="n">
        <v>1</v>
      </c>
      <c r="R22" s="2" t="inlineStr">
        <is>
          <t>Gulvit blekspik</t>
        </is>
      </c>
      <c r="S22">
        <f>HYPERLINK("https://klasma.github.io/Logging_0117/artfynd/A 61323-2022 artfynd.xlsx", "A 61323-2022")</f>
        <v/>
      </c>
      <c r="T22">
        <f>HYPERLINK("https://klasma.github.io/Logging_0117/kartor/A 61323-2022 karta.png", "A 61323-2022")</f>
        <v/>
      </c>
      <c r="V22">
        <f>HYPERLINK("https://klasma.github.io/Logging_0117/klagomål/A 61323-2022 FSC-klagomål.docx", "A 61323-2022")</f>
        <v/>
      </c>
      <c r="W22">
        <f>HYPERLINK("https://klasma.github.io/Logging_0117/klagomålsmail/A 61323-2022 FSC-klagomål mail.docx", "A 61323-2022")</f>
        <v/>
      </c>
      <c r="X22">
        <f>HYPERLINK("https://klasma.github.io/Logging_0117/tillsyn/A 61323-2022 tillsynsbegäran.docx", "A 61323-2022")</f>
        <v/>
      </c>
      <c r="Y22">
        <f>HYPERLINK("https://klasma.github.io/Logging_0117/tillsynsmail/A 61323-2022 tillsynsbegäran mail.docx", "A 61323-2022")</f>
        <v/>
      </c>
    </row>
    <row r="23" ht="15" customHeight="1">
      <c r="A23" t="inlineStr">
        <is>
          <t>A 67265-2021</t>
        </is>
      </c>
      <c r="B23" s="1" t="n">
        <v>44523</v>
      </c>
      <c r="C23" s="1" t="n">
        <v>46193</v>
      </c>
      <c r="D23" t="inlineStr">
        <is>
          <t>STOCKHOLMS LÄN</t>
        </is>
      </c>
      <c r="E23" t="inlineStr">
        <is>
          <t>ÖSTERÅKER</t>
        </is>
      </c>
      <c r="F23" t="inlineStr">
        <is>
          <t>Kommuner</t>
        </is>
      </c>
      <c r="G23" t="n">
        <v>2.6</v>
      </c>
      <c r="H23" t="n">
        <v>1</v>
      </c>
      <c r="I23" t="n">
        <v>0</v>
      </c>
      <c r="J23" t="n">
        <v>1</v>
      </c>
      <c r="K23" t="n">
        <v>0</v>
      </c>
      <c r="L23" t="n">
        <v>0</v>
      </c>
      <c r="M23" t="n">
        <v>0</v>
      </c>
      <c r="N23" t="n">
        <v>0</v>
      </c>
      <c r="O23" t="n">
        <v>1</v>
      </c>
      <c r="P23" t="n">
        <v>0</v>
      </c>
      <c r="Q23" t="n">
        <v>1</v>
      </c>
      <c r="R23" s="2" t="inlineStr">
        <is>
          <t>Mindre hackspett</t>
        </is>
      </c>
      <c r="S23">
        <f>HYPERLINK("https://klasma.github.io/Logging_0117/artfynd/A 67265-2021 artfynd.xlsx", "A 67265-2021")</f>
        <v/>
      </c>
      <c r="T23">
        <f>HYPERLINK("https://klasma.github.io/Logging_0117/kartor/A 67265-2021 karta.png", "A 67265-2021")</f>
        <v/>
      </c>
      <c r="V23">
        <f>HYPERLINK("https://klasma.github.io/Logging_0117/klagomål/A 67265-2021 FSC-klagomål.docx", "A 67265-2021")</f>
        <v/>
      </c>
      <c r="W23">
        <f>HYPERLINK("https://klasma.github.io/Logging_0117/klagomålsmail/A 67265-2021 FSC-klagomål mail.docx", "A 67265-2021")</f>
        <v/>
      </c>
      <c r="X23">
        <f>HYPERLINK("https://klasma.github.io/Logging_0117/tillsyn/A 67265-2021 tillsynsbegäran.docx", "A 67265-2021")</f>
        <v/>
      </c>
      <c r="Y23">
        <f>HYPERLINK("https://klasma.github.io/Logging_0117/tillsynsmail/A 67265-2021 tillsynsbegäran mail.docx", "A 67265-2021")</f>
        <v/>
      </c>
      <c r="Z23">
        <f>HYPERLINK("https://klasma.github.io/Logging_0117/fåglar/A 67265-2021 prioriterade fågelarter.docx", "A 67265-2021")</f>
        <v/>
      </c>
    </row>
    <row r="24" ht="15" customHeight="1">
      <c r="A24" t="inlineStr">
        <is>
          <t>A 31716-2025</t>
        </is>
      </c>
      <c r="B24" s="1" t="n">
        <v>45834</v>
      </c>
      <c r="C24" s="1" t="n">
        <v>46193</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62839-2025</t>
        </is>
      </c>
      <c r="B25" s="1" t="n">
        <v>46008</v>
      </c>
      <c r="C25" s="1" t="n">
        <v>46193</v>
      </c>
      <c r="D25" t="inlineStr">
        <is>
          <t>STOCKHOLMS LÄN</t>
        </is>
      </c>
      <c r="E25" t="inlineStr">
        <is>
          <t>ÖSTERÅKER</t>
        </is>
      </c>
      <c r="G25" t="n">
        <v>1.4</v>
      </c>
      <c r="H25" t="n">
        <v>0</v>
      </c>
      <c r="I25" t="n">
        <v>0</v>
      </c>
      <c r="J25" t="n">
        <v>1</v>
      </c>
      <c r="K25" t="n">
        <v>0</v>
      </c>
      <c r="L25" t="n">
        <v>0</v>
      </c>
      <c r="M25" t="n">
        <v>0</v>
      </c>
      <c r="N25" t="n">
        <v>0</v>
      </c>
      <c r="O25" t="n">
        <v>1</v>
      </c>
      <c r="P25" t="n">
        <v>0</v>
      </c>
      <c r="Q25" t="n">
        <v>1</v>
      </c>
      <c r="R25" s="2" t="inlineStr">
        <is>
          <t>Gullpudra</t>
        </is>
      </c>
      <c r="S25">
        <f>HYPERLINK("https://klasma.github.io/Logging_0117/artfynd/A 62839-2025 artfynd.xlsx", "A 62839-2025")</f>
        <v/>
      </c>
      <c r="T25">
        <f>HYPERLINK("https://klasma.github.io/Logging_0117/kartor/A 62839-2025 karta.png", "A 62839-2025")</f>
        <v/>
      </c>
      <c r="V25">
        <f>HYPERLINK("https://klasma.github.io/Logging_0117/klagomål/A 62839-2025 FSC-klagomål.docx", "A 62839-2025")</f>
        <v/>
      </c>
      <c r="W25">
        <f>HYPERLINK("https://klasma.github.io/Logging_0117/klagomålsmail/A 62839-2025 FSC-klagomål mail.docx", "A 62839-2025")</f>
        <v/>
      </c>
      <c r="X25">
        <f>HYPERLINK("https://klasma.github.io/Logging_0117/tillsyn/A 62839-2025 tillsynsbegäran.docx", "A 62839-2025")</f>
        <v/>
      </c>
      <c r="Y25">
        <f>HYPERLINK("https://klasma.github.io/Logging_0117/tillsynsmail/A 62839-2025 tillsynsbegäran mail.docx", "A 62839-2025")</f>
        <v/>
      </c>
    </row>
    <row r="26" ht="15" customHeight="1">
      <c r="A26" t="inlineStr">
        <is>
          <t>A 13652-2026</t>
        </is>
      </c>
      <c r="B26" s="1" t="n">
        <v>46097</v>
      </c>
      <c r="C26" s="1" t="n">
        <v>46193</v>
      </c>
      <c r="D26" t="inlineStr">
        <is>
          <t>STOCKHOLMS LÄN</t>
        </is>
      </c>
      <c r="E26" t="inlineStr">
        <is>
          <t>ÖSTERÅKER</t>
        </is>
      </c>
      <c r="G26" t="n">
        <v>0.6</v>
      </c>
      <c r="H26" t="n">
        <v>0</v>
      </c>
      <c r="I26" t="n">
        <v>1</v>
      </c>
      <c r="J26" t="n">
        <v>0</v>
      </c>
      <c r="K26" t="n">
        <v>0</v>
      </c>
      <c r="L26" t="n">
        <v>0</v>
      </c>
      <c r="M26" t="n">
        <v>0</v>
      </c>
      <c r="N26" t="n">
        <v>0</v>
      </c>
      <c r="O26" t="n">
        <v>0</v>
      </c>
      <c r="P26" t="n">
        <v>0</v>
      </c>
      <c r="Q26" t="n">
        <v>1</v>
      </c>
      <c r="R26" s="2" t="inlineStr">
        <is>
          <t>Fällmossa</t>
        </is>
      </c>
      <c r="S26">
        <f>HYPERLINK("https://klasma.github.io/Logging_0117/artfynd/A 13652-2026 artfynd.xlsx", "A 13652-2026")</f>
        <v/>
      </c>
      <c r="T26">
        <f>HYPERLINK("https://klasma.github.io/Logging_0117/kartor/A 13652-2026 karta.png", "A 13652-2026")</f>
        <v/>
      </c>
      <c r="V26">
        <f>HYPERLINK("https://klasma.github.io/Logging_0117/klagomål/A 13652-2026 FSC-klagomål.docx", "A 13652-2026")</f>
        <v/>
      </c>
      <c r="W26">
        <f>HYPERLINK("https://klasma.github.io/Logging_0117/klagomålsmail/A 13652-2026 FSC-klagomål mail.docx", "A 13652-2026")</f>
        <v/>
      </c>
      <c r="X26">
        <f>HYPERLINK("https://klasma.github.io/Logging_0117/tillsyn/A 13652-2026 tillsynsbegäran.docx", "A 13652-2026")</f>
        <v/>
      </c>
      <c r="Y26">
        <f>HYPERLINK("https://klasma.github.io/Logging_0117/tillsynsmail/A 13652-2026 tillsynsbegäran mail.docx", "A 13652-2026")</f>
        <v/>
      </c>
    </row>
    <row r="27" ht="15" customHeight="1">
      <c r="A27" t="inlineStr">
        <is>
          <t>A 62831-2025</t>
        </is>
      </c>
      <c r="B27" s="1" t="n">
        <v>46008</v>
      </c>
      <c r="C27" s="1" t="n">
        <v>46193</v>
      </c>
      <c r="D27" t="inlineStr">
        <is>
          <t>STOCKHOLMS LÄN</t>
        </is>
      </c>
      <c r="E27" t="inlineStr">
        <is>
          <t>ÖSTERÅKER</t>
        </is>
      </c>
      <c r="G27" t="n">
        <v>1.2</v>
      </c>
      <c r="H27" t="n">
        <v>0</v>
      </c>
      <c r="I27" t="n">
        <v>1</v>
      </c>
      <c r="J27" t="n">
        <v>0</v>
      </c>
      <c r="K27" t="n">
        <v>0</v>
      </c>
      <c r="L27" t="n">
        <v>0</v>
      </c>
      <c r="M27" t="n">
        <v>0</v>
      </c>
      <c r="N27" t="n">
        <v>0</v>
      </c>
      <c r="O27" t="n">
        <v>0</v>
      </c>
      <c r="P27" t="n">
        <v>0</v>
      </c>
      <c r="Q27" t="n">
        <v>1</v>
      </c>
      <c r="R27" s="2" t="inlineStr">
        <is>
          <t>Vedticka</t>
        </is>
      </c>
      <c r="S27">
        <f>HYPERLINK("https://klasma.github.io/Logging_0117/artfynd/A 62831-2025 artfynd.xlsx", "A 62831-2025")</f>
        <v/>
      </c>
      <c r="T27">
        <f>HYPERLINK("https://klasma.github.io/Logging_0117/kartor/A 62831-2025 karta.png", "A 62831-2025")</f>
        <v/>
      </c>
      <c r="V27">
        <f>HYPERLINK("https://klasma.github.io/Logging_0117/klagomål/A 62831-2025 FSC-klagomål.docx", "A 62831-2025")</f>
        <v/>
      </c>
      <c r="W27">
        <f>HYPERLINK("https://klasma.github.io/Logging_0117/klagomålsmail/A 62831-2025 FSC-klagomål mail.docx", "A 62831-2025")</f>
        <v/>
      </c>
      <c r="X27">
        <f>HYPERLINK("https://klasma.github.io/Logging_0117/tillsyn/A 62831-2025 tillsynsbegäran.docx", "A 62831-2025")</f>
        <v/>
      </c>
      <c r="Y27">
        <f>HYPERLINK("https://klasma.github.io/Logging_0117/tillsynsmail/A 62831-2025 tillsynsbegäran mail.docx", "A 62831-2025")</f>
        <v/>
      </c>
    </row>
    <row r="28" ht="15" customHeight="1">
      <c r="A28" t="inlineStr">
        <is>
          <t>A 2148-2022</t>
        </is>
      </c>
      <c r="B28" s="1" t="n">
        <v>44575</v>
      </c>
      <c r="C28" s="1" t="n">
        <v>46193</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46193</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46193</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46193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46193</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19934-2022</t>
        </is>
      </c>
      <c r="B33" s="1" t="n">
        <v>44697</v>
      </c>
      <c r="C33" s="1" t="n">
        <v>46193</v>
      </c>
      <c r="D33" t="inlineStr">
        <is>
          <t>STOCKHOLMS LÄN</t>
        </is>
      </c>
      <c r="E33" t="inlineStr">
        <is>
          <t>ÖSTERÅKER</t>
        </is>
      </c>
      <c r="G33" t="n">
        <v>0.3</v>
      </c>
      <c r="H33" t="n">
        <v>0</v>
      </c>
      <c r="I33" t="n">
        <v>0</v>
      </c>
      <c r="J33" t="n">
        <v>0</v>
      </c>
      <c r="K33" t="n">
        <v>0</v>
      </c>
      <c r="L33" t="n">
        <v>0</v>
      </c>
      <c r="M33" t="n">
        <v>0</v>
      </c>
      <c r="N33" t="n">
        <v>0</v>
      </c>
      <c r="O33" t="n">
        <v>0</v>
      </c>
      <c r="P33" t="n">
        <v>0</v>
      </c>
      <c r="Q33" t="n">
        <v>0</v>
      </c>
      <c r="R33" s="2" t="inlineStr"/>
    </row>
    <row r="34" ht="15" customHeight="1">
      <c r="A34" t="inlineStr">
        <is>
          <t>A 19944-2022</t>
        </is>
      </c>
      <c r="B34" s="1" t="n">
        <v>44697</v>
      </c>
      <c r="C34" s="1" t="n">
        <v>46193</v>
      </c>
      <c r="D34" t="inlineStr">
        <is>
          <t>STOCKHOLMS LÄN</t>
        </is>
      </c>
      <c r="E34" t="inlineStr">
        <is>
          <t>ÖSTERÅKER</t>
        </is>
      </c>
      <c r="G34" t="n">
        <v>3.5</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46193</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46193</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46193</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46193</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46193</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46193</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46193</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24499-2023</t>
        </is>
      </c>
      <c r="B42" s="1" t="n">
        <v>45082</v>
      </c>
      <c r="C42" s="1" t="n">
        <v>46193</v>
      </c>
      <c r="D42" t="inlineStr">
        <is>
          <t>STOCKHOLMS LÄN</t>
        </is>
      </c>
      <c r="E42" t="inlineStr">
        <is>
          <t>ÖSTERÅKER</t>
        </is>
      </c>
      <c r="G42" t="n">
        <v>0.1</v>
      </c>
      <c r="H42" t="n">
        <v>0</v>
      </c>
      <c r="I42" t="n">
        <v>0</v>
      </c>
      <c r="J42" t="n">
        <v>0</v>
      </c>
      <c r="K42" t="n">
        <v>0</v>
      </c>
      <c r="L42" t="n">
        <v>0</v>
      </c>
      <c r="M42" t="n">
        <v>0</v>
      </c>
      <c r="N42" t="n">
        <v>0</v>
      </c>
      <c r="O42" t="n">
        <v>0</v>
      </c>
      <c r="P42" t="n">
        <v>0</v>
      </c>
      <c r="Q42" t="n">
        <v>0</v>
      </c>
      <c r="R42" s="2" t="inlineStr"/>
    </row>
    <row r="43" ht="15" customHeight="1">
      <c r="A43" t="inlineStr">
        <is>
          <t>A 28146-2024</t>
        </is>
      </c>
      <c r="B43" s="1" t="n">
        <v>45476</v>
      </c>
      <c r="C43" s="1" t="n">
        <v>46193</v>
      </c>
      <c r="D43" t="inlineStr">
        <is>
          <t>STOCKHOLMS LÄN</t>
        </is>
      </c>
      <c r="E43" t="inlineStr">
        <is>
          <t>ÖSTERÅKER</t>
        </is>
      </c>
      <c r="F43" t="inlineStr">
        <is>
          <t>Övriga Aktiebolag</t>
        </is>
      </c>
      <c r="G43" t="n">
        <v>2.7</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46193</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22528-2024</t>
        </is>
      </c>
      <c r="B45" s="1" t="n">
        <v>45447</v>
      </c>
      <c r="C45" s="1" t="n">
        <v>46193</v>
      </c>
      <c r="D45" t="inlineStr">
        <is>
          <t>STOCKHOLMS LÄN</t>
        </is>
      </c>
      <c r="E45" t="inlineStr">
        <is>
          <t>ÖSTERÅKER</t>
        </is>
      </c>
      <c r="F45" t="inlineStr">
        <is>
          <t>Övriga Aktiebolag</t>
        </is>
      </c>
      <c r="G45" t="n">
        <v>1.4</v>
      </c>
      <c r="H45" t="n">
        <v>0</v>
      </c>
      <c r="I45" t="n">
        <v>0</v>
      </c>
      <c r="J45" t="n">
        <v>0</v>
      </c>
      <c r="K45" t="n">
        <v>0</v>
      </c>
      <c r="L45" t="n">
        <v>0</v>
      </c>
      <c r="M45" t="n">
        <v>0</v>
      </c>
      <c r="N45" t="n">
        <v>0</v>
      </c>
      <c r="O45" t="n">
        <v>0</v>
      </c>
      <c r="P45" t="n">
        <v>0</v>
      </c>
      <c r="Q45" t="n">
        <v>0</v>
      </c>
      <c r="R45" s="2" t="inlineStr"/>
    </row>
    <row r="46" ht="15" customHeight="1">
      <c r="A46" t="inlineStr">
        <is>
          <t>A 16803-2022</t>
        </is>
      </c>
      <c r="B46" s="1" t="n">
        <v>44673</v>
      </c>
      <c r="C46" s="1" t="n">
        <v>46193</v>
      </c>
      <c r="D46" t="inlineStr">
        <is>
          <t>STOCKHOLMS LÄN</t>
        </is>
      </c>
      <c r="E46" t="inlineStr">
        <is>
          <t>ÖSTERÅKER</t>
        </is>
      </c>
      <c r="G46" t="n">
        <v>1.9</v>
      </c>
      <c r="H46" t="n">
        <v>0</v>
      </c>
      <c r="I46" t="n">
        <v>0</v>
      </c>
      <c r="J46" t="n">
        <v>0</v>
      </c>
      <c r="K46" t="n">
        <v>0</v>
      </c>
      <c r="L46" t="n">
        <v>0</v>
      </c>
      <c r="M46" t="n">
        <v>0</v>
      </c>
      <c r="N46" t="n">
        <v>0</v>
      </c>
      <c r="O46" t="n">
        <v>0</v>
      </c>
      <c r="P46" t="n">
        <v>0</v>
      </c>
      <c r="Q46" t="n">
        <v>0</v>
      </c>
      <c r="R46" s="2" t="inlineStr"/>
    </row>
    <row r="47" ht="15" customHeight="1">
      <c r="A47" t="inlineStr">
        <is>
          <t>A 17196-2022</t>
        </is>
      </c>
      <c r="B47" s="1" t="n">
        <v>44677</v>
      </c>
      <c r="C47" s="1" t="n">
        <v>46193</v>
      </c>
      <c r="D47" t="inlineStr">
        <is>
          <t>STOCKHOLMS LÄN</t>
        </is>
      </c>
      <c r="E47" t="inlineStr">
        <is>
          <t>ÖSTERÅKER</t>
        </is>
      </c>
      <c r="G47" t="n">
        <v>5.9</v>
      </c>
      <c r="H47" t="n">
        <v>0</v>
      </c>
      <c r="I47" t="n">
        <v>0</v>
      </c>
      <c r="J47" t="n">
        <v>0</v>
      </c>
      <c r="K47" t="n">
        <v>0</v>
      </c>
      <c r="L47" t="n">
        <v>0</v>
      </c>
      <c r="M47" t="n">
        <v>0</v>
      </c>
      <c r="N47" t="n">
        <v>0</v>
      </c>
      <c r="O47" t="n">
        <v>0</v>
      </c>
      <c r="P47" t="n">
        <v>0</v>
      </c>
      <c r="Q47" t="n">
        <v>0</v>
      </c>
      <c r="R47" s="2" t="inlineStr"/>
    </row>
    <row r="48" ht="15" customHeight="1">
      <c r="A48" t="inlineStr">
        <is>
          <t>A 9865-2025</t>
        </is>
      </c>
      <c r="B48" s="1" t="n">
        <v>45716</v>
      </c>
      <c r="C48" s="1" t="n">
        <v>46193</v>
      </c>
      <c r="D48" t="inlineStr">
        <is>
          <t>STOCKHOLMS LÄN</t>
        </is>
      </c>
      <c r="E48" t="inlineStr">
        <is>
          <t>ÖSTERÅKER</t>
        </is>
      </c>
      <c r="G48" t="n">
        <v>7</v>
      </c>
      <c r="H48" t="n">
        <v>0</v>
      </c>
      <c r="I48" t="n">
        <v>0</v>
      </c>
      <c r="J48" t="n">
        <v>0</v>
      </c>
      <c r="K48" t="n">
        <v>0</v>
      </c>
      <c r="L48" t="n">
        <v>0</v>
      </c>
      <c r="M48" t="n">
        <v>0</v>
      </c>
      <c r="N48" t="n">
        <v>0</v>
      </c>
      <c r="O48" t="n">
        <v>0</v>
      </c>
      <c r="P48" t="n">
        <v>0</v>
      </c>
      <c r="Q48" t="n">
        <v>0</v>
      </c>
      <c r="R48" s="2" t="inlineStr"/>
    </row>
    <row r="49" ht="15" customHeight="1">
      <c r="A49" t="inlineStr">
        <is>
          <t>A 61710-2022</t>
        </is>
      </c>
      <c r="B49" s="1" t="n">
        <v>44917</v>
      </c>
      <c r="C49" s="1" t="n">
        <v>46193</v>
      </c>
      <c r="D49" t="inlineStr">
        <is>
          <t>STOCKHOLMS LÄN</t>
        </is>
      </c>
      <c r="E49" t="inlineStr">
        <is>
          <t>ÖSTERÅKER</t>
        </is>
      </c>
      <c r="G49" t="n">
        <v>6.2</v>
      </c>
      <c r="H49" t="n">
        <v>0</v>
      </c>
      <c r="I49" t="n">
        <v>0</v>
      </c>
      <c r="J49" t="n">
        <v>0</v>
      </c>
      <c r="K49" t="n">
        <v>0</v>
      </c>
      <c r="L49" t="n">
        <v>0</v>
      </c>
      <c r="M49" t="n">
        <v>0</v>
      </c>
      <c r="N49" t="n">
        <v>0</v>
      </c>
      <c r="O49" t="n">
        <v>0</v>
      </c>
      <c r="P49" t="n">
        <v>0</v>
      </c>
      <c r="Q49" t="n">
        <v>0</v>
      </c>
      <c r="R49" s="2" t="inlineStr"/>
    </row>
    <row r="50" ht="15" customHeight="1">
      <c r="A50" t="inlineStr">
        <is>
          <t>A 17353-2025</t>
        </is>
      </c>
      <c r="B50" s="1" t="n">
        <v>45756</v>
      </c>
      <c r="C50" s="1" t="n">
        <v>46193</v>
      </c>
      <c r="D50" t="inlineStr">
        <is>
          <t>STOCKHOLMS LÄN</t>
        </is>
      </c>
      <c r="E50" t="inlineStr">
        <is>
          <t>ÖSTERÅKER</t>
        </is>
      </c>
      <c r="F50" t="inlineStr">
        <is>
          <t>Övriga Aktiebolag</t>
        </is>
      </c>
      <c r="G50" t="n">
        <v>5.5</v>
      </c>
      <c r="H50" t="n">
        <v>0</v>
      </c>
      <c r="I50" t="n">
        <v>0</v>
      </c>
      <c r="J50" t="n">
        <v>0</v>
      </c>
      <c r="K50" t="n">
        <v>0</v>
      </c>
      <c r="L50" t="n">
        <v>0</v>
      </c>
      <c r="M50" t="n">
        <v>0</v>
      </c>
      <c r="N50" t="n">
        <v>0</v>
      </c>
      <c r="O50" t="n">
        <v>0</v>
      </c>
      <c r="P50" t="n">
        <v>0</v>
      </c>
      <c r="Q50" t="n">
        <v>0</v>
      </c>
      <c r="R50" s="2" t="inlineStr"/>
    </row>
    <row r="51" ht="15" customHeight="1">
      <c r="A51" t="inlineStr">
        <is>
          <t>A 1603-2023</t>
        </is>
      </c>
      <c r="B51" s="1" t="n">
        <v>44937</v>
      </c>
      <c r="C51" s="1" t="n">
        <v>46193</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v>
      </c>
      <c r="C52" s="1" t="n">
        <v>46193</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46688-2022</t>
        </is>
      </c>
      <c r="B53" s="1" t="n">
        <v>44851</v>
      </c>
      <c r="C53" s="1" t="n">
        <v>46193</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3917-2023</t>
        </is>
      </c>
      <c r="B54" s="1" t="n">
        <v>44952</v>
      </c>
      <c r="C54" s="1" t="n">
        <v>46193</v>
      </c>
      <c r="D54" t="inlineStr">
        <is>
          <t>STOCKHOLMS LÄN</t>
        </is>
      </c>
      <c r="E54" t="inlineStr">
        <is>
          <t>ÖSTERÅKER</t>
        </is>
      </c>
      <c r="F54" t="inlineStr">
        <is>
          <t>Kommuner</t>
        </is>
      </c>
      <c r="G54" t="n">
        <v>2.8</v>
      </c>
      <c r="H54" t="n">
        <v>0</v>
      </c>
      <c r="I54" t="n">
        <v>0</v>
      </c>
      <c r="J54" t="n">
        <v>0</v>
      </c>
      <c r="K54" t="n">
        <v>0</v>
      </c>
      <c r="L54" t="n">
        <v>0</v>
      </c>
      <c r="M54" t="n">
        <v>0</v>
      </c>
      <c r="N54" t="n">
        <v>0</v>
      </c>
      <c r="O54" t="n">
        <v>0</v>
      </c>
      <c r="P54" t="n">
        <v>0</v>
      </c>
      <c r="Q54" t="n">
        <v>0</v>
      </c>
      <c r="R54" s="2" t="inlineStr"/>
    </row>
    <row r="55" ht="15" customHeight="1">
      <c r="A55" t="inlineStr">
        <is>
          <t>A 5286-2025</t>
        </is>
      </c>
      <c r="B55" s="1" t="n">
        <v>45692</v>
      </c>
      <c r="C55" s="1" t="n">
        <v>46193</v>
      </c>
      <c r="D55" t="inlineStr">
        <is>
          <t>STOCKHOLMS LÄN</t>
        </is>
      </c>
      <c r="E55" t="inlineStr">
        <is>
          <t>ÖSTERÅKER</t>
        </is>
      </c>
      <c r="G55" t="n">
        <v>11.2</v>
      </c>
      <c r="H55" t="n">
        <v>0</v>
      </c>
      <c r="I55" t="n">
        <v>0</v>
      </c>
      <c r="J55" t="n">
        <v>0</v>
      </c>
      <c r="K55" t="n">
        <v>0</v>
      </c>
      <c r="L55" t="n">
        <v>0</v>
      </c>
      <c r="M55" t="n">
        <v>0</v>
      </c>
      <c r="N55" t="n">
        <v>0</v>
      </c>
      <c r="O55" t="n">
        <v>0</v>
      </c>
      <c r="P55" t="n">
        <v>0</v>
      </c>
      <c r="Q55" t="n">
        <v>0</v>
      </c>
      <c r="R55" s="2" t="inlineStr"/>
    </row>
    <row r="56" ht="15" customHeight="1">
      <c r="A56" t="inlineStr">
        <is>
          <t>A 1136-2023</t>
        </is>
      </c>
      <c r="B56" s="1" t="n">
        <v>44935</v>
      </c>
      <c r="C56" s="1" t="n">
        <v>46193</v>
      </c>
      <c r="D56" t="inlineStr">
        <is>
          <t>STOCKHOLMS LÄN</t>
        </is>
      </c>
      <c r="E56" t="inlineStr">
        <is>
          <t>ÖSTERÅKER</t>
        </is>
      </c>
      <c r="G56" t="n">
        <v>0.5</v>
      </c>
      <c r="H56" t="n">
        <v>0</v>
      </c>
      <c r="I56" t="n">
        <v>0</v>
      </c>
      <c r="J56" t="n">
        <v>0</v>
      </c>
      <c r="K56" t="n">
        <v>0</v>
      </c>
      <c r="L56" t="n">
        <v>0</v>
      </c>
      <c r="M56" t="n">
        <v>0</v>
      </c>
      <c r="N56" t="n">
        <v>0</v>
      </c>
      <c r="O56" t="n">
        <v>0</v>
      </c>
      <c r="P56" t="n">
        <v>0</v>
      </c>
      <c r="Q56" t="n">
        <v>0</v>
      </c>
      <c r="R56" s="2" t="inlineStr"/>
    </row>
    <row r="57" ht="15" customHeight="1">
      <c r="A57" t="inlineStr">
        <is>
          <t>A 39394-2023</t>
        </is>
      </c>
      <c r="B57" s="1" t="n">
        <v>45166</v>
      </c>
      <c r="C57" s="1" t="n">
        <v>46193</v>
      </c>
      <c r="D57" t="inlineStr">
        <is>
          <t>STOCKHOLMS LÄN</t>
        </is>
      </c>
      <c r="E57" t="inlineStr">
        <is>
          <t>ÖSTERÅKER</t>
        </is>
      </c>
      <c r="G57" t="n">
        <v>0.4</v>
      </c>
      <c r="H57" t="n">
        <v>0</v>
      </c>
      <c r="I57" t="n">
        <v>0</v>
      </c>
      <c r="J57" t="n">
        <v>0</v>
      </c>
      <c r="K57" t="n">
        <v>0</v>
      </c>
      <c r="L57" t="n">
        <v>0</v>
      </c>
      <c r="M57" t="n">
        <v>0</v>
      </c>
      <c r="N57" t="n">
        <v>0</v>
      </c>
      <c r="O57" t="n">
        <v>0</v>
      </c>
      <c r="P57" t="n">
        <v>0</v>
      </c>
      <c r="Q57" t="n">
        <v>0</v>
      </c>
      <c r="R57" s="2" t="inlineStr"/>
    </row>
    <row r="58" ht="15" customHeight="1">
      <c r="A58" t="inlineStr">
        <is>
          <t>A 28143-2024</t>
        </is>
      </c>
      <c r="B58" s="1" t="n">
        <v>45476</v>
      </c>
      <c r="C58" s="1" t="n">
        <v>46193</v>
      </c>
      <c r="D58" t="inlineStr">
        <is>
          <t>STOCKHOLMS LÄN</t>
        </is>
      </c>
      <c r="E58" t="inlineStr">
        <is>
          <t>ÖSTERÅKER</t>
        </is>
      </c>
      <c r="F58" t="inlineStr">
        <is>
          <t>Övriga Aktiebolag</t>
        </is>
      </c>
      <c r="G58" t="n">
        <v>2.2</v>
      </c>
      <c r="H58" t="n">
        <v>0</v>
      </c>
      <c r="I58" t="n">
        <v>0</v>
      </c>
      <c r="J58" t="n">
        <v>0</v>
      </c>
      <c r="K58" t="n">
        <v>0</v>
      </c>
      <c r="L58" t="n">
        <v>0</v>
      </c>
      <c r="M58" t="n">
        <v>0</v>
      </c>
      <c r="N58" t="n">
        <v>0</v>
      </c>
      <c r="O58" t="n">
        <v>0</v>
      </c>
      <c r="P58" t="n">
        <v>0</v>
      </c>
      <c r="Q58" t="n">
        <v>0</v>
      </c>
      <c r="R58" s="2" t="inlineStr"/>
    </row>
    <row r="59" ht="15" customHeight="1">
      <c r="A59" t="inlineStr">
        <is>
          <t>A 845-2024</t>
        </is>
      </c>
      <c r="B59" s="1" t="n">
        <v>45300</v>
      </c>
      <c r="C59" s="1" t="n">
        <v>46193</v>
      </c>
      <c r="D59" t="inlineStr">
        <is>
          <t>STOCKHOLMS LÄN</t>
        </is>
      </c>
      <c r="E59" t="inlineStr">
        <is>
          <t>ÖSTERÅKER</t>
        </is>
      </c>
      <c r="G59" t="n">
        <v>10.1</v>
      </c>
      <c r="H59" t="n">
        <v>0</v>
      </c>
      <c r="I59" t="n">
        <v>0</v>
      </c>
      <c r="J59" t="n">
        <v>0</v>
      </c>
      <c r="K59" t="n">
        <v>0</v>
      </c>
      <c r="L59" t="n">
        <v>0</v>
      </c>
      <c r="M59" t="n">
        <v>0</v>
      </c>
      <c r="N59" t="n">
        <v>0</v>
      </c>
      <c r="O59" t="n">
        <v>0</v>
      </c>
      <c r="P59" t="n">
        <v>0</v>
      </c>
      <c r="Q59" t="n">
        <v>0</v>
      </c>
      <c r="R59" s="2" t="inlineStr"/>
    </row>
    <row r="60" ht="15" customHeight="1">
      <c r="A60" t="inlineStr">
        <is>
          <t>A 37037-2023</t>
        </is>
      </c>
      <c r="B60" s="1" t="n">
        <v>45155</v>
      </c>
      <c r="C60" s="1" t="n">
        <v>46193</v>
      </c>
      <c r="D60" t="inlineStr">
        <is>
          <t>STOCKHOLMS LÄN</t>
        </is>
      </c>
      <c r="E60" t="inlineStr">
        <is>
          <t>ÖSTERÅKER</t>
        </is>
      </c>
      <c r="G60" t="n">
        <v>2</v>
      </c>
      <c r="H60" t="n">
        <v>0</v>
      </c>
      <c r="I60" t="n">
        <v>0</v>
      </c>
      <c r="J60" t="n">
        <v>0</v>
      </c>
      <c r="K60" t="n">
        <v>0</v>
      </c>
      <c r="L60" t="n">
        <v>0</v>
      </c>
      <c r="M60" t="n">
        <v>0</v>
      </c>
      <c r="N60" t="n">
        <v>0</v>
      </c>
      <c r="O60" t="n">
        <v>0</v>
      </c>
      <c r="P60" t="n">
        <v>0</v>
      </c>
      <c r="Q60" t="n">
        <v>0</v>
      </c>
      <c r="R60" s="2" t="inlineStr"/>
    </row>
    <row r="61" ht="15" customHeight="1">
      <c r="A61" t="inlineStr">
        <is>
          <t>A 34713-2025</t>
        </is>
      </c>
      <c r="B61" s="1" t="n">
        <v>45848</v>
      </c>
      <c r="C61" s="1" t="n">
        <v>46193</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26249-2026</t>
        </is>
      </c>
      <c r="B62" s="1" t="n">
        <v>46182</v>
      </c>
      <c r="C62" s="1" t="n">
        <v>46193</v>
      </c>
      <c r="D62" t="inlineStr">
        <is>
          <t>STOCKHOLMS LÄN</t>
        </is>
      </c>
      <c r="E62" t="inlineStr">
        <is>
          <t>ÖSTERÅKER</t>
        </is>
      </c>
      <c r="G62" t="n">
        <v>4.9</v>
      </c>
      <c r="H62" t="n">
        <v>0</v>
      </c>
      <c r="I62" t="n">
        <v>0</v>
      </c>
      <c r="J62" t="n">
        <v>0</v>
      </c>
      <c r="K62" t="n">
        <v>0</v>
      </c>
      <c r="L62" t="n">
        <v>0</v>
      </c>
      <c r="M62" t="n">
        <v>0</v>
      </c>
      <c r="N62" t="n">
        <v>0</v>
      </c>
      <c r="O62" t="n">
        <v>0</v>
      </c>
      <c r="P62" t="n">
        <v>0</v>
      </c>
      <c r="Q62" t="n">
        <v>0</v>
      </c>
      <c r="R62" s="2" t="inlineStr"/>
    </row>
    <row r="63" ht="15" customHeight="1">
      <c r="A63" t="inlineStr">
        <is>
          <t>A 544-2023</t>
        </is>
      </c>
      <c r="B63" s="1" t="n">
        <v>44924</v>
      </c>
      <c r="C63" s="1" t="n">
        <v>46193</v>
      </c>
      <c r="D63" t="inlineStr">
        <is>
          <t>STOCKHOLMS LÄN</t>
        </is>
      </c>
      <c r="E63" t="inlineStr">
        <is>
          <t>ÖSTERÅKER</t>
        </is>
      </c>
      <c r="F63" t="inlineStr">
        <is>
          <t>Övriga Aktiebolag</t>
        </is>
      </c>
      <c r="G63" t="n">
        <v>0.9</v>
      </c>
      <c r="H63" t="n">
        <v>0</v>
      </c>
      <c r="I63" t="n">
        <v>0</v>
      </c>
      <c r="J63" t="n">
        <v>0</v>
      </c>
      <c r="K63" t="n">
        <v>0</v>
      </c>
      <c r="L63" t="n">
        <v>0</v>
      </c>
      <c r="M63" t="n">
        <v>0</v>
      </c>
      <c r="N63" t="n">
        <v>0</v>
      </c>
      <c r="O63" t="n">
        <v>0</v>
      </c>
      <c r="P63" t="n">
        <v>0</v>
      </c>
      <c r="Q63" t="n">
        <v>0</v>
      </c>
      <c r="R63" s="2" t="inlineStr"/>
    </row>
    <row r="64" ht="15" customHeight="1">
      <c r="A64" t="inlineStr">
        <is>
          <t>A 470-2022</t>
        </is>
      </c>
      <c r="B64" s="1" t="n">
        <v>44565</v>
      </c>
      <c r="C64" s="1" t="n">
        <v>46193</v>
      </c>
      <c r="D64" t="inlineStr">
        <is>
          <t>STOCKHOLMS LÄN</t>
        </is>
      </c>
      <c r="E64" t="inlineStr">
        <is>
          <t>ÖSTERÅKER</t>
        </is>
      </c>
      <c r="F64" t="inlineStr">
        <is>
          <t>Övriga Aktiebolag</t>
        </is>
      </c>
      <c r="G64" t="n">
        <v>4.6</v>
      </c>
      <c r="H64" t="n">
        <v>0</v>
      </c>
      <c r="I64" t="n">
        <v>0</v>
      </c>
      <c r="J64" t="n">
        <v>0</v>
      </c>
      <c r="K64" t="n">
        <v>0</v>
      </c>
      <c r="L64" t="n">
        <v>0</v>
      </c>
      <c r="M64" t="n">
        <v>0</v>
      </c>
      <c r="N64" t="n">
        <v>0</v>
      </c>
      <c r="O64" t="n">
        <v>0</v>
      </c>
      <c r="P64" t="n">
        <v>0</v>
      </c>
      <c r="Q64" t="n">
        <v>0</v>
      </c>
      <c r="R64" s="2" t="inlineStr"/>
    </row>
    <row r="65" ht="15" customHeight="1">
      <c r="A65" t="inlineStr">
        <is>
          <t>A 23144-2024</t>
        </is>
      </c>
      <c r="B65" s="1" t="n">
        <v>45450</v>
      </c>
      <c r="C65" s="1" t="n">
        <v>46193</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52220-2025</t>
        </is>
      </c>
      <c r="B66" s="1" t="n">
        <v>45953</v>
      </c>
      <c r="C66" s="1" t="n">
        <v>46193</v>
      </c>
      <c r="D66" t="inlineStr">
        <is>
          <t>STOCKHOLMS LÄN</t>
        </is>
      </c>
      <c r="E66" t="inlineStr">
        <is>
          <t>ÖSTERÅKER</t>
        </is>
      </c>
      <c r="G66" t="n">
        <v>0.8</v>
      </c>
      <c r="H66" t="n">
        <v>0</v>
      </c>
      <c r="I66" t="n">
        <v>0</v>
      </c>
      <c r="J66" t="n">
        <v>0</v>
      </c>
      <c r="K66" t="n">
        <v>0</v>
      </c>
      <c r="L66" t="n">
        <v>0</v>
      </c>
      <c r="M66" t="n">
        <v>0</v>
      </c>
      <c r="N66" t="n">
        <v>0</v>
      </c>
      <c r="O66" t="n">
        <v>0</v>
      </c>
      <c r="P66" t="n">
        <v>0</v>
      </c>
      <c r="Q66" t="n">
        <v>0</v>
      </c>
      <c r="R66" s="2" t="inlineStr"/>
    </row>
    <row r="67" ht="15" customHeight="1">
      <c r="A67" t="inlineStr">
        <is>
          <t>A 33158-2024</t>
        </is>
      </c>
      <c r="B67" s="1" t="n">
        <v>45518</v>
      </c>
      <c r="C67" s="1" t="n">
        <v>46193</v>
      </c>
      <c r="D67" t="inlineStr">
        <is>
          <t>STOCKHOLMS LÄN</t>
        </is>
      </c>
      <c r="E67" t="inlineStr">
        <is>
          <t>ÖSTERÅKER</t>
        </is>
      </c>
      <c r="G67" t="n">
        <v>1.6</v>
      </c>
      <c r="H67" t="n">
        <v>0</v>
      </c>
      <c r="I67" t="n">
        <v>0</v>
      </c>
      <c r="J67" t="n">
        <v>0</v>
      </c>
      <c r="K67" t="n">
        <v>0</v>
      </c>
      <c r="L67" t="n">
        <v>0</v>
      </c>
      <c r="M67" t="n">
        <v>0</v>
      </c>
      <c r="N67" t="n">
        <v>0</v>
      </c>
      <c r="O67" t="n">
        <v>0</v>
      </c>
      <c r="P67" t="n">
        <v>0</v>
      </c>
      <c r="Q67" t="n">
        <v>0</v>
      </c>
      <c r="R67" s="2" t="inlineStr"/>
    </row>
    <row r="68" ht="15" customHeight="1">
      <c r="A68" t="inlineStr">
        <is>
          <t>A 13366-2024</t>
        </is>
      </c>
      <c r="B68" s="1" t="n">
        <v>45387</v>
      </c>
      <c r="C68" s="1" t="n">
        <v>46193</v>
      </c>
      <c r="D68" t="inlineStr">
        <is>
          <t>STOCKHOLMS LÄN</t>
        </is>
      </c>
      <c r="E68" t="inlineStr">
        <is>
          <t>ÖSTERÅKER</t>
        </is>
      </c>
      <c r="G68" t="n">
        <v>13.7</v>
      </c>
      <c r="H68" t="n">
        <v>0</v>
      </c>
      <c r="I68" t="n">
        <v>0</v>
      </c>
      <c r="J68" t="n">
        <v>0</v>
      </c>
      <c r="K68" t="n">
        <v>0</v>
      </c>
      <c r="L68" t="n">
        <v>0</v>
      </c>
      <c r="M68" t="n">
        <v>0</v>
      </c>
      <c r="N68" t="n">
        <v>0</v>
      </c>
      <c r="O68" t="n">
        <v>0</v>
      </c>
      <c r="P68" t="n">
        <v>0</v>
      </c>
      <c r="Q68" t="n">
        <v>0</v>
      </c>
      <c r="R68" s="2" t="inlineStr"/>
    </row>
    <row r="69" ht="15" customHeight="1">
      <c r="A69" t="inlineStr">
        <is>
          <t>A 27137-2025</t>
        </is>
      </c>
      <c r="B69" s="1" t="n">
        <v>45811</v>
      </c>
      <c r="C69" s="1" t="n">
        <v>46193</v>
      </c>
      <c r="D69" t="inlineStr">
        <is>
          <t>STOCKHOLMS LÄN</t>
        </is>
      </c>
      <c r="E69" t="inlineStr">
        <is>
          <t>ÖSTERÅKER</t>
        </is>
      </c>
      <c r="G69" t="n">
        <v>3.8</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46193</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17263-2022</t>
        </is>
      </c>
      <c r="B71" s="1" t="n">
        <v>44678</v>
      </c>
      <c r="C71" s="1" t="n">
        <v>46193</v>
      </c>
      <c r="D71" t="inlineStr">
        <is>
          <t>STOCKHOLMS LÄN</t>
        </is>
      </c>
      <c r="E71" t="inlineStr">
        <is>
          <t>ÖSTERÅKER</t>
        </is>
      </c>
      <c r="G71" t="n">
        <v>2.4</v>
      </c>
      <c r="H71" t="n">
        <v>0</v>
      </c>
      <c r="I71" t="n">
        <v>0</v>
      </c>
      <c r="J71" t="n">
        <v>0</v>
      </c>
      <c r="K71" t="n">
        <v>0</v>
      </c>
      <c r="L71" t="n">
        <v>0</v>
      </c>
      <c r="M71" t="n">
        <v>0</v>
      </c>
      <c r="N71" t="n">
        <v>0</v>
      </c>
      <c r="O71" t="n">
        <v>0</v>
      </c>
      <c r="P71" t="n">
        <v>0</v>
      </c>
      <c r="Q71" t="n">
        <v>0</v>
      </c>
      <c r="R71" s="2" t="inlineStr"/>
    </row>
    <row r="72" ht="15" customHeight="1">
      <c r="A72" t="inlineStr">
        <is>
          <t>A 62108-2022</t>
        </is>
      </c>
      <c r="B72" s="1" t="n">
        <v>44920</v>
      </c>
      <c r="C72" s="1" t="n">
        <v>46193</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6655-2023</t>
        </is>
      </c>
      <c r="B73" s="1" t="n">
        <v>44966</v>
      </c>
      <c r="C73" s="1" t="n">
        <v>46193</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34034-2025</t>
        </is>
      </c>
      <c r="B74" s="1" t="n">
        <v>45842</v>
      </c>
      <c r="C74" s="1" t="n">
        <v>46193</v>
      </c>
      <c r="D74" t="inlineStr">
        <is>
          <t>STOCKHOLMS LÄN</t>
        </is>
      </c>
      <c r="E74" t="inlineStr">
        <is>
          <t>ÖSTERÅKER</t>
        </is>
      </c>
      <c r="F74" t="inlineStr">
        <is>
          <t>Övriga Aktiebolag</t>
        </is>
      </c>
      <c r="G74" t="n">
        <v>3.9</v>
      </c>
      <c r="H74" t="n">
        <v>0</v>
      </c>
      <c r="I74" t="n">
        <v>0</v>
      </c>
      <c r="J74" t="n">
        <v>0</v>
      </c>
      <c r="K74" t="n">
        <v>0</v>
      </c>
      <c r="L74" t="n">
        <v>0</v>
      </c>
      <c r="M74" t="n">
        <v>0</v>
      </c>
      <c r="N74" t="n">
        <v>0</v>
      </c>
      <c r="O74" t="n">
        <v>0</v>
      </c>
      <c r="P74" t="n">
        <v>0</v>
      </c>
      <c r="Q74" t="n">
        <v>0</v>
      </c>
      <c r="R74" s="2" t="inlineStr"/>
    </row>
    <row r="75" ht="15" customHeight="1">
      <c r="A75" t="inlineStr">
        <is>
          <t>A 34038-2025</t>
        </is>
      </c>
      <c r="B75" s="1" t="n">
        <v>45842</v>
      </c>
      <c r="C75" s="1" t="n">
        <v>46193</v>
      </c>
      <c r="D75" t="inlineStr">
        <is>
          <t>STOCKHOLMS LÄN</t>
        </is>
      </c>
      <c r="E75" t="inlineStr">
        <is>
          <t>ÖSTERÅKER</t>
        </is>
      </c>
      <c r="F75" t="inlineStr">
        <is>
          <t>Övriga Aktiebolag</t>
        </is>
      </c>
      <c r="G75" t="n">
        <v>4.7</v>
      </c>
      <c r="H75" t="n">
        <v>0</v>
      </c>
      <c r="I75" t="n">
        <v>0</v>
      </c>
      <c r="J75" t="n">
        <v>0</v>
      </c>
      <c r="K75" t="n">
        <v>0</v>
      </c>
      <c r="L75" t="n">
        <v>0</v>
      </c>
      <c r="M75" t="n">
        <v>0</v>
      </c>
      <c r="N75" t="n">
        <v>0</v>
      </c>
      <c r="O75" t="n">
        <v>0</v>
      </c>
      <c r="P75" t="n">
        <v>0</v>
      </c>
      <c r="Q75" t="n">
        <v>0</v>
      </c>
      <c r="R75" s="2" t="inlineStr"/>
    </row>
    <row r="76" ht="15" customHeight="1">
      <c r="A76" t="inlineStr">
        <is>
          <t>A 35656-2025</t>
        </is>
      </c>
      <c r="B76" s="1" t="n">
        <v>45859</v>
      </c>
      <c r="C76" s="1" t="n">
        <v>46193</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31134-2023</t>
        </is>
      </c>
      <c r="B77" s="1" t="n">
        <v>45113</v>
      </c>
      <c r="C77" s="1" t="n">
        <v>46193</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35819-2025</t>
        </is>
      </c>
      <c r="B78" s="1" t="n">
        <v>45861</v>
      </c>
      <c r="C78" s="1" t="n">
        <v>46193</v>
      </c>
      <c r="D78" t="inlineStr">
        <is>
          <t>STOCKHOLMS LÄN</t>
        </is>
      </c>
      <c r="E78" t="inlineStr">
        <is>
          <t>ÖSTERÅKER</t>
        </is>
      </c>
      <c r="F78" t="inlineStr">
        <is>
          <t>Övriga Aktiebolag</t>
        </is>
      </c>
      <c r="G78" t="n">
        <v>8</v>
      </c>
      <c r="H78" t="n">
        <v>0</v>
      </c>
      <c r="I78" t="n">
        <v>0</v>
      </c>
      <c r="J78" t="n">
        <v>0</v>
      </c>
      <c r="K78" t="n">
        <v>0</v>
      </c>
      <c r="L78" t="n">
        <v>0</v>
      </c>
      <c r="M78" t="n">
        <v>0</v>
      </c>
      <c r="N78" t="n">
        <v>0</v>
      </c>
      <c r="O78" t="n">
        <v>0</v>
      </c>
      <c r="P78" t="n">
        <v>0</v>
      </c>
      <c r="Q78" t="n">
        <v>0</v>
      </c>
      <c r="R78" s="2" t="inlineStr"/>
    </row>
    <row r="79" ht="15" customHeight="1">
      <c r="A79" t="inlineStr">
        <is>
          <t>A 57048-2024</t>
        </is>
      </c>
      <c r="B79" s="1" t="n">
        <v>45629</v>
      </c>
      <c r="C79" s="1" t="n">
        <v>46193</v>
      </c>
      <c r="D79" t="inlineStr">
        <is>
          <t>STOCKHOLMS LÄN</t>
        </is>
      </c>
      <c r="E79" t="inlineStr">
        <is>
          <t>ÖSTERÅKER</t>
        </is>
      </c>
      <c r="G79" t="n">
        <v>3</v>
      </c>
      <c r="H79" t="n">
        <v>0</v>
      </c>
      <c r="I79" t="n">
        <v>0</v>
      </c>
      <c r="J79" t="n">
        <v>0</v>
      </c>
      <c r="K79" t="n">
        <v>0</v>
      </c>
      <c r="L79" t="n">
        <v>0</v>
      </c>
      <c r="M79" t="n">
        <v>0</v>
      </c>
      <c r="N79" t="n">
        <v>0</v>
      </c>
      <c r="O79" t="n">
        <v>0</v>
      </c>
      <c r="P79" t="n">
        <v>0</v>
      </c>
      <c r="Q79" t="n">
        <v>0</v>
      </c>
      <c r="R79" s="2" t="inlineStr"/>
    </row>
    <row r="80" ht="15" customHeight="1">
      <c r="A80" t="inlineStr">
        <is>
          <t>A 57055-2024</t>
        </is>
      </c>
      <c r="B80" s="1" t="n">
        <v>45629</v>
      </c>
      <c r="C80" s="1" t="n">
        <v>46193</v>
      </c>
      <c r="D80" t="inlineStr">
        <is>
          <t>STOCKHOLMS LÄN</t>
        </is>
      </c>
      <c r="E80" t="inlineStr">
        <is>
          <t>ÖSTERÅKER</t>
        </is>
      </c>
      <c r="G80" t="n">
        <v>0.5</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46193</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56909-2024</t>
        </is>
      </c>
      <c r="B82" s="1" t="n">
        <v>45628</v>
      </c>
      <c r="C82" s="1" t="n">
        <v>46193</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16738-2022</t>
        </is>
      </c>
      <c r="B83" s="1" t="n">
        <v>44673</v>
      </c>
      <c r="C83" s="1" t="n">
        <v>46193</v>
      </c>
      <c r="D83" t="inlineStr">
        <is>
          <t>STOCKHOLMS LÄN</t>
        </is>
      </c>
      <c r="E83" t="inlineStr">
        <is>
          <t>ÖSTERÅKER</t>
        </is>
      </c>
      <c r="G83" t="n">
        <v>1.1</v>
      </c>
      <c r="H83" t="n">
        <v>0</v>
      </c>
      <c r="I83" t="n">
        <v>0</v>
      </c>
      <c r="J83" t="n">
        <v>0</v>
      </c>
      <c r="K83" t="n">
        <v>0</v>
      </c>
      <c r="L83" t="n">
        <v>0</v>
      </c>
      <c r="M83" t="n">
        <v>0</v>
      </c>
      <c r="N83" t="n">
        <v>0</v>
      </c>
      <c r="O83" t="n">
        <v>0</v>
      </c>
      <c r="P83" t="n">
        <v>0</v>
      </c>
      <c r="Q83" t="n">
        <v>0</v>
      </c>
      <c r="R83" s="2" t="inlineStr"/>
    </row>
    <row r="84" ht="15" customHeight="1">
      <c r="A84" t="inlineStr">
        <is>
          <t>A 59379-2022</t>
        </is>
      </c>
      <c r="B84" s="1" t="n">
        <v>44905</v>
      </c>
      <c r="C84" s="1" t="n">
        <v>46193</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5038-2026</t>
        </is>
      </c>
      <c r="B85" s="1" t="n">
        <v>46049</v>
      </c>
      <c r="C85" s="1" t="n">
        <v>46193</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46193</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46193</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46193</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12345-2026</t>
        </is>
      </c>
      <c r="B89" s="1" t="n">
        <v>46087</v>
      </c>
      <c r="C89" s="1" t="n">
        <v>46193</v>
      </c>
      <c r="D89" t="inlineStr">
        <is>
          <t>STOCKHOLMS LÄN</t>
        </is>
      </c>
      <c r="E89" t="inlineStr">
        <is>
          <t>ÖSTERÅKER</t>
        </is>
      </c>
      <c r="F89" t="inlineStr">
        <is>
          <t>Övriga Aktiebolag</t>
        </is>
      </c>
      <c r="G89" t="n">
        <v>1.6</v>
      </c>
      <c r="H89" t="n">
        <v>0</v>
      </c>
      <c r="I89" t="n">
        <v>0</v>
      </c>
      <c r="J89" t="n">
        <v>0</v>
      </c>
      <c r="K89" t="n">
        <v>0</v>
      </c>
      <c r="L89" t="n">
        <v>0</v>
      </c>
      <c r="M89" t="n">
        <v>0</v>
      </c>
      <c r="N89" t="n">
        <v>0</v>
      </c>
      <c r="O89" t="n">
        <v>0</v>
      </c>
      <c r="P89" t="n">
        <v>0</v>
      </c>
      <c r="Q89" t="n">
        <v>0</v>
      </c>
      <c r="R89" s="2" t="inlineStr"/>
    </row>
    <row r="90" ht="15" customHeight="1">
      <c r="A90" t="inlineStr">
        <is>
          <t>A 61370-2022</t>
        </is>
      </c>
      <c r="B90" s="1" t="n">
        <v>44915</v>
      </c>
      <c r="C90" s="1" t="n">
        <v>46193</v>
      </c>
      <c r="D90" t="inlineStr">
        <is>
          <t>STOCKHOLMS LÄN</t>
        </is>
      </c>
      <c r="E90" t="inlineStr">
        <is>
          <t>ÖSTERÅKER</t>
        </is>
      </c>
      <c r="G90" t="n">
        <v>3.2</v>
      </c>
      <c r="H90" t="n">
        <v>0</v>
      </c>
      <c r="I90" t="n">
        <v>0</v>
      </c>
      <c r="J90" t="n">
        <v>0</v>
      </c>
      <c r="K90" t="n">
        <v>0</v>
      </c>
      <c r="L90" t="n">
        <v>0</v>
      </c>
      <c r="M90" t="n">
        <v>0</v>
      </c>
      <c r="N90" t="n">
        <v>0</v>
      </c>
      <c r="O90" t="n">
        <v>0</v>
      </c>
      <c r="P90" t="n">
        <v>0</v>
      </c>
      <c r="Q90" t="n">
        <v>0</v>
      </c>
      <c r="R90" s="2" t="inlineStr"/>
    </row>
    <row r="91" ht="15" customHeight="1">
      <c r="A91" t="inlineStr">
        <is>
          <t>A 3817-2023</t>
        </is>
      </c>
      <c r="B91" s="1" t="n">
        <v>44951</v>
      </c>
      <c r="C91" s="1" t="n">
        <v>46193</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3828-2023</t>
        </is>
      </c>
      <c r="B92" s="1" t="n">
        <v>44951</v>
      </c>
      <c r="C92" s="1" t="n">
        <v>46193</v>
      </c>
      <c r="D92" t="inlineStr">
        <is>
          <t>STOCKHOLMS LÄN</t>
        </is>
      </c>
      <c r="E92" t="inlineStr">
        <is>
          <t>ÖSTERÅKER</t>
        </is>
      </c>
      <c r="F92" t="inlineStr">
        <is>
          <t>Kommuner</t>
        </is>
      </c>
      <c r="G92" t="n">
        <v>3.2</v>
      </c>
      <c r="H92" t="n">
        <v>0</v>
      </c>
      <c r="I92" t="n">
        <v>0</v>
      </c>
      <c r="J92" t="n">
        <v>0</v>
      </c>
      <c r="K92" t="n">
        <v>0</v>
      </c>
      <c r="L92" t="n">
        <v>0</v>
      </c>
      <c r="M92" t="n">
        <v>0</v>
      </c>
      <c r="N92" t="n">
        <v>0</v>
      </c>
      <c r="O92" t="n">
        <v>0</v>
      </c>
      <c r="P92" t="n">
        <v>0</v>
      </c>
      <c r="Q92" t="n">
        <v>0</v>
      </c>
      <c r="R92" s="2" t="inlineStr"/>
    </row>
    <row r="93" ht="15" customHeight="1">
      <c r="A93" t="inlineStr">
        <is>
          <t>A 23198-2026</t>
        </is>
      </c>
      <c r="B93" s="1" t="n">
        <v>46161</v>
      </c>
      <c r="C93" s="1" t="n">
        <v>46193</v>
      </c>
      <c r="D93" t="inlineStr">
        <is>
          <t>STOCKHOLMS LÄN</t>
        </is>
      </c>
      <c r="E93" t="inlineStr">
        <is>
          <t>ÖSTERÅKER</t>
        </is>
      </c>
      <c r="G93" t="n">
        <v>0.6</v>
      </c>
      <c r="H93" t="n">
        <v>0</v>
      </c>
      <c r="I93" t="n">
        <v>0</v>
      </c>
      <c r="J93" t="n">
        <v>0</v>
      </c>
      <c r="K93" t="n">
        <v>0</v>
      </c>
      <c r="L93" t="n">
        <v>0</v>
      </c>
      <c r="M93" t="n">
        <v>0</v>
      </c>
      <c r="N93" t="n">
        <v>0</v>
      </c>
      <c r="O93" t="n">
        <v>0</v>
      </c>
      <c r="P93" t="n">
        <v>0</v>
      </c>
      <c r="Q93" t="n">
        <v>0</v>
      </c>
      <c r="R93" s="2" t="inlineStr"/>
    </row>
    <row r="94" ht="15" customHeight="1">
      <c r="A94" t="inlineStr">
        <is>
          <t>A 21796-2025</t>
        </is>
      </c>
      <c r="B94" s="1" t="n">
        <v>45783</v>
      </c>
      <c r="C94" s="1" t="n">
        <v>46193</v>
      </c>
      <c r="D94" t="inlineStr">
        <is>
          <t>STOCKHOLMS LÄN</t>
        </is>
      </c>
      <c r="E94" t="inlineStr">
        <is>
          <t>ÖSTERÅKER</t>
        </is>
      </c>
      <c r="G94" t="n">
        <v>2.5</v>
      </c>
      <c r="H94" t="n">
        <v>0</v>
      </c>
      <c r="I94" t="n">
        <v>0</v>
      </c>
      <c r="J94" t="n">
        <v>0</v>
      </c>
      <c r="K94" t="n">
        <v>0</v>
      </c>
      <c r="L94" t="n">
        <v>0</v>
      </c>
      <c r="M94" t="n">
        <v>0</v>
      </c>
      <c r="N94" t="n">
        <v>0</v>
      </c>
      <c r="O94" t="n">
        <v>0</v>
      </c>
      <c r="P94" t="n">
        <v>0</v>
      </c>
      <c r="Q94" t="n">
        <v>0</v>
      </c>
      <c r="R94" s="2" t="inlineStr"/>
    </row>
    <row r="95" ht="15" customHeight="1">
      <c r="A95" t="inlineStr">
        <is>
          <t>A 60482-2025</t>
        </is>
      </c>
      <c r="B95" s="1" t="n">
        <v>45995</v>
      </c>
      <c r="C95" s="1" t="n">
        <v>46193</v>
      </c>
      <c r="D95" t="inlineStr">
        <is>
          <t>STOCKHOLMS LÄN</t>
        </is>
      </c>
      <c r="E95" t="inlineStr">
        <is>
          <t>ÖSTERÅKER</t>
        </is>
      </c>
      <c r="G95" t="n">
        <v>1.4</v>
      </c>
      <c r="H95" t="n">
        <v>0</v>
      </c>
      <c r="I95" t="n">
        <v>0</v>
      </c>
      <c r="J95" t="n">
        <v>0</v>
      </c>
      <c r="K95" t="n">
        <v>0</v>
      </c>
      <c r="L95" t="n">
        <v>0</v>
      </c>
      <c r="M95" t="n">
        <v>0</v>
      </c>
      <c r="N95" t="n">
        <v>0</v>
      </c>
      <c r="O95" t="n">
        <v>0</v>
      </c>
      <c r="P95" t="n">
        <v>0</v>
      </c>
      <c r="Q95" t="n">
        <v>0</v>
      </c>
      <c r="R95" s="2" t="inlineStr"/>
    </row>
    <row r="96">
      <c r="A96" t="inlineStr">
        <is>
          <t>A 18711-2023</t>
        </is>
      </c>
      <c r="B96" s="1" t="n">
        <v>45043</v>
      </c>
      <c r="C96" s="1" t="n">
        <v>46193</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2026-06-20T00:46:03Z</dcterms:created>
  <dcterms:modified xmlns:dcterms="http://purl.org/dc/terms/" xmlns:xsi="http://www.w3.org/2001/XMLSchema-instance" xsi:type="dcterms:W3CDTF">2026-06-20T00:46:03Z</dcterms:modified>
</cp:coreProperties>
</file>