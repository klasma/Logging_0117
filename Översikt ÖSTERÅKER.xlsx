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45941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45941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45941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45941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45941</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45941</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45941</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45941</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45941</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45941</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54703-2024</t>
        </is>
      </c>
      <c r="B12" s="1" t="n">
        <v>45618</v>
      </c>
      <c r="C12" s="1" t="n">
        <v>45941</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31523-2022</t>
        </is>
      </c>
      <c r="B13" s="1" t="n">
        <v>44775.22490740741</v>
      </c>
      <c r="C13" s="1" t="n">
        <v>45941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45941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43308-2024</t>
        </is>
      </c>
      <c r="B15" s="1" t="n">
        <v>45568</v>
      </c>
      <c r="C15" s="1" t="n">
        <v>45941</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45941</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45941</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45941</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3919-2023</t>
        </is>
      </c>
      <c r="B19" s="1" t="n">
        <v>44952</v>
      </c>
      <c r="C19" s="1" t="n">
        <v>45941</v>
      </c>
      <c r="D19" t="inlineStr">
        <is>
          <t>STOCKHOLMS LÄN</t>
        </is>
      </c>
      <c r="E19" t="inlineStr">
        <is>
          <t>ÖSTERÅKER</t>
        </is>
      </c>
      <c r="F19" t="inlineStr">
        <is>
          <t>Kommuner</t>
        </is>
      </c>
      <c r="G19" t="n">
        <v>4.9</v>
      </c>
      <c r="H19" t="n">
        <v>0</v>
      </c>
      <c r="I19" t="n">
        <v>0</v>
      </c>
      <c r="J19" t="n">
        <v>1</v>
      </c>
      <c r="K19" t="n">
        <v>0</v>
      </c>
      <c r="L19" t="n">
        <v>0</v>
      </c>
      <c r="M19" t="n">
        <v>0</v>
      </c>
      <c r="N19" t="n">
        <v>0</v>
      </c>
      <c r="O19" t="n">
        <v>1</v>
      </c>
      <c r="P19" t="n">
        <v>0</v>
      </c>
      <c r="Q19" t="n">
        <v>1</v>
      </c>
      <c r="R19" s="2" t="inlineStr">
        <is>
          <t>Tallticka</t>
        </is>
      </c>
      <c r="S19">
        <f>HYPERLINK("https://klasma.github.io/Logging_0117/artfynd/A 3919-2023 artfynd.xlsx", "A 3919-2023")</f>
        <v/>
      </c>
      <c r="T19">
        <f>HYPERLINK("https://klasma.github.io/Logging_0117/kartor/A 3919-2023 karta.png", "A 3919-2023")</f>
        <v/>
      </c>
      <c r="V19">
        <f>HYPERLINK("https://klasma.github.io/Logging_0117/klagomål/A 3919-2023 FSC-klagomål.docx", "A 3919-2023")</f>
        <v/>
      </c>
      <c r="W19">
        <f>HYPERLINK("https://klasma.github.io/Logging_0117/klagomålsmail/A 3919-2023 FSC-klagomål mail.docx", "A 3919-2023")</f>
        <v/>
      </c>
      <c r="X19">
        <f>HYPERLINK("https://klasma.github.io/Logging_0117/tillsyn/A 3919-2023 tillsynsbegäran.docx", "A 3919-2023")</f>
        <v/>
      </c>
      <c r="Y19">
        <f>HYPERLINK("https://klasma.github.io/Logging_0117/tillsynsmail/A 3919-2023 tillsynsbegäran mail.docx", "A 3919-2023")</f>
        <v/>
      </c>
    </row>
    <row r="20" ht="15" customHeight="1">
      <c r="A20" t="inlineStr">
        <is>
          <t>A 38968-2025</t>
        </is>
      </c>
      <c r="B20" s="1" t="n">
        <v>45887.70863425926</v>
      </c>
      <c r="C20" s="1" t="n">
        <v>45941</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45941</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45941</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45941</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45941</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45941</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45941</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45941</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45941</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45941</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45941</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45941</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45941</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45941</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13921-2021</t>
        </is>
      </c>
      <c r="B34" s="1" t="n">
        <v>44277</v>
      </c>
      <c r="C34" s="1" t="n">
        <v>45941</v>
      </c>
      <c r="D34" t="inlineStr">
        <is>
          <t>STOCKHOLMS LÄN</t>
        </is>
      </c>
      <c r="E34" t="inlineStr">
        <is>
          <t>ÖSTERÅKER</t>
        </is>
      </c>
      <c r="G34" t="n">
        <v>0.9</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45941</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45941</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28964-2022</t>
        </is>
      </c>
      <c r="B37" s="1" t="n">
        <v>44749</v>
      </c>
      <c r="C37" s="1" t="n">
        <v>45941</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45941</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45941</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45941</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22080-2024</t>
        </is>
      </c>
      <c r="B41" s="1" t="n">
        <v>45443.64962962963</v>
      </c>
      <c r="C41" s="1" t="n">
        <v>45941</v>
      </c>
      <c r="D41" t="inlineStr">
        <is>
          <t>STOCKHOLMS LÄN</t>
        </is>
      </c>
      <c r="E41" t="inlineStr">
        <is>
          <t>ÖSTERÅKER</t>
        </is>
      </c>
      <c r="F41" t="inlineStr">
        <is>
          <t>Övriga Aktiebolag</t>
        </is>
      </c>
      <c r="G41" t="n">
        <v>2.1</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45941</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28143-2024</t>
        </is>
      </c>
      <c r="B43" s="1" t="n">
        <v>45476</v>
      </c>
      <c r="C43" s="1" t="n">
        <v>45941</v>
      </c>
      <c r="D43" t="inlineStr">
        <is>
          <t>STOCKHOLMS LÄN</t>
        </is>
      </c>
      <c r="E43" t="inlineStr">
        <is>
          <t>ÖSTERÅKER</t>
        </is>
      </c>
      <c r="F43" t="inlineStr">
        <is>
          <t>Övriga Aktiebolag</t>
        </is>
      </c>
      <c r="G43" t="n">
        <v>2.2</v>
      </c>
      <c r="H43" t="n">
        <v>0</v>
      </c>
      <c r="I43" t="n">
        <v>0</v>
      </c>
      <c r="J43" t="n">
        <v>0</v>
      </c>
      <c r="K43" t="n">
        <v>0</v>
      </c>
      <c r="L43" t="n">
        <v>0</v>
      </c>
      <c r="M43" t="n">
        <v>0</v>
      </c>
      <c r="N43" t="n">
        <v>0</v>
      </c>
      <c r="O43" t="n">
        <v>0</v>
      </c>
      <c r="P43" t="n">
        <v>0</v>
      </c>
      <c r="Q43" t="n">
        <v>0</v>
      </c>
      <c r="R43" s="2" t="inlineStr"/>
    </row>
    <row r="44" ht="15" customHeight="1">
      <c r="A44" t="inlineStr">
        <is>
          <t>A 6655-2023</t>
        </is>
      </c>
      <c r="B44" s="1" t="n">
        <v>44966.60668981481</v>
      </c>
      <c r="C44" s="1" t="n">
        <v>45941</v>
      </c>
      <c r="D44" t="inlineStr">
        <is>
          <t>STOCKHOLMS LÄN</t>
        </is>
      </c>
      <c r="E44" t="inlineStr">
        <is>
          <t>ÖSTERÅKER</t>
        </is>
      </c>
      <c r="G44" t="n">
        <v>0.8</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45941</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45941</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61323-2022</t>
        </is>
      </c>
      <c r="B47" s="1" t="n">
        <v>44915</v>
      </c>
      <c r="C47" s="1" t="n">
        <v>45941</v>
      </c>
      <c r="D47" t="inlineStr">
        <is>
          <t>STOCKHOLMS LÄN</t>
        </is>
      </c>
      <c r="E47" t="inlineStr">
        <is>
          <t>ÖSTERÅKER</t>
        </is>
      </c>
      <c r="G47" t="n">
        <v>2.7</v>
      </c>
      <c r="H47" t="n">
        <v>0</v>
      </c>
      <c r="I47" t="n">
        <v>0</v>
      </c>
      <c r="J47" t="n">
        <v>0</v>
      </c>
      <c r="K47" t="n">
        <v>0</v>
      </c>
      <c r="L47" t="n">
        <v>0</v>
      </c>
      <c r="M47" t="n">
        <v>0</v>
      </c>
      <c r="N47" t="n">
        <v>0</v>
      </c>
      <c r="O47" t="n">
        <v>0</v>
      </c>
      <c r="P47" t="n">
        <v>0</v>
      </c>
      <c r="Q47" t="n">
        <v>0</v>
      </c>
      <c r="R47" s="2" t="inlineStr"/>
    </row>
    <row r="48" ht="15" customHeight="1">
      <c r="A48" t="inlineStr">
        <is>
          <t>A 31134-2023</t>
        </is>
      </c>
      <c r="B48" s="1" t="n">
        <v>45113</v>
      </c>
      <c r="C48" s="1" t="n">
        <v>45941</v>
      </c>
      <c r="D48" t="inlineStr">
        <is>
          <t>STOCKHOLMS LÄN</t>
        </is>
      </c>
      <c r="E48" t="inlineStr">
        <is>
          <t>ÖSTERÅKER</t>
        </is>
      </c>
      <c r="G48" t="n">
        <v>2.1</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45941</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57048-2024</t>
        </is>
      </c>
      <c r="B50" s="1" t="n">
        <v>45629.33938657407</v>
      </c>
      <c r="C50" s="1" t="n">
        <v>45941</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57055-2024</t>
        </is>
      </c>
      <c r="B51" s="1" t="n">
        <v>45629.34627314815</v>
      </c>
      <c r="C51" s="1" t="n">
        <v>45941</v>
      </c>
      <c r="D51" t="inlineStr">
        <is>
          <t>STOCKHOLMS LÄN</t>
        </is>
      </c>
      <c r="E51" t="inlineStr">
        <is>
          <t>ÖSTERÅKER</t>
        </is>
      </c>
      <c r="G51" t="n">
        <v>0.5</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45941</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23144-2024</t>
        </is>
      </c>
      <c r="B53" s="1" t="n">
        <v>45450.63202546296</v>
      </c>
      <c r="C53" s="1" t="n">
        <v>45941</v>
      </c>
      <c r="D53" t="inlineStr">
        <is>
          <t>STOCKHOLMS LÄN</t>
        </is>
      </c>
      <c r="E53" t="inlineStr">
        <is>
          <t>ÖSTERÅKER</t>
        </is>
      </c>
      <c r="F53" t="inlineStr">
        <is>
          <t>Övriga Aktiebolag</t>
        </is>
      </c>
      <c r="G53" t="n">
        <v>4.7</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45941</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45941</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22528-2024</t>
        </is>
      </c>
      <c r="B56" s="1" t="n">
        <v>45447.44967592593</v>
      </c>
      <c r="C56" s="1" t="n">
        <v>45941</v>
      </c>
      <c r="D56" t="inlineStr">
        <is>
          <t>STOCKHOLMS LÄN</t>
        </is>
      </c>
      <c r="E56" t="inlineStr">
        <is>
          <t>ÖSTERÅKER</t>
        </is>
      </c>
      <c r="F56" t="inlineStr">
        <is>
          <t>Övriga Aktiebolag</t>
        </is>
      </c>
      <c r="G56" t="n">
        <v>1.4</v>
      </c>
      <c r="H56" t="n">
        <v>0</v>
      </c>
      <c r="I56" t="n">
        <v>0</v>
      </c>
      <c r="J56" t="n">
        <v>0</v>
      </c>
      <c r="K56" t="n">
        <v>0</v>
      </c>
      <c r="L56" t="n">
        <v>0</v>
      </c>
      <c r="M56" t="n">
        <v>0</v>
      </c>
      <c r="N56" t="n">
        <v>0</v>
      </c>
      <c r="O56" t="n">
        <v>0</v>
      </c>
      <c r="P56" t="n">
        <v>0</v>
      </c>
      <c r="Q56" t="n">
        <v>0</v>
      </c>
      <c r="R56" s="2" t="inlineStr"/>
    </row>
    <row r="57" ht="15" customHeight="1">
      <c r="A57" t="inlineStr">
        <is>
          <t>A 16803-2022</t>
        </is>
      </c>
      <c r="B57" s="1" t="n">
        <v>44673</v>
      </c>
      <c r="C57" s="1" t="n">
        <v>45941</v>
      </c>
      <c r="D57" t="inlineStr">
        <is>
          <t>STOCKHOLMS LÄN</t>
        </is>
      </c>
      <c r="E57" t="inlineStr">
        <is>
          <t>ÖSTERÅKER</t>
        </is>
      </c>
      <c r="G57" t="n">
        <v>1.9</v>
      </c>
      <c r="H57" t="n">
        <v>0</v>
      </c>
      <c r="I57" t="n">
        <v>0</v>
      </c>
      <c r="J57" t="n">
        <v>0</v>
      </c>
      <c r="K57" t="n">
        <v>0</v>
      </c>
      <c r="L57" t="n">
        <v>0</v>
      </c>
      <c r="M57" t="n">
        <v>0</v>
      </c>
      <c r="N57" t="n">
        <v>0</v>
      </c>
      <c r="O57" t="n">
        <v>0</v>
      </c>
      <c r="P57" t="n">
        <v>0</v>
      </c>
      <c r="Q57" t="n">
        <v>0</v>
      </c>
      <c r="R57" s="2" t="inlineStr"/>
    </row>
    <row r="58" ht="15" customHeight="1">
      <c r="A58" t="inlineStr">
        <is>
          <t>A 13118-2021</t>
        </is>
      </c>
      <c r="B58" s="1" t="n">
        <v>44272</v>
      </c>
      <c r="C58" s="1" t="n">
        <v>45941</v>
      </c>
      <c r="D58" t="inlineStr">
        <is>
          <t>STOCKHOLMS LÄN</t>
        </is>
      </c>
      <c r="E58" t="inlineStr">
        <is>
          <t>ÖSTERÅKER</t>
        </is>
      </c>
      <c r="F58" t="inlineStr">
        <is>
          <t>Kyrkan</t>
        </is>
      </c>
      <c r="G58" t="n">
        <v>4</v>
      </c>
      <c r="H58" t="n">
        <v>0</v>
      </c>
      <c r="I58" t="n">
        <v>0</v>
      </c>
      <c r="J58" t="n">
        <v>0</v>
      </c>
      <c r="K58" t="n">
        <v>0</v>
      </c>
      <c r="L58" t="n">
        <v>0</v>
      </c>
      <c r="M58" t="n">
        <v>0</v>
      </c>
      <c r="N58" t="n">
        <v>0</v>
      </c>
      <c r="O58" t="n">
        <v>0</v>
      </c>
      <c r="P58" t="n">
        <v>0</v>
      </c>
      <c r="Q58" t="n">
        <v>0</v>
      </c>
      <c r="R58" s="2" t="inlineStr"/>
    </row>
    <row r="59" ht="15" customHeight="1">
      <c r="A59" t="inlineStr">
        <is>
          <t>A 46688-2022</t>
        </is>
      </c>
      <c r="B59" s="1" t="n">
        <v>44851</v>
      </c>
      <c r="C59" s="1" t="n">
        <v>45941</v>
      </c>
      <c r="D59" t="inlineStr">
        <is>
          <t>STOCKHOLMS LÄN</t>
        </is>
      </c>
      <c r="E59" t="inlineStr">
        <is>
          <t>ÖSTERÅKER</t>
        </is>
      </c>
      <c r="G59" t="n">
        <v>2</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45941</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9842-2025</t>
        </is>
      </c>
      <c r="B61" s="1" t="n">
        <v>45716</v>
      </c>
      <c r="C61" s="1" t="n">
        <v>45941</v>
      </c>
      <c r="D61" t="inlineStr">
        <is>
          <t>STOCKHOLMS LÄN</t>
        </is>
      </c>
      <c r="E61" t="inlineStr">
        <is>
          <t>ÖSTERÅKER</t>
        </is>
      </c>
      <c r="G61" t="n">
        <v>4.8</v>
      </c>
      <c r="H61" t="n">
        <v>0</v>
      </c>
      <c r="I61" t="n">
        <v>0</v>
      </c>
      <c r="J61" t="n">
        <v>0</v>
      </c>
      <c r="K61" t="n">
        <v>0</v>
      </c>
      <c r="L61" t="n">
        <v>0</v>
      </c>
      <c r="M61" t="n">
        <v>0</v>
      </c>
      <c r="N61" t="n">
        <v>0</v>
      </c>
      <c r="O61" t="n">
        <v>0</v>
      </c>
      <c r="P61" t="n">
        <v>0</v>
      </c>
      <c r="Q61" t="n">
        <v>0</v>
      </c>
      <c r="R61" s="2" t="inlineStr"/>
    </row>
    <row r="62" ht="15" customHeight="1">
      <c r="A62" t="inlineStr">
        <is>
          <t>A 56909-2024</t>
        </is>
      </c>
      <c r="B62" s="1" t="n">
        <v>45628.59060185185</v>
      </c>
      <c r="C62" s="1" t="n">
        <v>45941</v>
      </c>
      <c r="D62" t="inlineStr">
        <is>
          <t>STOCKHOLMS LÄN</t>
        </is>
      </c>
      <c r="E62" t="inlineStr">
        <is>
          <t>ÖSTERÅKER</t>
        </is>
      </c>
      <c r="G62" t="n">
        <v>1</v>
      </c>
      <c r="H62" t="n">
        <v>0</v>
      </c>
      <c r="I62" t="n">
        <v>0</v>
      </c>
      <c r="J62" t="n">
        <v>0</v>
      </c>
      <c r="K62" t="n">
        <v>0</v>
      </c>
      <c r="L62" t="n">
        <v>0</v>
      </c>
      <c r="M62" t="n">
        <v>0</v>
      </c>
      <c r="N62" t="n">
        <v>0</v>
      </c>
      <c r="O62" t="n">
        <v>0</v>
      </c>
      <c r="P62" t="n">
        <v>0</v>
      </c>
      <c r="Q62" t="n">
        <v>0</v>
      </c>
      <c r="R62" s="2" t="inlineStr"/>
    </row>
    <row r="63" ht="15" customHeight="1">
      <c r="A63" t="inlineStr">
        <is>
          <t>A 31456-2025</t>
        </is>
      </c>
      <c r="B63" s="1" t="n">
        <v>45833.5402662037</v>
      </c>
      <c r="C63" s="1" t="n">
        <v>45941</v>
      </c>
      <c r="D63" t="inlineStr">
        <is>
          <t>STOCKHOLMS LÄN</t>
        </is>
      </c>
      <c r="E63" t="inlineStr">
        <is>
          <t>ÖSTERÅKER</t>
        </is>
      </c>
      <c r="G63" t="n">
        <v>4.3</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45941</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34034-2025</t>
        </is>
      </c>
      <c r="B65" s="1" t="n">
        <v>45842</v>
      </c>
      <c r="C65" s="1" t="n">
        <v>45941</v>
      </c>
      <c r="D65" t="inlineStr">
        <is>
          <t>STOCKHOLMS LÄN</t>
        </is>
      </c>
      <c r="E65" t="inlineStr">
        <is>
          <t>ÖSTERÅKER</t>
        </is>
      </c>
      <c r="F65" t="inlineStr">
        <is>
          <t>Övriga Aktiebolag</t>
        </is>
      </c>
      <c r="G65" t="n">
        <v>3.9</v>
      </c>
      <c r="H65" t="n">
        <v>0</v>
      </c>
      <c r="I65" t="n">
        <v>0</v>
      </c>
      <c r="J65" t="n">
        <v>0</v>
      </c>
      <c r="K65" t="n">
        <v>0</v>
      </c>
      <c r="L65" t="n">
        <v>0</v>
      </c>
      <c r="M65" t="n">
        <v>0</v>
      </c>
      <c r="N65" t="n">
        <v>0</v>
      </c>
      <c r="O65" t="n">
        <v>0</v>
      </c>
      <c r="P65" t="n">
        <v>0</v>
      </c>
      <c r="Q65" t="n">
        <v>0</v>
      </c>
      <c r="R65" s="2" t="inlineStr"/>
    </row>
    <row r="66" ht="15" customHeight="1">
      <c r="A66" t="inlineStr">
        <is>
          <t>A 34038-2025</t>
        </is>
      </c>
      <c r="B66" s="1" t="n">
        <v>45842</v>
      </c>
      <c r="C66" s="1" t="n">
        <v>45941</v>
      </c>
      <c r="D66" t="inlineStr">
        <is>
          <t>STOCKHOLMS LÄN</t>
        </is>
      </c>
      <c r="E66" t="inlineStr">
        <is>
          <t>ÖSTERÅKER</t>
        </is>
      </c>
      <c r="F66" t="inlineStr">
        <is>
          <t>Övriga Aktiebolag</t>
        </is>
      </c>
      <c r="G66" t="n">
        <v>4.7</v>
      </c>
      <c r="H66" t="n">
        <v>0</v>
      </c>
      <c r="I66" t="n">
        <v>0</v>
      </c>
      <c r="J66" t="n">
        <v>0</v>
      </c>
      <c r="K66" t="n">
        <v>0</v>
      </c>
      <c r="L66" t="n">
        <v>0</v>
      </c>
      <c r="M66" t="n">
        <v>0</v>
      </c>
      <c r="N66" t="n">
        <v>0</v>
      </c>
      <c r="O66" t="n">
        <v>0</v>
      </c>
      <c r="P66" t="n">
        <v>0</v>
      </c>
      <c r="Q66" t="n">
        <v>0</v>
      </c>
      <c r="R66" s="2" t="inlineStr"/>
    </row>
    <row r="67" ht="15" customHeight="1">
      <c r="A67" t="inlineStr">
        <is>
          <t>A 17353-2025</t>
        </is>
      </c>
      <c r="B67" s="1" t="n">
        <v>45756</v>
      </c>
      <c r="C67" s="1" t="n">
        <v>45941</v>
      </c>
      <c r="D67" t="inlineStr">
        <is>
          <t>STOCKHOLMS LÄN</t>
        </is>
      </c>
      <c r="E67" t="inlineStr">
        <is>
          <t>ÖSTERÅKER</t>
        </is>
      </c>
      <c r="F67" t="inlineStr">
        <is>
          <t>Övriga Aktiebolag</t>
        </is>
      </c>
      <c r="G67" t="n">
        <v>5.5</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45941</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45941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45941</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3917-2023</t>
        </is>
      </c>
      <c r="B71" s="1" t="n">
        <v>44952</v>
      </c>
      <c r="C71" s="1" t="n">
        <v>45941</v>
      </c>
      <c r="D71" t="inlineStr">
        <is>
          <t>STOCKHOLMS LÄN</t>
        </is>
      </c>
      <c r="E71" t="inlineStr">
        <is>
          <t>ÖSTERÅKER</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35819-2025</t>
        </is>
      </c>
      <c r="B72" s="1" t="n">
        <v>45861</v>
      </c>
      <c r="C72" s="1" t="n">
        <v>45941</v>
      </c>
      <c r="D72" t="inlineStr">
        <is>
          <t>STOCKHOLMS LÄN</t>
        </is>
      </c>
      <c r="E72" t="inlineStr">
        <is>
          <t>ÖSTERÅKER</t>
        </is>
      </c>
      <c r="F72" t="inlineStr">
        <is>
          <t>Övriga Aktiebolag</t>
        </is>
      </c>
      <c r="G72" t="n">
        <v>8</v>
      </c>
      <c r="H72" t="n">
        <v>0</v>
      </c>
      <c r="I72" t="n">
        <v>0</v>
      </c>
      <c r="J72" t="n">
        <v>0</v>
      </c>
      <c r="K72" t="n">
        <v>0</v>
      </c>
      <c r="L72" t="n">
        <v>0</v>
      </c>
      <c r="M72" t="n">
        <v>0</v>
      </c>
      <c r="N72" t="n">
        <v>0</v>
      </c>
      <c r="O72" t="n">
        <v>0</v>
      </c>
      <c r="P72" t="n">
        <v>0</v>
      </c>
      <c r="Q72" t="n">
        <v>0</v>
      </c>
      <c r="R72" s="2" t="inlineStr"/>
    </row>
    <row r="73" ht="15" customHeight="1">
      <c r="A73" t="inlineStr">
        <is>
          <t>A 59379-2022</t>
        </is>
      </c>
      <c r="B73" s="1" t="n">
        <v>44905</v>
      </c>
      <c r="C73" s="1" t="n">
        <v>45941</v>
      </c>
      <c r="D73" t="inlineStr">
        <is>
          <t>STOCKHOLMS LÄN</t>
        </is>
      </c>
      <c r="E73" t="inlineStr">
        <is>
          <t>ÖSTERÅKER</t>
        </is>
      </c>
      <c r="F73" t="inlineStr">
        <is>
          <t>Kommuner</t>
        </is>
      </c>
      <c r="G73" t="n">
        <v>4.7</v>
      </c>
      <c r="H73" t="n">
        <v>0</v>
      </c>
      <c r="I73" t="n">
        <v>0</v>
      </c>
      <c r="J73" t="n">
        <v>0</v>
      </c>
      <c r="K73" t="n">
        <v>0</v>
      </c>
      <c r="L73" t="n">
        <v>0</v>
      </c>
      <c r="M73" t="n">
        <v>0</v>
      </c>
      <c r="N73" t="n">
        <v>0</v>
      </c>
      <c r="O73" t="n">
        <v>0</v>
      </c>
      <c r="P73" t="n">
        <v>0</v>
      </c>
      <c r="Q73" t="n">
        <v>0</v>
      </c>
      <c r="R73" s="2" t="inlineStr"/>
    </row>
    <row r="74" ht="15" customHeight="1">
      <c r="A74" t="inlineStr">
        <is>
          <t>A 10185-2025</t>
        </is>
      </c>
      <c r="B74" s="1" t="n">
        <v>45719</v>
      </c>
      <c r="C74" s="1" t="n">
        <v>45941</v>
      </c>
      <c r="D74" t="inlineStr">
        <is>
          <t>STOCKHOLMS LÄN</t>
        </is>
      </c>
      <c r="E74" t="inlineStr">
        <is>
          <t>ÖSTERÅKER</t>
        </is>
      </c>
      <c r="G74" t="n">
        <v>4.1</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45941</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45941</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36611-2025</t>
        </is>
      </c>
      <c r="B77" s="1" t="n">
        <v>45870</v>
      </c>
      <c r="C77" s="1" t="n">
        <v>45941</v>
      </c>
      <c r="D77" t="inlineStr">
        <is>
          <t>STOCKHOLMS LÄN</t>
        </is>
      </c>
      <c r="E77" t="inlineStr">
        <is>
          <t>ÖSTERÅKER</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16728-2022</t>
        </is>
      </c>
      <c r="B78" s="1" t="n">
        <v>44673</v>
      </c>
      <c r="C78" s="1" t="n">
        <v>45941</v>
      </c>
      <c r="D78" t="inlineStr">
        <is>
          <t>STOCKHOLMS LÄN</t>
        </is>
      </c>
      <c r="E78" t="inlineStr">
        <is>
          <t>ÖSTERÅKER</t>
        </is>
      </c>
      <c r="G78" t="n">
        <v>0.9</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45941</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34713-2025</t>
        </is>
      </c>
      <c r="B80" s="1" t="n">
        <v>45848</v>
      </c>
      <c r="C80" s="1" t="n">
        <v>45941</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544-2023</t>
        </is>
      </c>
      <c r="B81" s="1" t="n">
        <v>44924</v>
      </c>
      <c r="C81" s="1" t="n">
        <v>45941</v>
      </c>
      <c r="D81" t="inlineStr">
        <is>
          <t>STOCKHOLMS LÄN</t>
        </is>
      </c>
      <c r="E81" t="inlineStr">
        <is>
          <t>ÖSTERÅKER</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61370-2022</t>
        </is>
      </c>
      <c r="B82" s="1" t="n">
        <v>44915</v>
      </c>
      <c r="C82" s="1" t="n">
        <v>45941</v>
      </c>
      <c r="D82" t="inlineStr">
        <is>
          <t>STOCKHOLMS LÄN</t>
        </is>
      </c>
      <c r="E82" t="inlineStr">
        <is>
          <t>ÖSTERÅKER</t>
        </is>
      </c>
      <c r="G82" t="n">
        <v>3.2</v>
      </c>
      <c r="H82" t="n">
        <v>0</v>
      </c>
      <c r="I82" t="n">
        <v>0</v>
      </c>
      <c r="J82" t="n">
        <v>0</v>
      </c>
      <c r="K82" t="n">
        <v>0</v>
      </c>
      <c r="L82" t="n">
        <v>0</v>
      </c>
      <c r="M82" t="n">
        <v>0</v>
      </c>
      <c r="N82" t="n">
        <v>0</v>
      </c>
      <c r="O82" t="n">
        <v>0</v>
      </c>
      <c r="P82" t="n">
        <v>0</v>
      </c>
      <c r="Q82" t="n">
        <v>0</v>
      </c>
      <c r="R82" s="2" t="inlineStr"/>
    </row>
    <row r="83" ht="15" customHeight="1">
      <c r="A83" t="inlineStr">
        <is>
          <t>A 3817-2023</t>
        </is>
      </c>
      <c r="B83" s="1" t="n">
        <v>44951</v>
      </c>
      <c r="C83" s="1" t="n">
        <v>45941</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3828-2023</t>
        </is>
      </c>
      <c r="B84" s="1" t="n">
        <v>44951</v>
      </c>
      <c r="C84" s="1" t="n">
        <v>45941</v>
      </c>
      <c r="D84" t="inlineStr">
        <is>
          <t>STOCKHOLMS LÄN</t>
        </is>
      </c>
      <c r="E84" t="inlineStr">
        <is>
          <t>ÖSTERÅKER</t>
        </is>
      </c>
      <c r="F84" t="inlineStr">
        <is>
          <t>Kommuner</t>
        </is>
      </c>
      <c r="G84" t="n">
        <v>3.2</v>
      </c>
      <c r="H84" t="n">
        <v>0</v>
      </c>
      <c r="I84" t="n">
        <v>0</v>
      </c>
      <c r="J84" t="n">
        <v>0</v>
      </c>
      <c r="K84" t="n">
        <v>0</v>
      </c>
      <c r="L84" t="n">
        <v>0</v>
      </c>
      <c r="M84" t="n">
        <v>0</v>
      </c>
      <c r="N84" t="n">
        <v>0</v>
      </c>
      <c r="O84" t="n">
        <v>0</v>
      </c>
      <c r="P84" t="n">
        <v>0</v>
      </c>
      <c r="Q84" t="n">
        <v>0</v>
      </c>
      <c r="R84" s="2" t="inlineStr"/>
    </row>
    <row r="85" ht="15" customHeight="1">
      <c r="A85" t="inlineStr">
        <is>
          <t>A 24499-2023</t>
        </is>
      </c>
      <c r="B85" s="1" t="n">
        <v>45082</v>
      </c>
      <c r="C85" s="1" t="n">
        <v>45941</v>
      </c>
      <c r="D85" t="inlineStr">
        <is>
          <t>STOCKHOLMS LÄN</t>
        </is>
      </c>
      <c r="E85" t="inlineStr">
        <is>
          <t>ÖSTERÅKER</t>
        </is>
      </c>
      <c r="G85" t="n">
        <v>0.1</v>
      </c>
      <c r="H85" t="n">
        <v>0</v>
      </c>
      <c r="I85" t="n">
        <v>0</v>
      </c>
      <c r="J85" t="n">
        <v>0</v>
      </c>
      <c r="K85" t="n">
        <v>0</v>
      </c>
      <c r="L85" t="n">
        <v>0</v>
      </c>
      <c r="M85" t="n">
        <v>0</v>
      </c>
      <c r="N85" t="n">
        <v>0</v>
      </c>
      <c r="O85" t="n">
        <v>0</v>
      </c>
      <c r="P85" t="n">
        <v>0</v>
      </c>
      <c r="Q85" t="n">
        <v>0</v>
      </c>
      <c r="R85" s="2" t="inlineStr"/>
    </row>
    <row r="86" ht="15" customHeight="1">
      <c r="A86" t="inlineStr">
        <is>
          <t>A 17196-2022</t>
        </is>
      </c>
      <c r="B86" s="1" t="n">
        <v>44677</v>
      </c>
      <c r="C86" s="1" t="n">
        <v>45941</v>
      </c>
      <c r="D86" t="inlineStr">
        <is>
          <t>STOCKHOLMS LÄN</t>
        </is>
      </c>
      <c r="E86" t="inlineStr">
        <is>
          <t>ÖSTERÅKER</t>
        </is>
      </c>
      <c r="G86" t="n">
        <v>5.9</v>
      </c>
      <c r="H86" t="n">
        <v>0</v>
      </c>
      <c r="I86" t="n">
        <v>0</v>
      </c>
      <c r="J86" t="n">
        <v>0</v>
      </c>
      <c r="K86" t="n">
        <v>0</v>
      </c>
      <c r="L86" t="n">
        <v>0</v>
      </c>
      <c r="M86" t="n">
        <v>0</v>
      </c>
      <c r="N86" t="n">
        <v>0</v>
      </c>
      <c r="O86" t="n">
        <v>0</v>
      </c>
      <c r="P86" t="n">
        <v>0</v>
      </c>
      <c r="Q86" t="n">
        <v>0</v>
      </c>
      <c r="R86" s="2" t="inlineStr"/>
    </row>
    <row r="87" ht="15" customHeight="1">
      <c r="A87" t="inlineStr">
        <is>
          <t>A 470-2022</t>
        </is>
      </c>
      <c r="B87" s="1" t="n">
        <v>44565</v>
      </c>
      <c r="C87" s="1" t="n">
        <v>45941</v>
      </c>
      <c r="D87" t="inlineStr">
        <is>
          <t>STOCKHOLMS LÄN</t>
        </is>
      </c>
      <c r="E87" t="inlineStr">
        <is>
          <t>ÖSTERÅKER</t>
        </is>
      </c>
      <c r="F87" t="inlineStr">
        <is>
          <t>Övriga Aktiebolag</t>
        </is>
      </c>
      <c r="G87" t="n">
        <v>4.6</v>
      </c>
      <c r="H87" t="n">
        <v>0</v>
      </c>
      <c r="I87" t="n">
        <v>0</v>
      </c>
      <c r="J87" t="n">
        <v>0</v>
      </c>
      <c r="K87" t="n">
        <v>0</v>
      </c>
      <c r="L87" t="n">
        <v>0</v>
      </c>
      <c r="M87" t="n">
        <v>0</v>
      </c>
      <c r="N87" t="n">
        <v>0</v>
      </c>
      <c r="O87" t="n">
        <v>0</v>
      </c>
      <c r="P87" t="n">
        <v>0</v>
      </c>
      <c r="Q87" t="n">
        <v>0</v>
      </c>
      <c r="R87" s="2" t="inlineStr"/>
    </row>
    <row r="88" ht="15" customHeight="1">
      <c r="A88" t="inlineStr">
        <is>
          <t>A 31575-2022</t>
        </is>
      </c>
      <c r="B88" s="1" t="n">
        <v>44775.45063657407</v>
      </c>
      <c r="C88" s="1" t="n">
        <v>45941</v>
      </c>
      <c r="D88" t="inlineStr">
        <is>
          <t>STOCKHOLMS LÄN</t>
        </is>
      </c>
      <c r="E88" t="inlineStr">
        <is>
          <t>ÖSTERÅKER</t>
        </is>
      </c>
      <c r="G88" t="n">
        <v>5</v>
      </c>
      <c r="H88" t="n">
        <v>0</v>
      </c>
      <c r="I88" t="n">
        <v>0</v>
      </c>
      <c r="J88" t="n">
        <v>0</v>
      </c>
      <c r="K88" t="n">
        <v>0</v>
      </c>
      <c r="L88" t="n">
        <v>0</v>
      </c>
      <c r="M88" t="n">
        <v>0</v>
      </c>
      <c r="N88" t="n">
        <v>0</v>
      </c>
      <c r="O88" t="n">
        <v>0</v>
      </c>
      <c r="P88" t="n">
        <v>0</v>
      </c>
      <c r="Q88" t="n">
        <v>0</v>
      </c>
      <c r="R88" s="2" t="inlineStr"/>
    </row>
    <row r="89" ht="15" customHeight="1">
      <c r="A89" t="inlineStr">
        <is>
          <t>A 33158-2024</t>
        </is>
      </c>
      <c r="B89" s="1" t="n">
        <v>45518</v>
      </c>
      <c r="C89" s="1" t="n">
        <v>45941</v>
      </c>
      <c r="D89" t="inlineStr">
        <is>
          <t>STOCKHOLMS LÄN</t>
        </is>
      </c>
      <c r="E89" t="inlineStr">
        <is>
          <t>ÖSTERÅKER</t>
        </is>
      </c>
      <c r="G89" t="n">
        <v>1.6</v>
      </c>
      <c r="H89" t="n">
        <v>0</v>
      </c>
      <c r="I89" t="n">
        <v>0</v>
      </c>
      <c r="J89" t="n">
        <v>0</v>
      </c>
      <c r="K89" t="n">
        <v>0</v>
      </c>
      <c r="L89" t="n">
        <v>0</v>
      </c>
      <c r="M89" t="n">
        <v>0</v>
      </c>
      <c r="N89" t="n">
        <v>0</v>
      </c>
      <c r="O89" t="n">
        <v>0</v>
      </c>
      <c r="P89" t="n">
        <v>0</v>
      </c>
      <c r="Q89" t="n">
        <v>0</v>
      </c>
      <c r="R89" s="2" t="inlineStr"/>
    </row>
    <row r="90" ht="15" customHeight="1">
      <c r="A90" t="inlineStr">
        <is>
          <t>A 1603-2023</t>
        </is>
      </c>
      <c r="B90" s="1" t="n">
        <v>44937.68086805556</v>
      </c>
      <c r="C90" s="1" t="n">
        <v>45941</v>
      </c>
      <c r="D90" t="inlineStr">
        <is>
          <t>STOCKHOLMS LÄN</t>
        </is>
      </c>
      <c r="E90" t="inlineStr">
        <is>
          <t>ÖSTERÅKER</t>
        </is>
      </c>
      <c r="G90" t="n">
        <v>1.7</v>
      </c>
      <c r="H90" t="n">
        <v>0</v>
      </c>
      <c r="I90" t="n">
        <v>0</v>
      </c>
      <c r="J90" t="n">
        <v>0</v>
      </c>
      <c r="K90" t="n">
        <v>0</v>
      </c>
      <c r="L90" t="n">
        <v>0</v>
      </c>
      <c r="M90" t="n">
        <v>0</v>
      </c>
      <c r="N90" t="n">
        <v>0</v>
      </c>
      <c r="O90" t="n">
        <v>0</v>
      </c>
      <c r="P90" t="n">
        <v>0</v>
      </c>
      <c r="Q90" t="n">
        <v>0</v>
      </c>
      <c r="R90" s="2" t="inlineStr"/>
    </row>
    <row r="91" ht="15" customHeight="1">
      <c r="A91" t="inlineStr">
        <is>
          <t>A 1605-2023</t>
        </is>
      </c>
      <c r="B91" s="1" t="n">
        <v>44937.68299768519</v>
      </c>
      <c r="C91" s="1" t="n">
        <v>45941</v>
      </c>
      <c r="D91" t="inlineStr">
        <is>
          <t>STOCKHOLMS LÄN</t>
        </is>
      </c>
      <c r="E91" t="inlineStr">
        <is>
          <t>ÖSTERÅKER</t>
        </is>
      </c>
      <c r="G91" t="n">
        <v>2.9</v>
      </c>
      <c r="H91" t="n">
        <v>0</v>
      </c>
      <c r="I91" t="n">
        <v>0</v>
      </c>
      <c r="J91" t="n">
        <v>0</v>
      </c>
      <c r="K91" t="n">
        <v>0</v>
      </c>
      <c r="L91" t="n">
        <v>0</v>
      </c>
      <c r="M91" t="n">
        <v>0</v>
      </c>
      <c r="N91" t="n">
        <v>0</v>
      </c>
      <c r="O91" t="n">
        <v>0</v>
      </c>
      <c r="P91" t="n">
        <v>0</v>
      </c>
      <c r="Q91" t="n">
        <v>0</v>
      </c>
      <c r="R91" s="2" t="inlineStr"/>
    </row>
    <row r="92" ht="15" customHeight="1">
      <c r="A92" t="inlineStr">
        <is>
          <t>A 13366-2024</t>
        </is>
      </c>
      <c r="B92" s="1" t="n">
        <v>45387</v>
      </c>
      <c r="C92" s="1" t="n">
        <v>45941</v>
      </c>
      <c r="D92" t="inlineStr">
        <is>
          <t>STOCKHOLMS LÄN</t>
        </is>
      </c>
      <c r="E92" t="inlineStr">
        <is>
          <t>ÖSTERÅKER</t>
        </is>
      </c>
      <c r="G92" t="n">
        <v>13.7</v>
      </c>
      <c r="H92" t="n">
        <v>0</v>
      </c>
      <c r="I92" t="n">
        <v>0</v>
      </c>
      <c r="J92" t="n">
        <v>0</v>
      </c>
      <c r="K92" t="n">
        <v>0</v>
      </c>
      <c r="L92" t="n">
        <v>0</v>
      </c>
      <c r="M92" t="n">
        <v>0</v>
      </c>
      <c r="N92" t="n">
        <v>0</v>
      </c>
      <c r="O92" t="n">
        <v>0</v>
      </c>
      <c r="P92" t="n">
        <v>0</v>
      </c>
      <c r="Q92" t="n">
        <v>0</v>
      </c>
      <c r="R92" s="2" t="inlineStr"/>
    </row>
    <row r="93" ht="15" customHeight="1">
      <c r="A93" t="inlineStr">
        <is>
          <t>A 67265-2021</t>
        </is>
      </c>
      <c r="B93" s="1" t="n">
        <v>44523.59277777778</v>
      </c>
      <c r="C93" s="1" t="n">
        <v>45941</v>
      </c>
      <c r="D93" t="inlineStr">
        <is>
          <t>STOCKHOLMS LÄN</t>
        </is>
      </c>
      <c r="E93" t="inlineStr">
        <is>
          <t>ÖSTERÅKER</t>
        </is>
      </c>
      <c r="F93" t="inlineStr">
        <is>
          <t>Kommuner</t>
        </is>
      </c>
      <c r="G93" t="n">
        <v>2.6</v>
      </c>
      <c r="H93" t="n">
        <v>0</v>
      </c>
      <c r="I93" t="n">
        <v>0</v>
      </c>
      <c r="J93" t="n">
        <v>0</v>
      </c>
      <c r="K93" t="n">
        <v>0</v>
      </c>
      <c r="L93" t="n">
        <v>0</v>
      </c>
      <c r="M93" t="n">
        <v>0</v>
      </c>
      <c r="N93" t="n">
        <v>0</v>
      </c>
      <c r="O93" t="n">
        <v>0</v>
      </c>
      <c r="P93" t="n">
        <v>0</v>
      </c>
      <c r="Q93" t="n">
        <v>0</v>
      </c>
      <c r="R93" s="2" t="inlineStr"/>
    </row>
    <row r="94" ht="15" customHeight="1">
      <c r="A94" t="inlineStr">
        <is>
          <t>A 61360-2022</t>
        </is>
      </c>
      <c r="B94" s="1" t="n">
        <v>44915</v>
      </c>
      <c r="C94" s="1" t="n">
        <v>45941</v>
      </c>
      <c r="D94" t="inlineStr">
        <is>
          <t>STOCKHOLMS LÄN</t>
        </is>
      </c>
      <c r="E94" t="inlineStr">
        <is>
          <t>ÖSTERÅKER</t>
        </is>
      </c>
      <c r="G94" t="n">
        <v>2.3</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45941</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5286-2025</t>
        </is>
      </c>
      <c r="B96" s="1" t="n">
        <v>45692.44144675926</v>
      </c>
      <c r="C96" s="1" t="n">
        <v>45941</v>
      </c>
      <c r="D96" t="inlineStr">
        <is>
          <t>STOCKHOLMS LÄN</t>
        </is>
      </c>
      <c r="E96" t="inlineStr">
        <is>
          <t>ÖSTERÅKER</t>
        </is>
      </c>
      <c r="G96" t="n">
        <v>11.2</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45941</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1136-2023</t>
        </is>
      </c>
      <c r="B98" s="1" t="n">
        <v>44935</v>
      </c>
      <c r="C98" s="1" t="n">
        <v>45941</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39394-2023</t>
        </is>
      </c>
      <c r="B99" s="1" t="n">
        <v>45166</v>
      </c>
      <c r="C99" s="1" t="n">
        <v>45941</v>
      </c>
      <c r="D99" t="inlineStr">
        <is>
          <t>STOCKHOLMS LÄN</t>
        </is>
      </c>
      <c r="E99" t="inlineStr">
        <is>
          <t>ÖSTERÅKER</t>
        </is>
      </c>
      <c r="G99" t="n">
        <v>0.4</v>
      </c>
      <c r="H99" t="n">
        <v>0</v>
      </c>
      <c r="I99" t="n">
        <v>0</v>
      </c>
      <c r="J99" t="n">
        <v>0</v>
      </c>
      <c r="K99" t="n">
        <v>0</v>
      </c>
      <c r="L99" t="n">
        <v>0</v>
      </c>
      <c r="M99" t="n">
        <v>0</v>
      </c>
      <c r="N99" t="n">
        <v>0</v>
      </c>
      <c r="O99" t="n">
        <v>0</v>
      </c>
      <c r="P99" t="n">
        <v>0</v>
      </c>
      <c r="Q99" t="n">
        <v>0</v>
      </c>
      <c r="R99" s="2" t="inlineStr"/>
    </row>
    <row r="100" ht="15" customHeight="1">
      <c r="A100" t="inlineStr">
        <is>
          <t>A 30949-2024</t>
        </is>
      </c>
      <c r="B100" s="1" t="n">
        <v>45499</v>
      </c>
      <c r="C100" s="1" t="n">
        <v>45941</v>
      </c>
      <c r="D100" t="inlineStr">
        <is>
          <t>STOCKHOLMS LÄN</t>
        </is>
      </c>
      <c r="E100" t="inlineStr">
        <is>
          <t>ÖSTERÅKER</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845-2024</t>
        </is>
      </c>
      <c r="B101" s="1" t="n">
        <v>45300.91423611111</v>
      </c>
      <c r="C101" s="1" t="n">
        <v>45941</v>
      </c>
      <c r="D101" t="inlineStr">
        <is>
          <t>STOCKHOLMS LÄN</t>
        </is>
      </c>
      <c r="E101" t="inlineStr">
        <is>
          <t>ÖSTERÅKER</t>
        </is>
      </c>
      <c r="G101" t="n">
        <v>10.1</v>
      </c>
      <c r="H101" t="n">
        <v>0</v>
      </c>
      <c r="I101" t="n">
        <v>0</v>
      </c>
      <c r="J101" t="n">
        <v>0</v>
      </c>
      <c r="K101" t="n">
        <v>0</v>
      </c>
      <c r="L101" t="n">
        <v>0</v>
      </c>
      <c r="M101" t="n">
        <v>0</v>
      </c>
      <c r="N101" t="n">
        <v>0</v>
      </c>
      <c r="O101" t="n">
        <v>0</v>
      </c>
      <c r="P101" t="n">
        <v>0</v>
      </c>
      <c r="Q101" t="n">
        <v>0</v>
      </c>
      <c r="R101" s="2" t="inlineStr"/>
    </row>
    <row r="102" ht="15" customHeight="1">
      <c r="A102" t="inlineStr">
        <is>
          <t>A 37037-2023</t>
        </is>
      </c>
      <c r="B102" s="1" t="n">
        <v>45155</v>
      </c>
      <c r="C102" s="1" t="n">
        <v>45941</v>
      </c>
      <c r="D102" t="inlineStr">
        <is>
          <t>STOCKHOLMS LÄN</t>
        </is>
      </c>
      <c r="E102" t="inlineStr">
        <is>
          <t>ÖSTERÅKER</t>
        </is>
      </c>
      <c r="G102" t="n">
        <v>2</v>
      </c>
      <c r="H102" t="n">
        <v>0</v>
      </c>
      <c r="I102" t="n">
        <v>0</v>
      </c>
      <c r="J102" t="n">
        <v>0</v>
      </c>
      <c r="K102" t="n">
        <v>0</v>
      </c>
      <c r="L102" t="n">
        <v>0</v>
      </c>
      <c r="M102" t="n">
        <v>0</v>
      </c>
      <c r="N102" t="n">
        <v>0</v>
      </c>
      <c r="O102" t="n">
        <v>0</v>
      </c>
      <c r="P102" t="n">
        <v>0</v>
      </c>
      <c r="Q102" t="n">
        <v>0</v>
      </c>
      <c r="R102" s="2" t="inlineStr"/>
    </row>
    <row r="103" ht="15" customHeight="1">
      <c r="A103" t="inlineStr">
        <is>
          <t>A 19404-2024</t>
        </is>
      </c>
      <c r="B103" s="1" t="n">
        <v>45428</v>
      </c>
      <c r="C103" s="1" t="n">
        <v>45941</v>
      </c>
      <c r="D103" t="inlineStr">
        <is>
          <t>STOCKHOLMS LÄN</t>
        </is>
      </c>
      <c r="E103" t="inlineStr">
        <is>
          <t>ÖSTERÅKER</t>
        </is>
      </c>
      <c r="F103" t="inlineStr">
        <is>
          <t>Övriga Aktiebolag</t>
        </is>
      </c>
      <c r="G103" t="n">
        <v>2.2</v>
      </c>
      <c r="H103" t="n">
        <v>0</v>
      </c>
      <c r="I103" t="n">
        <v>0</v>
      </c>
      <c r="J103" t="n">
        <v>0</v>
      </c>
      <c r="K103" t="n">
        <v>0</v>
      </c>
      <c r="L103" t="n">
        <v>0</v>
      </c>
      <c r="M103" t="n">
        <v>0</v>
      </c>
      <c r="N103" t="n">
        <v>0</v>
      </c>
      <c r="O103" t="n">
        <v>0</v>
      </c>
      <c r="P103" t="n">
        <v>0</v>
      </c>
      <c r="Q103" t="n">
        <v>0</v>
      </c>
      <c r="R103" s="2" t="inlineStr"/>
    </row>
    <row r="104" ht="15" customHeight="1">
      <c r="A104" t="inlineStr">
        <is>
          <t>A 37244-2024</t>
        </is>
      </c>
      <c r="B104" s="1" t="n">
        <v>45540</v>
      </c>
      <c r="C104" s="1" t="n">
        <v>45941</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21786-2025</t>
        </is>
      </c>
      <c r="B105" s="1" t="n">
        <v>45783.67215277778</v>
      </c>
      <c r="C105" s="1" t="n">
        <v>45941</v>
      </c>
      <c r="D105" t="inlineStr">
        <is>
          <t>STOCKHOLMS LÄN</t>
        </is>
      </c>
      <c r="E105" t="inlineStr">
        <is>
          <t>ÖSTERÅKER</t>
        </is>
      </c>
      <c r="G105" t="n">
        <v>3.8</v>
      </c>
      <c r="H105" t="n">
        <v>0</v>
      </c>
      <c r="I105" t="n">
        <v>0</v>
      </c>
      <c r="J105" t="n">
        <v>0</v>
      </c>
      <c r="K105" t="n">
        <v>0</v>
      </c>
      <c r="L105" t="n">
        <v>0</v>
      </c>
      <c r="M105" t="n">
        <v>0</v>
      </c>
      <c r="N105" t="n">
        <v>0</v>
      </c>
      <c r="O105" t="n">
        <v>0</v>
      </c>
      <c r="P105" t="n">
        <v>0</v>
      </c>
      <c r="Q105" t="n">
        <v>0</v>
      </c>
      <c r="R105" s="2" t="inlineStr"/>
    </row>
    <row r="106">
      <c r="A106" t="inlineStr">
        <is>
          <t>A 21796-2025</t>
        </is>
      </c>
      <c r="B106" s="1" t="n">
        <v>45783.68135416666</v>
      </c>
      <c r="C106" s="1" t="n">
        <v>45941</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2025-10-11T12:36:39Z</dcterms:created>
  <dcterms:modified xmlns:dcterms="http://purl.org/dc/terms/" xmlns:xsi="http://www.w3.org/2001/XMLSchema-instance" xsi:type="dcterms:W3CDTF">2025-10-11T12:36:39Z</dcterms:modified>
</cp:coreProperties>
</file>