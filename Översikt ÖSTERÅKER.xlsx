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46135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46135</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46135</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46135</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46135</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46135</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46135</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46135</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46135</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46135</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46135</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46135</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31523-2022</t>
        </is>
      </c>
      <c r="B15" s="1" t="n">
        <v>44775.22490740741</v>
      </c>
      <c r="C15" s="1" t="n">
        <v>46135</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34721-2025</t>
        </is>
      </c>
      <c r="B16" s="1" t="n">
        <v>45848</v>
      </c>
      <c r="C16" s="1" t="n">
        <v>46135</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61363-2022</t>
        </is>
      </c>
      <c r="B17" s="1" t="n">
        <v>44915</v>
      </c>
      <c r="C17" s="1" t="n">
        <v>46135</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46135</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62578-2025</t>
        </is>
      </c>
      <c r="B19" s="1" t="n">
        <v>46007</v>
      </c>
      <c r="C19" s="1" t="n">
        <v>46135</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3914-2023</t>
        </is>
      </c>
      <c r="B20" s="1" t="n">
        <v>44952.30934027778</v>
      </c>
      <c r="C20" s="1" t="n">
        <v>46135</v>
      </c>
      <c r="D20" t="inlineStr">
        <is>
          <t>STOCKHOLMS LÄN</t>
        </is>
      </c>
      <c r="E20" t="inlineStr">
        <is>
          <t>ÖSTERÅKER</t>
        </is>
      </c>
      <c r="F20" t="inlineStr">
        <is>
          <t>Kommuner</t>
        </is>
      </c>
      <c r="G20" t="n">
        <v>15.3</v>
      </c>
      <c r="H20" t="n">
        <v>2</v>
      </c>
      <c r="I20" t="n">
        <v>0</v>
      </c>
      <c r="J20" t="n">
        <v>1</v>
      </c>
      <c r="K20" t="n">
        <v>0</v>
      </c>
      <c r="L20" t="n">
        <v>0</v>
      </c>
      <c r="M20" t="n">
        <v>0</v>
      </c>
      <c r="N20" t="n">
        <v>0</v>
      </c>
      <c r="O20" t="n">
        <v>1</v>
      </c>
      <c r="P20" t="n">
        <v>0</v>
      </c>
      <c r="Q20" t="n">
        <v>2</v>
      </c>
      <c r="R20" s="2" t="inlineStr">
        <is>
          <t>Kråka
Järnsparv</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c r="Z20">
        <f>HYPERLINK("https://klasma.github.io/Logging_0117/fåglar/A 3914-2023 prioriterade fågelarter.docx", "A 3914-2023")</f>
        <v/>
      </c>
    </row>
    <row r="21" ht="15" customHeight="1">
      <c r="A21" t="inlineStr">
        <is>
          <t>A 43308-2024</t>
        </is>
      </c>
      <c r="B21" s="1" t="n">
        <v>45568</v>
      </c>
      <c r="C21" s="1" t="n">
        <v>46135</v>
      </c>
      <c r="D21" t="inlineStr">
        <is>
          <t>STOCKHOLMS LÄN</t>
        </is>
      </c>
      <c r="E21" t="inlineStr">
        <is>
          <t>ÖSTERÅKER</t>
        </is>
      </c>
      <c r="F21" t="inlineStr">
        <is>
          <t>Kyrkan</t>
        </is>
      </c>
      <c r="G21" t="n">
        <v>3.2</v>
      </c>
      <c r="H21" t="n">
        <v>0</v>
      </c>
      <c r="I21" t="n">
        <v>1</v>
      </c>
      <c r="J21" t="n">
        <v>1</v>
      </c>
      <c r="K21" t="n">
        <v>0</v>
      </c>
      <c r="L21" t="n">
        <v>0</v>
      </c>
      <c r="M21" t="n">
        <v>0</v>
      </c>
      <c r="N21" t="n">
        <v>0</v>
      </c>
      <c r="O21" t="n">
        <v>1</v>
      </c>
      <c r="P21" t="n">
        <v>0</v>
      </c>
      <c r="Q21" t="n">
        <v>2</v>
      </c>
      <c r="R21" s="2" t="inlineStr">
        <is>
          <t>Tallticka
Dropptaggsvamp</t>
        </is>
      </c>
      <c r="S21">
        <f>HYPERLINK("https://klasma.github.io/Logging_0117/artfynd/A 43308-2024 artfynd.xlsx", "A 43308-2024")</f>
        <v/>
      </c>
      <c r="T21">
        <f>HYPERLINK("https://klasma.github.io/Logging_0117/kartor/A 43308-2024 karta.png", "A 43308-2024")</f>
        <v/>
      </c>
      <c r="V21">
        <f>HYPERLINK("https://klasma.github.io/Logging_0117/klagomål/A 43308-2024 FSC-klagomål.docx", "A 43308-2024")</f>
        <v/>
      </c>
      <c r="W21">
        <f>HYPERLINK("https://klasma.github.io/Logging_0117/klagomålsmail/A 43308-2024 FSC-klagomål mail.docx", "A 43308-2024")</f>
        <v/>
      </c>
      <c r="X21">
        <f>HYPERLINK("https://klasma.github.io/Logging_0117/tillsyn/A 43308-2024 tillsynsbegäran.docx", "A 43308-2024")</f>
        <v/>
      </c>
      <c r="Y21">
        <f>HYPERLINK("https://klasma.github.io/Logging_0117/tillsynsmail/A 43308-2024 tillsynsbegäran mail.docx", "A 43308-2024")</f>
        <v/>
      </c>
    </row>
    <row r="22" ht="15" customHeight="1">
      <c r="A22" t="inlineStr">
        <is>
          <t>A 38968-2025</t>
        </is>
      </c>
      <c r="B22" s="1" t="n">
        <v>45887.70863425926</v>
      </c>
      <c r="C22" s="1" t="n">
        <v>46135</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13652-2026</t>
        </is>
      </c>
      <c r="B23" s="1" t="n">
        <v>46097</v>
      </c>
      <c r="C23" s="1" t="n">
        <v>46135</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27921-2025</t>
        </is>
      </c>
      <c r="B24" s="1" t="n">
        <v>45817.4846875</v>
      </c>
      <c r="C24" s="1" t="n">
        <v>46135</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46135</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46135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46135</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46135</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46135</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46135</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46135</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46135</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46135</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46135</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46135</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10185-2025</t>
        </is>
      </c>
      <c r="B41" s="1" t="n">
        <v>45719</v>
      </c>
      <c r="C41" s="1" t="n">
        <v>46135</v>
      </c>
      <c r="D41" t="inlineStr">
        <is>
          <t>STOCKHOLMS LÄN</t>
        </is>
      </c>
      <c r="E41" t="inlineStr">
        <is>
          <t>ÖSTERÅKER</t>
        </is>
      </c>
      <c r="G41" t="n">
        <v>4.1</v>
      </c>
      <c r="H41" t="n">
        <v>0</v>
      </c>
      <c r="I41" t="n">
        <v>0</v>
      </c>
      <c r="J41" t="n">
        <v>0</v>
      </c>
      <c r="K41" t="n">
        <v>0</v>
      </c>
      <c r="L41" t="n">
        <v>0</v>
      </c>
      <c r="M41" t="n">
        <v>0</v>
      </c>
      <c r="N41" t="n">
        <v>0</v>
      </c>
      <c r="O41" t="n">
        <v>0</v>
      </c>
      <c r="P41" t="n">
        <v>0</v>
      </c>
      <c r="Q41" t="n">
        <v>0</v>
      </c>
      <c r="R41" s="2" t="inlineStr"/>
    </row>
    <row r="42" ht="15" customHeight="1">
      <c r="A42" t="inlineStr">
        <is>
          <t>A 28964-2022</t>
        </is>
      </c>
      <c r="B42" s="1" t="n">
        <v>44749</v>
      </c>
      <c r="C42" s="1" t="n">
        <v>46135</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18091-2022</t>
        </is>
      </c>
      <c r="B43" s="1" t="n">
        <v>44684</v>
      </c>
      <c r="C43" s="1" t="n">
        <v>46135</v>
      </c>
      <c r="D43" t="inlineStr">
        <is>
          <t>STOCKHOLMS LÄN</t>
        </is>
      </c>
      <c r="E43" t="inlineStr">
        <is>
          <t>ÖSTERÅKER</t>
        </is>
      </c>
      <c r="G43" t="n">
        <v>6.1</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46135</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67265-2021</t>
        </is>
      </c>
      <c r="B45" s="1" t="n">
        <v>44523.59277777778</v>
      </c>
      <c r="C45" s="1" t="n">
        <v>46135</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46135</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46135</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46135</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18711-2023</t>
        </is>
      </c>
      <c r="B49" s="1" t="n">
        <v>45043.6433912037</v>
      </c>
      <c r="C49" s="1" t="n">
        <v>46135</v>
      </c>
      <c r="D49" t="inlineStr">
        <is>
          <t>STOCKHOLMS LÄN</t>
        </is>
      </c>
      <c r="E49" t="inlineStr">
        <is>
          <t>ÖSTERÅKER</t>
        </is>
      </c>
      <c r="G49" t="n">
        <v>3</v>
      </c>
      <c r="H49" t="n">
        <v>0</v>
      </c>
      <c r="I49" t="n">
        <v>0</v>
      </c>
      <c r="J49" t="n">
        <v>0</v>
      </c>
      <c r="K49" t="n">
        <v>0</v>
      </c>
      <c r="L49" t="n">
        <v>0</v>
      </c>
      <c r="M49" t="n">
        <v>0</v>
      </c>
      <c r="N49" t="n">
        <v>0</v>
      </c>
      <c r="O49" t="n">
        <v>0</v>
      </c>
      <c r="P49" t="n">
        <v>0</v>
      </c>
      <c r="Q49" t="n">
        <v>0</v>
      </c>
      <c r="R49" s="2" t="inlineStr"/>
    </row>
    <row r="50" ht="15" customHeight="1">
      <c r="A50" t="inlineStr">
        <is>
          <t>A 24499-2023</t>
        </is>
      </c>
      <c r="B50" s="1" t="n">
        <v>45082</v>
      </c>
      <c r="C50" s="1" t="n">
        <v>46135</v>
      </c>
      <c r="D50" t="inlineStr">
        <is>
          <t>STOCKHOLMS LÄN</t>
        </is>
      </c>
      <c r="E50" t="inlineStr">
        <is>
          <t>ÖSTERÅKER</t>
        </is>
      </c>
      <c r="G50" t="n">
        <v>0.1</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46135</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46135</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3828-2023</t>
        </is>
      </c>
      <c r="B53" s="1" t="n">
        <v>44951</v>
      </c>
      <c r="C53" s="1" t="n">
        <v>46135</v>
      </c>
      <c r="D53" t="inlineStr">
        <is>
          <t>STOCKHOLMS LÄN</t>
        </is>
      </c>
      <c r="E53" t="inlineStr">
        <is>
          <t>ÖSTERÅKER</t>
        </is>
      </c>
      <c r="F53" t="inlineStr">
        <is>
          <t>Kommuner</t>
        </is>
      </c>
      <c r="G53" t="n">
        <v>3.2</v>
      </c>
      <c r="H53" t="n">
        <v>0</v>
      </c>
      <c r="I53" t="n">
        <v>0</v>
      </c>
      <c r="J53" t="n">
        <v>0</v>
      </c>
      <c r="K53" t="n">
        <v>0</v>
      </c>
      <c r="L53" t="n">
        <v>0</v>
      </c>
      <c r="M53" t="n">
        <v>0</v>
      </c>
      <c r="N53" t="n">
        <v>0</v>
      </c>
      <c r="O53" t="n">
        <v>0</v>
      </c>
      <c r="P53" t="n">
        <v>0</v>
      </c>
      <c r="Q53" t="n">
        <v>0</v>
      </c>
      <c r="R53" s="2" t="inlineStr"/>
    </row>
    <row r="54" ht="15" customHeight="1">
      <c r="A54" t="inlineStr">
        <is>
          <t>A 57048-2024</t>
        </is>
      </c>
      <c r="B54" s="1" t="n">
        <v>45629.33938657407</v>
      </c>
      <c r="C54" s="1" t="n">
        <v>46135</v>
      </c>
      <c r="D54" t="inlineStr">
        <is>
          <t>STOCKHOLMS LÄN</t>
        </is>
      </c>
      <c r="E54" t="inlineStr">
        <is>
          <t>ÖSTERÅKER</t>
        </is>
      </c>
      <c r="G54" t="n">
        <v>3</v>
      </c>
      <c r="H54" t="n">
        <v>0</v>
      </c>
      <c r="I54" t="n">
        <v>0</v>
      </c>
      <c r="J54" t="n">
        <v>0</v>
      </c>
      <c r="K54" t="n">
        <v>0</v>
      </c>
      <c r="L54" t="n">
        <v>0</v>
      </c>
      <c r="M54" t="n">
        <v>0</v>
      </c>
      <c r="N54" t="n">
        <v>0</v>
      </c>
      <c r="O54" t="n">
        <v>0</v>
      </c>
      <c r="P54" t="n">
        <v>0</v>
      </c>
      <c r="Q54" t="n">
        <v>0</v>
      </c>
      <c r="R54" s="2" t="inlineStr"/>
    </row>
    <row r="55" ht="15" customHeight="1">
      <c r="A55" t="inlineStr">
        <is>
          <t>A 5286-2025</t>
        </is>
      </c>
      <c r="B55" s="1" t="n">
        <v>45692.44144675926</v>
      </c>
      <c r="C55" s="1" t="n">
        <v>46135</v>
      </c>
      <c r="D55" t="inlineStr">
        <is>
          <t>STOCKHOLMS LÄN</t>
        </is>
      </c>
      <c r="E55" t="inlineStr">
        <is>
          <t>ÖSTERÅKER</t>
        </is>
      </c>
      <c r="G55" t="n">
        <v>11.2</v>
      </c>
      <c r="H55" t="n">
        <v>0</v>
      </c>
      <c r="I55" t="n">
        <v>0</v>
      </c>
      <c r="J55" t="n">
        <v>0</v>
      </c>
      <c r="K55" t="n">
        <v>0</v>
      </c>
      <c r="L55" t="n">
        <v>0</v>
      </c>
      <c r="M55" t="n">
        <v>0</v>
      </c>
      <c r="N55" t="n">
        <v>0</v>
      </c>
      <c r="O55" t="n">
        <v>0</v>
      </c>
      <c r="P55" t="n">
        <v>0</v>
      </c>
      <c r="Q55" t="n">
        <v>0</v>
      </c>
      <c r="R55" s="2" t="inlineStr"/>
    </row>
    <row r="56" ht="15" customHeight="1">
      <c r="A56" t="inlineStr">
        <is>
          <t>A 3817-2023</t>
        </is>
      </c>
      <c r="B56" s="1" t="n">
        <v>44951</v>
      </c>
      <c r="C56" s="1" t="n">
        <v>46135</v>
      </c>
      <c r="D56" t="inlineStr">
        <is>
          <t>STOCKHOLMS LÄN</t>
        </is>
      </c>
      <c r="E56" t="inlineStr">
        <is>
          <t>ÖSTERÅKER</t>
        </is>
      </c>
      <c r="F56" t="inlineStr">
        <is>
          <t>Kommuner</t>
        </is>
      </c>
      <c r="G56" t="n">
        <v>4.7</v>
      </c>
      <c r="H56" t="n">
        <v>0</v>
      </c>
      <c r="I56" t="n">
        <v>0</v>
      </c>
      <c r="J56" t="n">
        <v>0</v>
      </c>
      <c r="K56" t="n">
        <v>0</v>
      </c>
      <c r="L56" t="n">
        <v>0</v>
      </c>
      <c r="M56" t="n">
        <v>0</v>
      </c>
      <c r="N56" t="n">
        <v>0</v>
      </c>
      <c r="O56" t="n">
        <v>0</v>
      </c>
      <c r="P56" t="n">
        <v>0</v>
      </c>
      <c r="Q56" t="n">
        <v>0</v>
      </c>
      <c r="R56" s="2" t="inlineStr"/>
    </row>
    <row r="57" ht="15" customHeight="1">
      <c r="A57" t="inlineStr">
        <is>
          <t>A 544-2023</t>
        </is>
      </c>
      <c r="B57" s="1" t="n">
        <v>44924</v>
      </c>
      <c r="C57" s="1" t="n">
        <v>46135</v>
      </c>
      <c r="D57" t="inlineStr">
        <is>
          <t>STOCKHOLMS LÄN</t>
        </is>
      </c>
      <c r="E57" t="inlineStr">
        <is>
          <t>ÖSTERÅKER</t>
        </is>
      </c>
      <c r="F57" t="inlineStr">
        <is>
          <t>Övriga Aktiebolag</t>
        </is>
      </c>
      <c r="G57" t="n">
        <v>0.9</v>
      </c>
      <c r="H57" t="n">
        <v>0</v>
      </c>
      <c r="I57" t="n">
        <v>0</v>
      </c>
      <c r="J57" t="n">
        <v>0</v>
      </c>
      <c r="K57" t="n">
        <v>0</v>
      </c>
      <c r="L57" t="n">
        <v>0</v>
      </c>
      <c r="M57" t="n">
        <v>0</v>
      </c>
      <c r="N57" t="n">
        <v>0</v>
      </c>
      <c r="O57" t="n">
        <v>0</v>
      </c>
      <c r="P57" t="n">
        <v>0</v>
      </c>
      <c r="Q57" t="n">
        <v>0</v>
      </c>
      <c r="R57" s="2" t="inlineStr"/>
    </row>
    <row r="58" ht="15" customHeight="1">
      <c r="A58" t="inlineStr">
        <is>
          <t>A 3326-2022</t>
        </is>
      </c>
      <c r="B58" s="1" t="n">
        <v>44583</v>
      </c>
      <c r="C58" s="1" t="n">
        <v>46135</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13366-2024</t>
        </is>
      </c>
      <c r="B59" s="1" t="n">
        <v>45387</v>
      </c>
      <c r="C59" s="1" t="n">
        <v>46135</v>
      </c>
      <c r="D59" t="inlineStr">
        <is>
          <t>STOCKHOLMS LÄN</t>
        </is>
      </c>
      <c r="E59" t="inlineStr">
        <is>
          <t>ÖSTERÅKER</t>
        </is>
      </c>
      <c r="G59" t="n">
        <v>13.7</v>
      </c>
      <c r="H59" t="n">
        <v>0</v>
      </c>
      <c r="I59" t="n">
        <v>0</v>
      </c>
      <c r="J59" t="n">
        <v>0</v>
      </c>
      <c r="K59" t="n">
        <v>0</v>
      </c>
      <c r="L59" t="n">
        <v>0</v>
      </c>
      <c r="M59" t="n">
        <v>0</v>
      </c>
      <c r="N59" t="n">
        <v>0</v>
      </c>
      <c r="O59" t="n">
        <v>0</v>
      </c>
      <c r="P59" t="n">
        <v>0</v>
      </c>
      <c r="Q59" t="n">
        <v>0</v>
      </c>
      <c r="R59" s="2" t="inlineStr"/>
    </row>
    <row r="60" ht="15" customHeight="1">
      <c r="A60" t="inlineStr">
        <is>
          <t>A 57055-2024</t>
        </is>
      </c>
      <c r="B60" s="1" t="n">
        <v>45629.34627314815</v>
      </c>
      <c r="C60" s="1" t="n">
        <v>46135</v>
      </c>
      <c r="D60" t="inlineStr">
        <is>
          <t>STOCKHOLMS LÄN</t>
        </is>
      </c>
      <c r="E60" t="inlineStr">
        <is>
          <t>ÖSTERÅKER</t>
        </is>
      </c>
      <c r="G60" t="n">
        <v>0.5</v>
      </c>
      <c r="H60" t="n">
        <v>0</v>
      </c>
      <c r="I60" t="n">
        <v>0</v>
      </c>
      <c r="J60" t="n">
        <v>0</v>
      </c>
      <c r="K60" t="n">
        <v>0</v>
      </c>
      <c r="L60" t="n">
        <v>0</v>
      </c>
      <c r="M60" t="n">
        <v>0</v>
      </c>
      <c r="N60" t="n">
        <v>0</v>
      </c>
      <c r="O60" t="n">
        <v>0</v>
      </c>
      <c r="P60" t="n">
        <v>0</v>
      </c>
      <c r="Q60" t="n">
        <v>0</v>
      </c>
      <c r="R60" s="2" t="inlineStr"/>
    </row>
    <row r="61" ht="15" customHeight="1">
      <c r="A61" t="inlineStr">
        <is>
          <t>A 59379-2022</t>
        </is>
      </c>
      <c r="B61" s="1" t="n">
        <v>44905</v>
      </c>
      <c r="C61" s="1" t="n">
        <v>46135</v>
      </c>
      <c r="D61" t="inlineStr">
        <is>
          <t>STOCKHOLMS LÄN</t>
        </is>
      </c>
      <c r="E61" t="inlineStr">
        <is>
          <t>ÖSTERÅKER</t>
        </is>
      </c>
      <c r="F61" t="inlineStr">
        <is>
          <t>Kommuner</t>
        </is>
      </c>
      <c r="G61" t="n">
        <v>4.7</v>
      </c>
      <c r="H61" t="n">
        <v>0</v>
      </c>
      <c r="I61" t="n">
        <v>0</v>
      </c>
      <c r="J61" t="n">
        <v>0</v>
      </c>
      <c r="K61" t="n">
        <v>0</v>
      </c>
      <c r="L61" t="n">
        <v>0</v>
      </c>
      <c r="M61" t="n">
        <v>0</v>
      </c>
      <c r="N61" t="n">
        <v>0</v>
      </c>
      <c r="O61" t="n">
        <v>0</v>
      </c>
      <c r="P61" t="n">
        <v>0</v>
      </c>
      <c r="Q61" t="n">
        <v>0</v>
      </c>
      <c r="R61" s="2" t="inlineStr"/>
    </row>
    <row r="62" ht="15" customHeight="1">
      <c r="A62" t="inlineStr">
        <is>
          <t>A 46688-2022</t>
        </is>
      </c>
      <c r="B62" s="1" t="n">
        <v>44851</v>
      </c>
      <c r="C62" s="1" t="n">
        <v>46135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46135</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16738-2022</t>
        </is>
      </c>
      <c r="B64" s="1" t="n">
        <v>44673</v>
      </c>
      <c r="C64" s="1" t="n">
        <v>46135</v>
      </c>
      <c r="D64" t="inlineStr">
        <is>
          <t>STOCKHOLMS LÄN</t>
        </is>
      </c>
      <c r="E64" t="inlineStr">
        <is>
          <t>ÖSTERÅKER</t>
        </is>
      </c>
      <c r="G64" t="n">
        <v>1.1</v>
      </c>
      <c r="H64" t="n">
        <v>0</v>
      </c>
      <c r="I64" t="n">
        <v>0</v>
      </c>
      <c r="J64" t="n">
        <v>0</v>
      </c>
      <c r="K64" t="n">
        <v>0</v>
      </c>
      <c r="L64" t="n">
        <v>0</v>
      </c>
      <c r="M64" t="n">
        <v>0</v>
      </c>
      <c r="N64" t="n">
        <v>0</v>
      </c>
      <c r="O64" t="n">
        <v>0</v>
      </c>
      <c r="P64" t="n">
        <v>0</v>
      </c>
      <c r="Q64" t="n">
        <v>0</v>
      </c>
      <c r="R64" s="2" t="inlineStr"/>
    </row>
    <row r="65" ht="15" customHeight="1">
      <c r="A65" t="inlineStr">
        <is>
          <t>A 17196-2022</t>
        </is>
      </c>
      <c r="B65" s="1" t="n">
        <v>44677</v>
      </c>
      <c r="C65" s="1" t="n">
        <v>46135</v>
      </c>
      <c r="D65" t="inlineStr">
        <is>
          <t>STOCKHOLMS LÄN</t>
        </is>
      </c>
      <c r="E65" t="inlineStr">
        <is>
          <t>ÖSTERÅKER</t>
        </is>
      </c>
      <c r="G65" t="n">
        <v>5.9</v>
      </c>
      <c r="H65" t="n">
        <v>0</v>
      </c>
      <c r="I65" t="n">
        <v>0</v>
      </c>
      <c r="J65" t="n">
        <v>0</v>
      </c>
      <c r="K65" t="n">
        <v>0</v>
      </c>
      <c r="L65" t="n">
        <v>0</v>
      </c>
      <c r="M65" t="n">
        <v>0</v>
      </c>
      <c r="N65" t="n">
        <v>0</v>
      </c>
      <c r="O65" t="n">
        <v>0</v>
      </c>
      <c r="P65" t="n">
        <v>0</v>
      </c>
      <c r="Q65" t="n">
        <v>0</v>
      </c>
      <c r="R65" s="2" t="inlineStr"/>
    </row>
    <row r="66" ht="15" customHeight="1">
      <c r="A66" t="inlineStr">
        <is>
          <t>A 33158-2024</t>
        </is>
      </c>
      <c r="B66" s="1" t="n">
        <v>45518</v>
      </c>
      <c r="C66" s="1" t="n">
        <v>46135</v>
      </c>
      <c r="D66" t="inlineStr">
        <is>
          <t>STOCKHOLMS LÄN</t>
        </is>
      </c>
      <c r="E66" t="inlineStr">
        <is>
          <t>ÖSTERÅKER</t>
        </is>
      </c>
      <c r="G66" t="n">
        <v>1.6</v>
      </c>
      <c r="H66" t="n">
        <v>0</v>
      </c>
      <c r="I66" t="n">
        <v>0</v>
      </c>
      <c r="J66" t="n">
        <v>0</v>
      </c>
      <c r="K66" t="n">
        <v>0</v>
      </c>
      <c r="L66" t="n">
        <v>0</v>
      </c>
      <c r="M66" t="n">
        <v>0</v>
      </c>
      <c r="N66" t="n">
        <v>0</v>
      </c>
      <c r="O66" t="n">
        <v>0</v>
      </c>
      <c r="P66" t="n">
        <v>0</v>
      </c>
      <c r="Q66" t="n">
        <v>0</v>
      </c>
      <c r="R66" s="2" t="inlineStr"/>
    </row>
    <row r="67" ht="15" customHeight="1">
      <c r="A67" t="inlineStr">
        <is>
          <t>A 62839-2025</t>
        </is>
      </c>
      <c r="B67" s="1" t="n">
        <v>46008</v>
      </c>
      <c r="C67" s="1" t="n">
        <v>46135</v>
      </c>
      <c r="D67" t="inlineStr">
        <is>
          <t>STOCKHOLMS LÄN</t>
        </is>
      </c>
      <c r="E67" t="inlineStr">
        <is>
          <t>ÖSTERÅKER</t>
        </is>
      </c>
      <c r="G67" t="n">
        <v>1.4</v>
      </c>
      <c r="H67" t="n">
        <v>0</v>
      </c>
      <c r="I67" t="n">
        <v>0</v>
      </c>
      <c r="J67" t="n">
        <v>0</v>
      </c>
      <c r="K67" t="n">
        <v>0</v>
      </c>
      <c r="L67" t="n">
        <v>0</v>
      </c>
      <c r="M67" t="n">
        <v>0</v>
      </c>
      <c r="N67" t="n">
        <v>0</v>
      </c>
      <c r="O67" t="n">
        <v>0</v>
      </c>
      <c r="P67" t="n">
        <v>0</v>
      </c>
      <c r="Q67" t="n">
        <v>0</v>
      </c>
      <c r="R67" s="2" t="inlineStr"/>
    </row>
    <row r="68" ht="15" customHeight="1">
      <c r="A68" t="inlineStr">
        <is>
          <t>A 3917-2023</t>
        </is>
      </c>
      <c r="B68" s="1" t="n">
        <v>44952</v>
      </c>
      <c r="C68" s="1" t="n">
        <v>46135</v>
      </c>
      <c r="D68" t="inlineStr">
        <is>
          <t>STOCKHOLMS LÄN</t>
        </is>
      </c>
      <c r="E68" t="inlineStr">
        <is>
          <t>ÖSTERÅKER</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62831-2025</t>
        </is>
      </c>
      <c r="B69" s="1" t="n">
        <v>46008</v>
      </c>
      <c r="C69" s="1" t="n">
        <v>46135</v>
      </c>
      <c r="D69" t="inlineStr">
        <is>
          <t>STOCKHOLMS LÄN</t>
        </is>
      </c>
      <c r="E69" t="inlineStr">
        <is>
          <t>ÖSTERÅKER</t>
        </is>
      </c>
      <c r="G69" t="n">
        <v>1.2</v>
      </c>
      <c r="H69" t="n">
        <v>0</v>
      </c>
      <c r="I69" t="n">
        <v>0</v>
      </c>
      <c r="J69" t="n">
        <v>0</v>
      </c>
      <c r="K69" t="n">
        <v>0</v>
      </c>
      <c r="L69" t="n">
        <v>0</v>
      </c>
      <c r="M69" t="n">
        <v>0</v>
      </c>
      <c r="N69" t="n">
        <v>0</v>
      </c>
      <c r="O69" t="n">
        <v>0</v>
      </c>
      <c r="P69" t="n">
        <v>0</v>
      </c>
      <c r="Q69" t="n">
        <v>0</v>
      </c>
      <c r="R69" s="2" t="inlineStr"/>
    </row>
    <row r="70" ht="15" customHeight="1">
      <c r="A70" t="inlineStr">
        <is>
          <t>A 62108-2022</t>
        </is>
      </c>
      <c r="B70" s="1" t="n">
        <v>44920</v>
      </c>
      <c r="C70" s="1" t="n">
        <v>46135</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12345-2026</t>
        </is>
      </c>
      <c r="B71" s="1" t="n">
        <v>46087.67776620371</v>
      </c>
      <c r="C71" s="1" t="n">
        <v>46135</v>
      </c>
      <c r="D71" t="inlineStr">
        <is>
          <t>STOCKHOLMS LÄN</t>
        </is>
      </c>
      <c r="E71" t="inlineStr">
        <is>
          <t>ÖSTERÅKER</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46135</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9865-2025</t>
        </is>
      </c>
      <c r="B73" s="1" t="n">
        <v>45716</v>
      </c>
      <c r="C73" s="1" t="n">
        <v>46135</v>
      </c>
      <c r="D73" t="inlineStr">
        <is>
          <t>STOCKHOLMS LÄN</t>
        </is>
      </c>
      <c r="E73" t="inlineStr">
        <is>
          <t>ÖSTERÅKER</t>
        </is>
      </c>
      <c r="G73" t="n">
        <v>7</v>
      </c>
      <c r="H73" t="n">
        <v>0</v>
      </c>
      <c r="I73" t="n">
        <v>0</v>
      </c>
      <c r="J73" t="n">
        <v>0</v>
      </c>
      <c r="K73" t="n">
        <v>0</v>
      </c>
      <c r="L73" t="n">
        <v>0</v>
      </c>
      <c r="M73" t="n">
        <v>0</v>
      </c>
      <c r="N73" t="n">
        <v>0</v>
      </c>
      <c r="O73" t="n">
        <v>0</v>
      </c>
      <c r="P73" t="n">
        <v>0</v>
      </c>
      <c r="Q73" t="n">
        <v>0</v>
      </c>
      <c r="R73" s="2" t="inlineStr"/>
    </row>
    <row r="74" ht="15" customHeight="1">
      <c r="A74" t="inlineStr">
        <is>
          <t>A 37244-2024</t>
        </is>
      </c>
      <c r="B74" s="1" t="n">
        <v>45540</v>
      </c>
      <c r="C74" s="1" t="n">
        <v>46135</v>
      </c>
      <c r="D74" t="inlineStr">
        <is>
          <t>STOCKHOLMS LÄN</t>
        </is>
      </c>
      <c r="E74" t="inlineStr">
        <is>
          <t>ÖSTERÅKER</t>
        </is>
      </c>
      <c r="G74" t="n">
        <v>2.6</v>
      </c>
      <c r="H74" t="n">
        <v>0</v>
      </c>
      <c r="I74" t="n">
        <v>0</v>
      </c>
      <c r="J74" t="n">
        <v>0</v>
      </c>
      <c r="K74" t="n">
        <v>0</v>
      </c>
      <c r="L74" t="n">
        <v>0</v>
      </c>
      <c r="M74" t="n">
        <v>0</v>
      </c>
      <c r="N74" t="n">
        <v>0</v>
      </c>
      <c r="O74" t="n">
        <v>0</v>
      </c>
      <c r="P74" t="n">
        <v>0</v>
      </c>
      <c r="Q74" t="n">
        <v>0</v>
      </c>
      <c r="R74" s="2" t="inlineStr"/>
    </row>
    <row r="75" ht="15" customHeight="1">
      <c r="A75" t="inlineStr">
        <is>
          <t>A 21796-2025</t>
        </is>
      </c>
      <c r="B75" s="1" t="n">
        <v>45783.68135416666</v>
      </c>
      <c r="C75" s="1" t="n">
        <v>46135</v>
      </c>
      <c r="D75" t="inlineStr">
        <is>
          <t>STOCKHOLMS LÄN</t>
        </is>
      </c>
      <c r="E75" t="inlineStr">
        <is>
          <t>ÖSTERÅKER</t>
        </is>
      </c>
      <c r="G75" t="n">
        <v>2.5</v>
      </c>
      <c r="H75" t="n">
        <v>0</v>
      </c>
      <c r="I75" t="n">
        <v>0</v>
      </c>
      <c r="J75" t="n">
        <v>0</v>
      </c>
      <c r="K75" t="n">
        <v>0</v>
      </c>
      <c r="L75" t="n">
        <v>0</v>
      </c>
      <c r="M75" t="n">
        <v>0</v>
      </c>
      <c r="N75" t="n">
        <v>0</v>
      </c>
      <c r="O75" t="n">
        <v>0</v>
      </c>
      <c r="P75" t="n">
        <v>0</v>
      </c>
      <c r="Q75" t="n">
        <v>0</v>
      </c>
      <c r="R75" s="2" t="inlineStr"/>
    </row>
    <row r="76" ht="15" customHeight="1">
      <c r="A76" t="inlineStr">
        <is>
          <t>A 21786-2025</t>
        </is>
      </c>
      <c r="B76" s="1" t="n">
        <v>45783.67215277778</v>
      </c>
      <c r="C76" s="1" t="n">
        <v>46135</v>
      </c>
      <c r="D76" t="inlineStr">
        <is>
          <t>STOCKHOLMS LÄN</t>
        </is>
      </c>
      <c r="E76" t="inlineStr">
        <is>
          <t>ÖSTERÅKER</t>
        </is>
      </c>
      <c r="G76" t="n">
        <v>3.8</v>
      </c>
      <c r="H76" t="n">
        <v>0</v>
      </c>
      <c r="I76" t="n">
        <v>0</v>
      </c>
      <c r="J76" t="n">
        <v>0</v>
      </c>
      <c r="K76" t="n">
        <v>0</v>
      </c>
      <c r="L76" t="n">
        <v>0</v>
      </c>
      <c r="M76" t="n">
        <v>0</v>
      </c>
      <c r="N76" t="n">
        <v>0</v>
      </c>
      <c r="O76" t="n">
        <v>0</v>
      </c>
      <c r="P76" t="n">
        <v>0</v>
      </c>
      <c r="Q76" t="n">
        <v>0</v>
      </c>
      <c r="R76" s="2" t="inlineStr"/>
    </row>
    <row r="77" ht="15" customHeight="1">
      <c r="A77" t="inlineStr">
        <is>
          <t>A 17353-2025</t>
        </is>
      </c>
      <c r="B77" s="1" t="n">
        <v>45756</v>
      </c>
      <c r="C77" s="1" t="n">
        <v>46135</v>
      </c>
      <c r="D77" t="inlineStr">
        <is>
          <t>STOCKHOLMS LÄN</t>
        </is>
      </c>
      <c r="E77" t="inlineStr">
        <is>
          <t>ÖSTERÅKER</t>
        </is>
      </c>
      <c r="F77" t="inlineStr">
        <is>
          <t>Övriga Aktiebolag</t>
        </is>
      </c>
      <c r="G77" t="n">
        <v>5.5</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46135</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61323-2022</t>
        </is>
      </c>
      <c r="B79" s="1" t="n">
        <v>44915</v>
      </c>
      <c r="C79" s="1" t="n">
        <v>46135</v>
      </c>
      <c r="D79" t="inlineStr">
        <is>
          <t>STOCKHOLMS LÄN</t>
        </is>
      </c>
      <c r="E79" t="inlineStr">
        <is>
          <t>ÖSTERÅKER</t>
        </is>
      </c>
      <c r="G79" t="n">
        <v>2.7</v>
      </c>
      <c r="H79" t="n">
        <v>0</v>
      </c>
      <c r="I79" t="n">
        <v>0</v>
      </c>
      <c r="J79" t="n">
        <v>0</v>
      </c>
      <c r="K79" t="n">
        <v>0</v>
      </c>
      <c r="L79" t="n">
        <v>0</v>
      </c>
      <c r="M79" t="n">
        <v>0</v>
      </c>
      <c r="N79" t="n">
        <v>0</v>
      </c>
      <c r="O79" t="n">
        <v>0</v>
      </c>
      <c r="P79" t="n">
        <v>0</v>
      </c>
      <c r="Q79" t="n">
        <v>0</v>
      </c>
      <c r="R79" s="2" t="inlineStr"/>
    </row>
    <row r="80" ht="15" customHeight="1">
      <c r="A80" t="inlineStr">
        <is>
          <t>A 22080-2024</t>
        </is>
      </c>
      <c r="B80" s="1" t="n">
        <v>45443.64962962963</v>
      </c>
      <c r="C80" s="1" t="n">
        <v>46135</v>
      </c>
      <c r="D80" t="inlineStr">
        <is>
          <t>STOCKHOLMS LÄN</t>
        </is>
      </c>
      <c r="E80" t="inlineStr">
        <is>
          <t>ÖSTERÅKER</t>
        </is>
      </c>
      <c r="F80" t="inlineStr">
        <is>
          <t>Övriga Aktiebolag</t>
        </is>
      </c>
      <c r="G80" t="n">
        <v>2.1</v>
      </c>
      <c r="H80" t="n">
        <v>0</v>
      </c>
      <c r="I80" t="n">
        <v>0</v>
      </c>
      <c r="J80" t="n">
        <v>0</v>
      </c>
      <c r="K80" t="n">
        <v>0</v>
      </c>
      <c r="L80" t="n">
        <v>0</v>
      </c>
      <c r="M80" t="n">
        <v>0</v>
      </c>
      <c r="N80" t="n">
        <v>0</v>
      </c>
      <c r="O80" t="n">
        <v>0</v>
      </c>
      <c r="P80" t="n">
        <v>0</v>
      </c>
      <c r="Q80" t="n">
        <v>0</v>
      </c>
      <c r="R80" s="2" t="inlineStr"/>
    </row>
    <row r="81" ht="15" customHeight="1">
      <c r="A81" t="inlineStr">
        <is>
          <t>A 16728-2022</t>
        </is>
      </c>
      <c r="B81" s="1" t="n">
        <v>44673</v>
      </c>
      <c r="C81" s="1" t="n">
        <v>46135</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46135</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1136-2023</t>
        </is>
      </c>
      <c r="B83" s="1" t="n">
        <v>44935</v>
      </c>
      <c r="C83" s="1" t="n">
        <v>46135</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61710-2022</t>
        </is>
      </c>
      <c r="B84" s="1" t="n">
        <v>44917</v>
      </c>
      <c r="C84" s="1" t="n">
        <v>46135</v>
      </c>
      <c r="D84" t="inlineStr">
        <is>
          <t>STOCKHOLMS LÄN</t>
        </is>
      </c>
      <c r="E84" t="inlineStr">
        <is>
          <t>ÖSTERÅKER</t>
        </is>
      </c>
      <c r="G84" t="n">
        <v>6.2</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46135</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22528-2024</t>
        </is>
      </c>
      <c r="B86" s="1" t="n">
        <v>45447.44967592593</v>
      </c>
      <c r="C86" s="1" t="n">
        <v>46135</v>
      </c>
      <c r="D86" t="inlineStr">
        <is>
          <t>STOCKHOLMS LÄN</t>
        </is>
      </c>
      <c r="E86" t="inlineStr">
        <is>
          <t>ÖSTERÅKER</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46135</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27948-2025</t>
        </is>
      </c>
      <c r="B88" s="1" t="n">
        <v>45817.52460648148</v>
      </c>
      <c r="C88" s="1" t="n">
        <v>46135</v>
      </c>
      <c r="D88" t="inlineStr">
        <is>
          <t>STOCKHOLMS LÄN</t>
        </is>
      </c>
      <c r="E88" t="inlineStr">
        <is>
          <t>ÖSTERÅKER</t>
        </is>
      </c>
      <c r="G88" t="n">
        <v>5.6</v>
      </c>
      <c r="H88" t="n">
        <v>0</v>
      </c>
      <c r="I88" t="n">
        <v>0</v>
      </c>
      <c r="J88" t="n">
        <v>0</v>
      </c>
      <c r="K88" t="n">
        <v>0</v>
      </c>
      <c r="L88" t="n">
        <v>0</v>
      </c>
      <c r="M88" t="n">
        <v>0</v>
      </c>
      <c r="N88" t="n">
        <v>0</v>
      </c>
      <c r="O88" t="n">
        <v>0</v>
      </c>
      <c r="P88" t="n">
        <v>0</v>
      </c>
      <c r="Q88" t="n">
        <v>0</v>
      </c>
      <c r="R88" s="2" t="inlineStr"/>
    </row>
    <row r="89" ht="15" customHeight="1">
      <c r="A89" t="inlineStr">
        <is>
          <t>A 464-2022</t>
        </is>
      </c>
      <c r="B89" s="1" t="n">
        <v>44565</v>
      </c>
      <c r="C89" s="1" t="n">
        <v>46135</v>
      </c>
      <c r="D89" t="inlineStr">
        <is>
          <t>STOCKHOLMS LÄN</t>
        </is>
      </c>
      <c r="E89" t="inlineStr">
        <is>
          <t>ÖSTERÅKER</t>
        </is>
      </c>
      <c r="F89" t="inlineStr">
        <is>
          <t>Övriga Aktiebolag</t>
        </is>
      </c>
      <c r="G89" t="n">
        <v>7.6</v>
      </c>
      <c r="H89" t="n">
        <v>0</v>
      </c>
      <c r="I89" t="n">
        <v>0</v>
      </c>
      <c r="J89" t="n">
        <v>0</v>
      </c>
      <c r="K89" t="n">
        <v>0</v>
      </c>
      <c r="L89" t="n">
        <v>0</v>
      </c>
      <c r="M89" t="n">
        <v>0</v>
      </c>
      <c r="N89" t="n">
        <v>0</v>
      </c>
      <c r="O89" t="n">
        <v>0</v>
      </c>
      <c r="P89" t="n">
        <v>0</v>
      </c>
      <c r="Q89" t="n">
        <v>0</v>
      </c>
      <c r="R89" s="2" t="inlineStr"/>
    </row>
    <row r="90" ht="15" customHeight="1">
      <c r="A90" t="inlineStr">
        <is>
          <t>A 28143-2024</t>
        </is>
      </c>
      <c r="B90" s="1" t="n">
        <v>45476</v>
      </c>
      <c r="C90" s="1" t="n">
        <v>46135</v>
      </c>
      <c r="D90" t="inlineStr">
        <is>
          <t>STOCKHOLMS LÄN</t>
        </is>
      </c>
      <c r="E90" t="inlineStr">
        <is>
          <t>ÖSTERÅKER</t>
        </is>
      </c>
      <c r="F90" t="inlineStr">
        <is>
          <t>Övriga Aktiebolag</t>
        </is>
      </c>
      <c r="G90" t="n">
        <v>2.2</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46135</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5038-2026</t>
        </is>
      </c>
      <c r="B92" s="1" t="n">
        <v>46049.46427083333</v>
      </c>
      <c r="C92" s="1" t="n">
        <v>46135</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14776-2024</t>
        </is>
      </c>
      <c r="B93" s="1" t="n">
        <v>45397</v>
      </c>
      <c r="C93" s="1" t="n">
        <v>46135</v>
      </c>
      <c r="D93" t="inlineStr">
        <is>
          <t>STOCKHOLMS LÄN</t>
        </is>
      </c>
      <c r="E93" t="inlineStr">
        <is>
          <t>ÖSTERÅKER</t>
        </is>
      </c>
      <c r="G93" t="n">
        <v>13.6</v>
      </c>
      <c r="H93" t="n">
        <v>0</v>
      </c>
      <c r="I93" t="n">
        <v>0</v>
      </c>
      <c r="J93" t="n">
        <v>0</v>
      </c>
      <c r="K93" t="n">
        <v>0</v>
      </c>
      <c r="L93" t="n">
        <v>0</v>
      </c>
      <c r="M93" t="n">
        <v>0</v>
      </c>
      <c r="N93" t="n">
        <v>0</v>
      </c>
      <c r="O93" t="n">
        <v>0</v>
      </c>
      <c r="P93" t="n">
        <v>0</v>
      </c>
      <c r="Q93" t="n">
        <v>0</v>
      </c>
      <c r="R93" s="2" t="inlineStr"/>
    </row>
    <row r="94" ht="15" customHeight="1">
      <c r="A94" t="inlineStr">
        <is>
          <t>A 34038-2025</t>
        </is>
      </c>
      <c r="B94" s="1" t="n">
        <v>45842</v>
      </c>
      <c r="C94" s="1" t="n">
        <v>46135</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34079-2025</t>
        </is>
      </c>
      <c r="B95" s="1" t="n">
        <v>45842</v>
      </c>
      <c r="C95" s="1" t="n">
        <v>46135</v>
      </c>
      <c r="D95" t="inlineStr">
        <is>
          <t>STOCKHOLMS LÄN</t>
        </is>
      </c>
      <c r="E95" t="inlineStr">
        <is>
          <t>ÖSTERÅKER</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34034-2025</t>
        </is>
      </c>
      <c r="B96" s="1" t="n">
        <v>45842</v>
      </c>
      <c r="C96" s="1" t="n">
        <v>46135</v>
      </c>
      <c r="D96" t="inlineStr">
        <is>
          <t>STOCKHOLMS LÄN</t>
        </is>
      </c>
      <c r="E96" t="inlineStr">
        <is>
          <t>ÖSTERÅKER</t>
        </is>
      </c>
      <c r="F96" t="inlineStr">
        <is>
          <t>Övriga Aktiebolag</t>
        </is>
      </c>
      <c r="G96" t="n">
        <v>3.9</v>
      </c>
      <c r="H96" t="n">
        <v>0</v>
      </c>
      <c r="I96" t="n">
        <v>0</v>
      </c>
      <c r="J96" t="n">
        <v>0</v>
      </c>
      <c r="K96" t="n">
        <v>0</v>
      </c>
      <c r="L96" t="n">
        <v>0</v>
      </c>
      <c r="M96" t="n">
        <v>0</v>
      </c>
      <c r="N96" t="n">
        <v>0</v>
      </c>
      <c r="O96" t="n">
        <v>0</v>
      </c>
      <c r="P96" t="n">
        <v>0</v>
      </c>
      <c r="Q96" t="n">
        <v>0</v>
      </c>
      <c r="R96" s="2" t="inlineStr"/>
    </row>
    <row r="97" ht="15" customHeight="1">
      <c r="A97" t="inlineStr">
        <is>
          <t>A 35656-2025</t>
        </is>
      </c>
      <c r="B97" s="1" t="n">
        <v>45859</v>
      </c>
      <c r="C97" s="1" t="n">
        <v>46135</v>
      </c>
      <c r="D97" t="inlineStr">
        <is>
          <t>STOCKHOLMS LÄN</t>
        </is>
      </c>
      <c r="E97" t="inlineStr">
        <is>
          <t>ÖSTERÅKER</t>
        </is>
      </c>
      <c r="G97" t="n">
        <v>1.5</v>
      </c>
      <c r="H97" t="n">
        <v>0</v>
      </c>
      <c r="I97" t="n">
        <v>0</v>
      </c>
      <c r="J97" t="n">
        <v>0</v>
      </c>
      <c r="K97" t="n">
        <v>0</v>
      </c>
      <c r="L97" t="n">
        <v>0</v>
      </c>
      <c r="M97" t="n">
        <v>0</v>
      </c>
      <c r="N97" t="n">
        <v>0</v>
      </c>
      <c r="O97" t="n">
        <v>0</v>
      </c>
      <c r="P97" t="n">
        <v>0</v>
      </c>
      <c r="Q97" t="n">
        <v>0</v>
      </c>
      <c r="R97" s="2" t="inlineStr"/>
    </row>
    <row r="98" ht="15" customHeight="1">
      <c r="A98" t="inlineStr">
        <is>
          <t>A 35819-2025</t>
        </is>
      </c>
      <c r="B98" s="1" t="n">
        <v>45861</v>
      </c>
      <c r="C98" s="1" t="n">
        <v>46135</v>
      </c>
      <c r="D98" t="inlineStr">
        <is>
          <t>STOCKHOLMS LÄN</t>
        </is>
      </c>
      <c r="E98" t="inlineStr">
        <is>
          <t>ÖSTERÅKER</t>
        </is>
      </c>
      <c r="F98" t="inlineStr">
        <is>
          <t>Övriga Aktiebolag</t>
        </is>
      </c>
      <c r="G98" t="n">
        <v>8</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46135</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36611-2025</t>
        </is>
      </c>
      <c r="B100" s="1" t="n">
        <v>45870</v>
      </c>
      <c r="C100" s="1" t="n">
        <v>46135</v>
      </c>
      <c r="D100" t="inlineStr">
        <is>
          <t>STOCKHOLMS LÄN</t>
        </is>
      </c>
      <c r="E100" t="inlineStr">
        <is>
          <t>ÖSTERÅKER</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36614-2025</t>
        </is>
      </c>
      <c r="B101" s="1" t="n">
        <v>45870</v>
      </c>
      <c r="C101" s="1" t="n">
        <v>46135</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16803-2022</t>
        </is>
      </c>
      <c r="B102" s="1" t="n">
        <v>44673</v>
      </c>
      <c r="C102" s="1" t="n">
        <v>46135</v>
      </c>
      <c r="D102" t="inlineStr">
        <is>
          <t>STOCKHOLMS LÄN</t>
        </is>
      </c>
      <c r="E102" t="inlineStr">
        <is>
          <t>ÖSTERÅKER</t>
        </is>
      </c>
      <c r="G102" t="n">
        <v>1.9</v>
      </c>
      <c r="H102" t="n">
        <v>0</v>
      </c>
      <c r="I102" t="n">
        <v>0</v>
      </c>
      <c r="J102" t="n">
        <v>0</v>
      </c>
      <c r="K102" t="n">
        <v>0</v>
      </c>
      <c r="L102" t="n">
        <v>0</v>
      </c>
      <c r="M102" t="n">
        <v>0</v>
      </c>
      <c r="N102" t="n">
        <v>0</v>
      </c>
      <c r="O102" t="n">
        <v>0</v>
      </c>
      <c r="P102" t="n">
        <v>0</v>
      </c>
      <c r="Q102" t="n">
        <v>0</v>
      </c>
      <c r="R102" s="2" t="inlineStr"/>
    </row>
    <row r="103" ht="15" customHeight="1">
      <c r="A103" t="inlineStr">
        <is>
          <t>A 36612-2025</t>
        </is>
      </c>
      <c r="B103" s="1" t="n">
        <v>45870</v>
      </c>
      <c r="C103" s="1" t="n">
        <v>46135</v>
      </c>
      <c r="D103" t="inlineStr">
        <is>
          <t>STOCKHOLMS LÄN</t>
        </is>
      </c>
      <c r="E103" t="inlineStr">
        <is>
          <t>ÖSTERÅKER</t>
        </is>
      </c>
      <c r="F103" t="inlineStr">
        <is>
          <t>Övriga Aktiebolag</t>
        </is>
      </c>
      <c r="G103" t="n">
        <v>2.1</v>
      </c>
      <c r="H103" t="n">
        <v>0</v>
      </c>
      <c r="I103" t="n">
        <v>0</v>
      </c>
      <c r="J103" t="n">
        <v>0</v>
      </c>
      <c r="K103" t="n">
        <v>0</v>
      </c>
      <c r="L103" t="n">
        <v>0</v>
      </c>
      <c r="M103" t="n">
        <v>0</v>
      </c>
      <c r="N103" t="n">
        <v>0</v>
      </c>
      <c r="O103" t="n">
        <v>0</v>
      </c>
      <c r="P103" t="n">
        <v>0</v>
      </c>
      <c r="Q103" t="n">
        <v>0</v>
      </c>
      <c r="R103" s="2" t="inlineStr"/>
    </row>
    <row r="104" ht="15" customHeight="1">
      <c r="A104" t="inlineStr">
        <is>
          <t>A 470-2022</t>
        </is>
      </c>
      <c r="B104" s="1" t="n">
        <v>44565</v>
      </c>
      <c r="C104" s="1" t="n">
        <v>46135</v>
      </c>
      <c r="D104" t="inlineStr">
        <is>
          <t>STOCKHOLMS LÄN</t>
        </is>
      </c>
      <c r="E104" t="inlineStr">
        <is>
          <t>ÖSTERÅKER</t>
        </is>
      </c>
      <c r="F104" t="inlineStr">
        <is>
          <t>Övriga Aktiebolag</t>
        </is>
      </c>
      <c r="G104" t="n">
        <v>4.6</v>
      </c>
      <c r="H104" t="n">
        <v>0</v>
      </c>
      <c r="I104" t="n">
        <v>0</v>
      </c>
      <c r="J104" t="n">
        <v>0</v>
      </c>
      <c r="K104" t="n">
        <v>0</v>
      </c>
      <c r="L104" t="n">
        <v>0</v>
      </c>
      <c r="M104" t="n">
        <v>0</v>
      </c>
      <c r="N104" t="n">
        <v>0</v>
      </c>
      <c r="O104" t="n">
        <v>0</v>
      </c>
      <c r="P104" t="n">
        <v>0</v>
      </c>
      <c r="Q104" t="n">
        <v>0</v>
      </c>
      <c r="R104" s="2" t="inlineStr"/>
    </row>
    <row r="105" ht="15" customHeight="1">
      <c r="A105" t="inlineStr">
        <is>
          <t>A 23144-2024</t>
        </is>
      </c>
      <c r="B105" s="1" t="n">
        <v>45450.63202546296</v>
      </c>
      <c r="C105" s="1" t="n">
        <v>46135</v>
      </c>
      <c r="D105" t="inlineStr">
        <is>
          <t>STOCKHOLMS LÄN</t>
        </is>
      </c>
      <c r="E105" t="inlineStr">
        <is>
          <t>ÖSTERÅKER</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19404-2024</t>
        </is>
      </c>
      <c r="B106" s="1" t="n">
        <v>45428</v>
      </c>
      <c r="C106" s="1" t="n">
        <v>46135</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6655-2023</t>
        </is>
      </c>
      <c r="B107" s="1" t="n">
        <v>44966.60668981481</v>
      </c>
      <c r="C107" s="1" t="n">
        <v>46135</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row r="108" ht="15" customHeight="1">
      <c r="A108" t="inlineStr">
        <is>
          <t>A 9842-2025</t>
        </is>
      </c>
      <c r="B108" s="1" t="n">
        <v>45716</v>
      </c>
      <c r="C108" s="1" t="n">
        <v>46135</v>
      </c>
      <c r="D108" t="inlineStr">
        <is>
          <t>STOCKHOLMS LÄN</t>
        </is>
      </c>
      <c r="E108" t="inlineStr">
        <is>
          <t>ÖSTERÅKER</t>
        </is>
      </c>
      <c r="G108" t="n">
        <v>4.8</v>
      </c>
      <c r="H108" t="n">
        <v>0</v>
      </c>
      <c r="I108" t="n">
        <v>0</v>
      </c>
      <c r="J108" t="n">
        <v>0</v>
      </c>
      <c r="K108" t="n">
        <v>0</v>
      </c>
      <c r="L108" t="n">
        <v>0</v>
      </c>
      <c r="M108" t="n">
        <v>0</v>
      </c>
      <c r="N108" t="n">
        <v>0</v>
      </c>
      <c r="O108" t="n">
        <v>0</v>
      </c>
      <c r="P108" t="n">
        <v>0</v>
      </c>
      <c r="Q108" t="n">
        <v>0</v>
      </c>
      <c r="R108" s="2" t="inlineStr"/>
    </row>
    <row r="109" ht="15" customHeight="1">
      <c r="A109" t="inlineStr">
        <is>
          <t>A 56909-2024</t>
        </is>
      </c>
      <c r="B109" s="1" t="n">
        <v>45628.59060185185</v>
      </c>
      <c r="C109" s="1" t="n">
        <v>46135</v>
      </c>
      <c r="D109" t="inlineStr">
        <is>
          <t>STOCKHOLMS LÄN</t>
        </is>
      </c>
      <c r="E109" t="inlineStr">
        <is>
          <t>ÖSTERÅKER</t>
        </is>
      </c>
      <c r="G109" t="n">
        <v>1</v>
      </c>
      <c r="H109" t="n">
        <v>0</v>
      </c>
      <c r="I109" t="n">
        <v>0</v>
      </c>
      <c r="J109" t="n">
        <v>0</v>
      </c>
      <c r="K109" t="n">
        <v>0</v>
      </c>
      <c r="L109" t="n">
        <v>0</v>
      </c>
      <c r="M109" t="n">
        <v>0</v>
      </c>
      <c r="N109" t="n">
        <v>0</v>
      </c>
      <c r="O109" t="n">
        <v>0</v>
      </c>
      <c r="P109" t="n">
        <v>0</v>
      </c>
      <c r="Q109" t="n">
        <v>0</v>
      </c>
      <c r="R109" s="2" t="inlineStr"/>
    </row>
    <row r="110" ht="15" customHeight="1">
      <c r="A110" t="inlineStr">
        <is>
          <t>A 30949-2024</t>
        </is>
      </c>
      <c r="B110" s="1" t="n">
        <v>45499</v>
      </c>
      <c r="C110" s="1" t="n">
        <v>46135</v>
      </c>
      <c r="D110" t="inlineStr">
        <is>
          <t>STOCKHOLMS LÄN</t>
        </is>
      </c>
      <c r="E110" t="inlineStr">
        <is>
          <t>ÖSTERÅKER</t>
        </is>
      </c>
      <c r="F110" t="inlineStr">
        <is>
          <t>Övriga Aktiebolag</t>
        </is>
      </c>
      <c r="G110" t="n">
        <v>3.2</v>
      </c>
      <c r="H110" t="n">
        <v>0</v>
      </c>
      <c r="I110" t="n">
        <v>0</v>
      </c>
      <c r="J110" t="n">
        <v>0</v>
      </c>
      <c r="K110" t="n">
        <v>0</v>
      </c>
      <c r="L110" t="n">
        <v>0</v>
      </c>
      <c r="M110" t="n">
        <v>0</v>
      </c>
      <c r="N110" t="n">
        <v>0</v>
      </c>
      <c r="O110" t="n">
        <v>0</v>
      </c>
      <c r="P110" t="n">
        <v>0</v>
      </c>
      <c r="Q110" t="n">
        <v>0</v>
      </c>
      <c r="R110" s="2" t="inlineStr"/>
    </row>
    <row r="111" ht="15" customHeight="1">
      <c r="A111" t="inlineStr">
        <is>
          <t>A 845-2024</t>
        </is>
      </c>
      <c r="B111" s="1" t="n">
        <v>45300.91423611111</v>
      </c>
      <c r="C111" s="1" t="n">
        <v>46135</v>
      </c>
      <c r="D111" t="inlineStr">
        <is>
          <t>STOCKHOLMS LÄN</t>
        </is>
      </c>
      <c r="E111" t="inlineStr">
        <is>
          <t>ÖSTERÅKER</t>
        </is>
      </c>
      <c r="G111" t="n">
        <v>10.1</v>
      </c>
      <c r="H111" t="n">
        <v>0</v>
      </c>
      <c r="I111" t="n">
        <v>0</v>
      </c>
      <c r="J111" t="n">
        <v>0</v>
      </c>
      <c r="K111" t="n">
        <v>0</v>
      </c>
      <c r="L111" t="n">
        <v>0</v>
      </c>
      <c r="M111" t="n">
        <v>0</v>
      </c>
      <c r="N111" t="n">
        <v>0</v>
      </c>
      <c r="O111" t="n">
        <v>0</v>
      </c>
      <c r="P111" t="n">
        <v>0</v>
      </c>
      <c r="Q111" t="n">
        <v>0</v>
      </c>
      <c r="R111" s="2" t="inlineStr"/>
    </row>
    <row r="112" ht="15" customHeight="1">
      <c r="A112" t="inlineStr">
        <is>
          <t>A 31134-2023</t>
        </is>
      </c>
      <c r="B112" s="1" t="n">
        <v>45113</v>
      </c>
      <c r="C112" s="1" t="n">
        <v>46135</v>
      </c>
      <c r="D112" t="inlineStr">
        <is>
          <t>STOCKHOLMS LÄN</t>
        </is>
      </c>
      <c r="E112" t="inlineStr">
        <is>
          <t>ÖSTERÅKER</t>
        </is>
      </c>
      <c r="G112" t="n">
        <v>2.1</v>
      </c>
      <c r="H112" t="n">
        <v>0</v>
      </c>
      <c r="I112" t="n">
        <v>0</v>
      </c>
      <c r="J112" t="n">
        <v>0</v>
      </c>
      <c r="K112" t="n">
        <v>0</v>
      </c>
      <c r="L112" t="n">
        <v>0</v>
      </c>
      <c r="M112" t="n">
        <v>0</v>
      </c>
      <c r="N112" t="n">
        <v>0</v>
      </c>
      <c r="O112" t="n">
        <v>0</v>
      </c>
      <c r="P112" t="n">
        <v>0</v>
      </c>
      <c r="Q112" t="n">
        <v>0</v>
      </c>
      <c r="R112" s="2" t="inlineStr"/>
    </row>
    <row r="113">
      <c r="A113" t="inlineStr">
        <is>
          <t>A 31575-2022</t>
        </is>
      </c>
      <c r="B113" s="1" t="n">
        <v>44775.45063657407</v>
      </c>
      <c r="C113" s="1" t="n">
        <v>46135</v>
      </c>
      <c r="D113" t="inlineStr">
        <is>
          <t>STOCKHOLMS LÄN</t>
        </is>
      </c>
      <c r="E113" t="inlineStr">
        <is>
          <t>ÖSTERÅKER</t>
        </is>
      </c>
      <c r="G113" t="n">
        <v>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2026-04-23T10:50:27Z</dcterms:created>
  <dcterms:modified xmlns:dcterms="http://purl.org/dc/terms/" xmlns:xsi="http://www.w3.org/2001/XMLSchema-instance" xsi:type="dcterms:W3CDTF">2026-04-23T10:50:27Z</dcterms:modified>
</cp:coreProperties>
</file>