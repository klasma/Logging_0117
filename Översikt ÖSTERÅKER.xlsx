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46051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46051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46051</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46051</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46051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46051</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46051</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46051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46051</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46051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46051</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46051</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31523-2022</t>
        </is>
      </c>
      <c r="B14" s="1" t="n">
        <v>44775.22490740741</v>
      </c>
      <c r="C14" s="1" t="n">
        <v>46051</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43308-2024</t>
        </is>
      </c>
      <c r="B15" s="1" t="n">
        <v>45568</v>
      </c>
      <c r="C15" s="1" t="n">
        <v>46051</v>
      </c>
      <c r="D15" t="inlineStr">
        <is>
          <t>STOCKHOLMS LÄN</t>
        </is>
      </c>
      <c r="E15" t="inlineStr">
        <is>
          <t>ÖSTERÅKER</t>
        </is>
      </c>
      <c r="F15" t="inlineStr">
        <is>
          <t>Kyrkan</t>
        </is>
      </c>
      <c r="G15" t="n">
        <v>3.2</v>
      </c>
      <c r="H15" t="n">
        <v>0</v>
      </c>
      <c r="I15" t="n">
        <v>1</v>
      </c>
      <c r="J15" t="n">
        <v>1</v>
      </c>
      <c r="K15" t="n">
        <v>0</v>
      </c>
      <c r="L15" t="n">
        <v>0</v>
      </c>
      <c r="M15" t="n">
        <v>0</v>
      </c>
      <c r="N15" t="n">
        <v>0</v>
      </c>
      <c r="O15" t="n">
        <v>1</v>
      </c>
      <c r="P15" t="n">
        <v>0</v>
      </c>
      <c r="Q15" t="n">
        <v>2</v>
      </c>
      <c r="R15" s="2" t="inlineStr">
        <is>
          <t>Tallticka
Dropptaggsvamp</t>
        </is>
      </c>
      <c r="S15">
        <f>HYPERLINK("https://klasma.github.io/Logging_0117/artfynd/A 43308-2024 artfynd.xlsx", "A 43308-2024")</f>
        <v/>
      </c>
      <c r="T15">
        <f>HYPERLINK("https://klasma.github.io/Logging_0117/kartor/A 43308-2024 karta.png", "A 43308-2024")</f>
        <v/>
      </c>
      <c r="V15">
        <f>HYPERLINK("https://klasma.github.io/Logging_0117/klagomål/A 43308-2024 FSC-klagomål.docx", "A 43308-2024")</f>
        <v/>
      </c>
      <c r="W15">
        <f>HYPERLINK("https://klasma.github.io/Logging_0117/klagomålsmail/A 43308-2024 FSC-klagomål mail.docx", "A 43308-2024")</f>
        <v/>
      </c>
      <c r="X15">
        <f>HYPERLINK("https://klasma.github.io/Logging_0117/tillsyn/A 43308-2024 tillsynsbegäran.docx", "A 43308-2024")</f>
        <v/>
      </c>
      <c r="Y15">
        <f>HYPERLINK("https://klasma.github.io/Logging_0117/tillsynsmail/A 43308-2024 tillsynsbegäran mail.docx", "A 43308-2024")</f>
        <v/>
      </c>
    </row>
    <row r="16" ht="15" customHeight="1">
      <c r="A16" t="inlineStr">
        <is>
          <t>A 62578-2025</t>
        </is>
      </c>
      <c r="B16" s="1" t="n">
        <v>46007</v>
      </c>
      <c r="C16" s="1" t="n">
        <v>46051</v>
      </c>
      <c r="D16" t="inlineStr">
        <is>
          <t>STOCKHOLMS LÄN</t>
        </is>
      </c>
      <c r="E16" t="inlineStr">
        <is>
          <t>ÖSTERÅKER</t>
        </is>
      </c>
      <c r="G16" t="n">
        <v>3.4</v>
      </c>
      <c r="H16" t="n">
        <v>0</v>
      </c>
      <c r="I16" t="n">
        <v>2</v>
      </c>
      <c r="J16" t="n">
        <v>0</v>
      </c>
      <c r="K16" t="n">
        <v>0</v>
      </c>
      <c r="L16" t="n">
        <v>0</v>
      </c>
      <c r="M16" t="n">
        <v>0</v>
      </c>
      <c r="N16" t="n">
        <v>0</v>
      </c>
      <c r="O16" t="n">
        <v>0</v>
      </c>
      <c r="P16" t="n">
        <v>0</v>
      </c>
      <c r="Q16" t="n">
        <v>2</v>
      </c>
      <c r="R16" s="2" t="inlineStr">
        <is>
          <t>Fällmossa
Mindre märgborre</t>
        </is>
      </c>
      <c r="S16">
        <f>HYPERLINK("https://klasma.github.io/Logging_0117/artfynd/A 62578-2025 artfynd.xlsx", "A 62578-2025")</f>
        <v/>
      </c>
      <c r="T16">
        <f>HYPERLINK("https://klasma.github.io/Logging_0117/kartor/A 62578-2025 karta.png", "A 62578-2025")</f>
        <v/>
      </c>
      <c r="V16">
        <f>HYPERLINK("https://klasma.github.io/Logging_0117/klagomål/A 62578-2025 FSC-klagomål.docx", "A 62578-2025")</f>
        <v/>
      </c>
      <c r="W16">
        <f>HYPERLINK("https://klasma.github.io/Logging_0117/klagomålsmail/A 62578-2025 FSC-klagomål mail.docx", "A 62578-2025")</f>
        <v/>
      </c>
      <c r="X16">
        <f>HYPERLINK("https://klasma.github.io/Logging_0117/tillsyn/A 62578-2025 tillsynsbegäran.docx", "A 62578-2025")</f>
        <v/>
      </c>
      <c r="Y16">
        <f>HYPERLINK("https://klasma.github.io/Logging_0117/tillsynsmail/A 62578-2025 tillsynsbegäran mail.docx", "A 62578-2025")</f>
        <v/>
      </c>
    </row>
    <row r="17" ht="15" customHeight="1">
      <c r="A17" t="inlineStr">
        <is>
          <t>A 54703-2024</t>
        </is>
      </c>
      <c r="B17" s="1" t="n">
        <v>45618</v>
      </c>
      <c r="C17" s="1" t="n">
        <v>46051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61363-2022</t>
        </is>
      </c>
      <c r="B18" s="1" t="n">
        <v>44915</v>
      </c>
      <c r="C18" s="1" t="n">
        <v>46051</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22172-2022</t>
        </is>
      </c>
      <c r="B19" s="1" t="n">
        <v>44712</v>
      </c>
      <c r="C19" s="1" t="n">
        <v>46051</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38968-2025</t>
        </is>
      </c>
      <c r="B20" s="1" t="n">
        <v>45887.70863425926</v>
      </c>
      <c r="C20" s="1" t="n">
        <v>46051</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46051</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46051</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3919-2023</t>
        </is>
      </c>
      <c r="B23" s="1" t="n">
        <v>44952</v>
      </c>
      <c r="C23" s="1" t="n">
        <v>46051</v>
      </c>
      <c r="D23" t="inlineStr">
        <is>
          <t>STOCKHOLMS LÄN</t>
        </is>
      </c>
      <c r="E23" t="inlineStr">
        <is>
          <t>ÖSTERÅKER</t>
        </is>
      </c>
      <c r="F23" t="inlineStr">
        <is>
          <t>Kommuner</t>
        </is>
      </c>
      <c r="G23" t="n">
        <v>4.9</v>
      </c>
      <c r="H23" t="n">
        <v>0</v>
      </c>
      <c r="I23" t="n">
        <v>0</v>
      </c>
      <c r="J23" t="n">
        <v>1</v>
      </c>
      <c r="K23" t="n">
        <v>0</v>
      </c>
      <c r="L23" t="n">
        <v>0</v>
      </c>
      <c r="M23" t="n">
        <v>0</v>
      </c>
      <c r="N23" t="n">
        <v>0</v>
      </c>
      <c r="O23" t="n">
        <v>1</v>
      </c>
      <c r="P23" t="n">
        <v>0</v>
      </c>
      <c r="Q23" t="n">
        <v>1</v>
      </c>
      <c r="R23" s="2" t="inlineStr">
        <is>
          <t>Tallticka</t>
        </is>
      </c>
      <c r="S23">
        <f>HYPERLINK("https://klasma.github.io/Logging_0117/artfynd/A 3919-2023 artfynd.xlsx", "A 3919-2023")</f>
        <v/>
      </c>
      <c r="T23">
        <f>HYPERLINK("https://klasma.github.io/Logging_0117/kartor/A 3919-2023 karta.png", "A 3919-2023")</f>
        <v/>
      </c>
      <c r="V23">
        <f>HYPERLINK("https://klasma.github.io/Logging_0117/klagomål/A 3919-2023 FSC-klagomål.docx", "A 3919-2023")</f>
        <v/>
      </c>
      <c r="W23">
        <f>HYPERLINK("https://klasma.github.io/Logging_0117/klagomålsmail/A 3919-2023 FSC-klagomål mail.docx", "A 3919-2023")</f>
        <v/>
      </c>
      <c r="X23">
        <f>HYPERLINK("https://klasma.github.io/Logging_0117/tillsyn/A 3919-2023 tillsynsbegäran.docx", "A 3919-2023")</f>
        <v/>
      </c>
      <c r="Y23">
        <f>HYPERLINK("https://klasma.github.io/Logging_0117/tillsynsmail/A 3919-2023 tillsynsbegäran mail.docx", "A 3919-2023")</f>
        <v/>
      </c>
    </row>
    <row r="24" ht="15" customHeight="1">
      <c r="A24" t="inlineStr">
        <is>
          <t>A 13942-2021</t>
        </is>
      </c>
      <c r="B24" s="1" t="n">
        <v>44277</v>
      </c>
      <c r="C24" s="1" t="n">
        <v>46051</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3914-2023</t>
        </is>
      </c>
      <c r="B25" s="1" t="n">
        <v>44952.30934027778</v>
      </c>
      <c r="C25" s="1" t="n">
        <v>46051</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46051</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46051</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46051</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46051</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46051</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46051</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46051</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46051</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46051</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46051</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46051</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46051</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46051</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46051</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46051</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46051</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46051</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46051</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46051</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46051</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46051</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46051</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22080-2024</t>
        </is>
      </c>
      <c r="B48" s="1" t="n">
        <v>45443.64962962963</v>
      </c>
      <c r="C48" s="1" t="n">
        <v>46051</v>
      </c>
      <c r="D48" t="inlineStr">
        <is>
          <t>STOCKHOLMS LÄN</t>
        </is>
      </c>
      <c r="E48" t="inlineStr">
        <is>
          <t>ÖSTERÅKER</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46688-2022</t>
        </is>
      </c>
      <c r="B49" s="1" t="n">
        <v>44851</v>
      </c>
      <c r="C49" s="1" t="n">
        <v>46051</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46051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46051</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27137-2025</t>
        </is>
      </c>
      <c r="B52" s="1" t="n">
        <v>45811.95890046296</v>
      </c>
      <c r="C52" s="1" t="n">
        <v>46051</v>
      </c>
      <c r="D52" t="inlineStr">
        <is>
          <t>STOCKHOLMS LÄN</t>
        </is>
      </c>
      <c r="E52" t="inlineStr">
        <is>
          <t>ÖSTERÅKER</t>
        </is>
      </c>
      <c r="G52" t="n">
        <v>3.8</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46051</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28146-2024</t>
        </is>
      </c>
      <c r="B54" s="1" t="n">
        <v>45476</v>
      </c>
      <c r="C54" s="1" t="n">
        <v>46051</v>
      </c>
      <c r="D54" t="inlineStr">
        <is>
          <t>STOCKHOLMS LÄN</t>
        </is>
      </c>
      <c r="E54" t="inlineStr">
        <is>
          <t>ÖSTERÅKER</t>
        </is>
      </c>
      <c r="F54" t="inlineStr">
        <is>
          <t>Övriga Aktiebolag</t>
        </is>
      </c>
      <c r="G54" t="n">
        <v>2.7</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46051</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22528-2024</t>
        </is>
      </c>
      <c r="B56" s="1" t="n">
        <v>45447.44967592593</v>
      </c>
      <c r="C56" s="1" t="n">
        <v>46051</v>
      </c>
      <c r="D56" t="inlineStr">
        <is>
          <t>STOCKHOLMS LÄN</t>
        </is>
      </c>
      <c r="E56" t="inlineStr">
        <is>
          <t>ÖSTERÅKER</t>
        </is>
      </c>
      <c r="F56" t="inlineStr">
        <is>
          <t>Övriga Aktiebolag</t>
        </is>
      </c>
      <c r="G56" t="n">
        <v>1.4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46051</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31456-2025</t>
        </is>
      </c>
      <c r="B58" s="1" t="n">
        <v>45833.5402662037</v>
      </c>
      <c r="C58" s="1" t="n">
        <v>46051</v>
      </c>
      <c r="D58" t="inlineStr">
        <is>
          <t>STOCKHOLMS LÄN</t>
        </is>
      </c>
      <c r="E58" t="inlineStr">
        <is>
          <t>ÖSTERÅKER</t>
        </is>
      </c>
      <c r="G58" t="n">
        <v>4.3</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46051</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46051</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46051</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46051</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46051</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46051</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46051</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17353-2025</t>
        </is>
      </c>
      <c r="B66" s="1" t="n">
        <v>45756</v>
      </c>
      <c r="C66" s="1" t="n">
        <v>46051</v>
      </c>
      <c r="D66" t="inlineStr">
        <is>
          <t>STOCKHOLMS LÄN</t>
        </is>
      </c>
      <c r="E66" t="inlineStr">
        <is>
          <t>ÖSTERÅKER</t>
        </is>
      </c>
      <c r="F66" t="inlineStr">
        <is>
          <t>Övriga Aktiebolag</t>
        </is>
      </c>
      <c r="G66" t="n">
        <v>5.5</v>
      </c>
      <c r="H66" t="n">
        <v>0</v>
      </c>
      <c r="I66" t="n">
        <v>0</v>
      </c>
      <c r="J66" t="n">
        <v>0</v>
      </c>
      <c r="K66" t="n">
        <v>0</v>
      </c>
      <c r="L66" t="n">
        <v>0</v>
      </c>
      <c r="M66" t="n">
        <v>0</v>
      </c>
      <c r="N66" t="n">
        <v>0</v>
      </c>
      <c r="O66" t="n">
        <v>0</v>
      </c>
      <c r="P66" t="n">
        <v>0</v>
      </c>
      <c r="Q66" t="n">
        <v>0</v>
      </c>
      <c r="R66" s="2" t="inlineStr"/>
    </row>
    <row r="67" ht="15" customHeight="1">
      <c r="A67" t="inlineStr">
        <is>
          <t>A 36614-2025</t>
        </is>
      </c>
      <c r="B67" s="1" t="n">
        <v>45870</v>
      </c>
      <c r="C67" s="1" t="n">
        <v>46051</v>
      </c>
      <c r="D67" t="inlineStr">
        <is>
          <t>STOCKHOLMS LÄN</t>
        </is>
      </c>
      <c r="E67" t="inlineStr">
        <is>
          <t>ÖSTERÅKER</t>
        </is>
      </c>
      <c r="G67" t="n">
        <v>1.7</v>
      </c>
      <c r="H67" t="n">
        <v>0</v>
      </c>
      <c r="I67" t="n">
        <v>0</v>
      </c>
      <c r="J67" t="n">
        <v>0</v>
      </c>
      <c r="K67" t="n">
        <v>0</v>
      </c>
      <c r="L67" t="n">
        <v>0</v>
      </c>
      <c r="M67" t="n">
        <v>0</v>
      </c>
      <c r="N67" t="n">
        <v>0</v>
      </c>
      <c r="O67" t="n">
        <v>0</v>
      </c>
      <c r="P67" t="n">
        <v>0</v>
      </c>
      <c r="Q67" t="n">
        <v>0</v>
      </c>
      <c r="R67" s="2" t="inlineStr"/>
    </row>
    <row r="68" ht="15" customHeight="1">
      <c r="A68" t="inlineStr">
        <is>
          <t>A 36612-2025</t>
        </is>
      </c>
      <c r="B68" s="1" t="n">
        <v>45870</v>
      </c>
      <c r="C68" s="1" t="n">
        <v>46051</v>
      </c>
      <c r="D68" t="inlineStr">
        <is>
          <t>STOCKHOLMS LÄN</t>
        </is>
      </c>
      <c r="E68" t="inlineStr">
        <is>
          <t>ÖSTERÅKER</t>
        </is>
      </c>
      <c r="F68" t="inlineStr">
        <is>
          <t>Övriga Aktiebolag</t>
        </is>
      </c>
      <c r="G68" t="n">
        <v>2.1</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46051</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3917-2023</t>
        </is>
      </c>
      <c r="B70" s="1" t="n">
        <v>44952</v>
      </c>
      <c r="C70" s="1" t="n">
        <v>46051</v>
      </c>
      <c r="D70" t="inlineStr">
        <is>
          <t>STOCKHOLMS LÄN</t>
        </is>
      </c>
      <c r="E70" t="inlineStr">
        <is>
          <t>ÖSTERÅKER</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52220-2025</t>
        </is>
      </c>
      <c r="B71" s="1" t="n">
        <v>45953</v>
      </c>
      <c r="C71" s="1" t="n">
        <v>46051</v>
      </c>
      <c r="D71" t="inlineStr">
        <is>
          <t>STOCKHOLMS LÄN</t>
        </is>
      </c>
      <c r="E71" t="inlineStr">
        <is>
          <t>ÖSTERÅKER</t>
        </is>
      </c>
      <c r="G71" t="n">
        <v>0.8</v>
      </c>
      <c r="H71" t="n">
        <v>0</v>
      </c>
      <c r="I71" t="n">
        <v>0</v>
      </c>
      <c r="J71" t="n">
        <v>0</v>
      </c>
      <c r="K71" t="n">
        <v>0</v>
      </c>
      <c r="L71" t="n">
        <v>0</v>
      </c>
      <c r="M71" t="n">
        <v>0</v>
      </c>
      <c r="N71" t="n">
        <v>0</v>
      </c>
      <c r="O71" t="n">
        <v>0</v>
      </c>
      <c r="P71" t="n">
        <v>0</v>
      </c>
      <c r="Q71" t="n">
        <v>0</v>
      </c>
      <c r="R71" s="2" t="inlineStr"/>
    </row>
    <row r="72" ht="15" customHeight="1">
      <c r="A72" t="inlineStr">
        <is>
          <t>A 544-2023</t>
        </is>
      </c>
      <c r="B72" s="1" t="n">
        <v>44924</v>
      </c>
      <c r="C72" s="1" t="n">
        <v>46051</v>
      </c>
      <c r="D72" t="inlineStr">
        <is>
          <t>STOCKHOLMS LÄN</t>
        </is>
      </c>
      <c r="E72" t="inlineStr">
        <is>
          <t>ÖSTERÅKER</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470-2022</t>
        </is>
      </c>
      <c r="B73" s="1" t="n">
        <v>44565</v>
      </c>
      <c r="C73" s="1" t="n">
        <v>46051</v>
      </c>
      <c r="D73" t="inlineStr">
        <is>
          <t>STOCKHOLMS LÄN</t>
        </is>
      </c>
      <c r="E73" t="inlineStr">
        <is>
          <t>ÖSTERÅKER</t>
        </is>
      </c>
      <c r="F73" t="inlineStr">
        <is>
          <t>Övriga Aktiebolag</t>
        </is>
      </c>
      <c r="G73" t="n">
        <v>4.6</v>
      </c>
      <c r="H73" t="n">
        <v>0</v>
      </c>
      <c r="I73" t="n">
        <v>0</v>
      </c>
      <c r="J73" t="n">
        <v>0</v>
      </c>
      <c r="K73" t="n">
        <v>0</v>
      </c>
      <c r="L73" t="n">
        <v>0</v>
      </c>
      <c r="M73" t="n">
        <v>0</v>
      </c>
      <c r="N73" t="n">
        <v>0</v>
      </c>
      <c r="O73" t="n">
        <v>0</v>
      </c>
      <c r="P73" t="n">
        <v>0</v>
      </c>
      <c r="Q73" t="n">
        <v>0</v>
      </c>
      <c r="R73" s="2" t="inlineStr"/>
    </row>
    <row r="74" ht="15" customHeight="1">
      <c r="A74" t="inlineStr">
        <is>
          <t>A 31575-2022</t>
        </is>
      </c>
      <c r="B74" s="1" t="n">
        <v>44775.45063657407</v>
      </c>
      <c r="C74" s="1" t="n">
        <v>46051</v>
      </c>
      <c r="D74" t="inlineStr">
        <is>
          <t>STOCKHOLMS LÄN</t>
        </is>
      </c>
      <c r="E74" t="inlineStr">
        <is>
          <t>ÖSTERÅKER</t>
        </is>
      </c>
      <c r="G74" t="n">
        <v>5</v>
      </c>
      <c r="H74" t="n">
        <v>0</v>
      </c>
      <c r="I74" t="n">
        <v>0</v>
      </c>
      <c r="J74" t="n">
        <v>0</v>
      </c>
      <c r="K74" t="n">
        <v>0</v>
      </c>
      <c r="L74" t="n">
        <v>0</v>
      </c>
      <c r="M74" t="n">
        <v>0</v>
      </c>
      <c r="N74" t="n">
        <v>0</v>
      </c>
      <c r="O74" t="n">
        <v>0</v>
      </c>
      <c r="P74" t="n">
        <v>0</v>
      </c>
      <c r="Q74" t="n">
        <v>0</v>
      </c>
      <c r="R74" s="2" t="inlineStr"/>
    </row>
    <row r="75" ht="15" customHeight="1">
      <c r="A75" t="inlineStr">
        <is>
          <t>A 60482-2025</t>
        </is>
      </c>
      <c r="B75" s="1" t="n">
        <v>45995.59832175926</v>
      </c>
      <c r="C75" s="1" t="n">
        <v>46051</v>
      </c>
      <c r="D75" t="inlineStr">
        <is>
          <t>STOCKHOLMS LÄN</t>
        </is>
      </c>
      <c r="E75" t="inlineStr">
        <is>
          <t>ÖSTERÅKER</t>
        </is>
      </c>
      <c r="G75" t="n">
        <v>1.4</v>
      </c>
      <c r="H75" t="n">
        <v>0</v>
      </c>
      <c r="I75" t="n">
        <v>0</v>
      </c>
      <c r="J75" t="n">
        <v>0</v>
      </c>
      <c r="K75" t="n">
        <v>0</v>
      </c>
      <c r="L75" t="n">
        <v>0</v>
      </c>
      <c r="M75" t="n">
        <v>0</v>
      </c>
      <c r="N75" t="n">
        <v>0</v>
      </c>
      <c r="O75" t="n">
        <v>0</v>
      </c>
      <c r="P75" t="n">
        <v>0</v>
      </c>
      <c r="Q75" t="n">
        <v>0</v>
      </c>
      <c r="R75" s="2" t="inlineStr"/>
    </row>
    <row r="76" ht="15" customHeight="1">
      <c r="A76" t="inlineStr">
        <is>
          <t>A 62831-2025</t>
        </is>
      </c>
      <c r="B76" s="1" t="n">
        <v>46008</v>
      </c>
      <c r="C76" s="1" t="n">
        <v>46051</v>
      </c>
      <c r="D76" t="inlineStr">
        <is>
          <t>STOCKHOLMS LÄN</t>
        </is>
      </c>
      <c r="E76" t="inlineStr">
        <is>
          <t>ÖSTERÅKER</t>
        </is>
      </c>
      <c r="G76" t="n">
        <v>1.6</v>
      </c>
      <c r="H76" t="n">
        <v>0</v>
      </c>
      <c r="I76" t="n">
        <v>0</v>
      </c>
      <c r="J76" t="n">
        <v>0</v>
      </c>
      <c r="K76" t="n">
        <v>0</v>
      </c>
      <c r="L76" t="n">
        <v>0</v>
      </c>
      <c r="M76" t="n">
        <v>0</v>
      </c>
      <c r="N76" t="n">
        <v>0</v>
      </c>
      <c r="O76" t="n">
        <v>0</v>
      </c>
      <c r="P76" t="n">
        <v>0</v>
      </c>
      <c r="Q76" t="n">
        <v>0</v>
      </c>
      <c r="R76" s="2" t="inlineStr"/>
    </row>
    <row r="77" ht="15" customHeight="1">
      <c r="A77" t="inlineStr">
        <is>
          <t>A 33158-2024</t>
        </is>
      </c>
      <c r="B77" s="1" t="n">
        <v>45518</v>
      </c>
      <c r="C77" s="1" t="n">
        <v>46051</v>
      </c>
      <c r="D77" t="inlineStr">
        <is>
          <t>STOCKHOLMS LÄN</t>
        </is>
      </c>
      <c r="E77" t="inlineStr">
        <is>
          <t>ÖSTERÅKER</t>
        </is>
      </c>
      <c r="G77" t="n">
        <v>1.6</v>
      </c>
      <c r="H77" t="n">
        <v>0</v>
      </c>
      <c r="I77" t="n">
        <v>0</v>
      </c>
      <c r="J77" t="n">
        <v>0</v>
      </c>
      <c r="K77" t="n">
        <v>0</v>
      </c>
      <c r="L77" t="n">
        <v>0</v>
      </c>
      <c r="M77" t="n">
        <v>0</v>
      </c>
      <c r="N77" t="n">
        <v>0</v>
      </c>
      <c r="O77" t="n">
        <v>0</v>
      </c>
      <c r="P77" t="n">
        <v>0</v>
      </c>
      <c r="Q77" t="n">
        <v>0</v>
      </c>
      <c r="R77" s="2" t="inlineStr"/>
    </row>
    <row r="78" ht="15" customHeight="1">
      <c r="A78" t="inlineStr">
        <is>
          <t>A 61781-2025</t>
        </is>
      </c>
      <c r="B78" s="1" t="n">
        <v>46002</v>
      </c>
      <c r="C78" s="1" t="n">
        <v>46051</v>
      </c>
      <c r="D78" t="inlineStr">
        <is>
          <t>STOCKHOLMS LÄN</t>
        </is>
      </c>
      <c r="E78" t="inlineStr">
        <is>
          <t>ÖSTERÅKER</t>
        </is>
      </c>
      <c r="G78" t="n">
        <v>4.9</v>
      </c>
      <c r="H78" t="n">
        <v>0</v>
      </c>
      <c r="I78" t="n">
        <v>0</v>
      </c>
      <c r="J78" t="n">
        <v>0</v>
      </c>
      <c r="K78" t="n">
        <v>0</v>
      </c>
      <c r="L78" t="n">
        <v>0</v>
      </c>
      <c r="M78" t="n">
        <v>0</v>
      </c>
      <c r="N78" t="n">
        <v>0</v>
      </c>
      <c r="O78" t="n">
        <v>0</v>
      </c>
      <c r="P78" t="n">
        <v>0</v>
      </c>
      <c r="Q78" t="n">
        <v>0</v>
      </c>
      <c r="R78" s="2" t="inlineStr"/>
    </row>
    <row r="79" ht="15" customHeight="1">
      <c r="A79" t="inlineStr">
        <is>
          <t>A 13366-2024</t>
        </is>
      </c>
      <c r="B79" s="1" t="n">
        <v>45387</v>
      </c>
      <c r="C79" s="1" t="n">
        <v>46051</v>
      </c>
      <c r="D79" t="inlineStr">
        <is>
          <t>STOCKHOLMS LÄN</t>
        </is>
      </c>
      <c r="E79" t="inlineStr">
        <is>
          <t>ÖSTERÅKER</t>
        </is>
      </c>
      <c r="G79" t="n">
        <v>13.7</v>
      </c>
      <c r="H79" t="n">
        <v>0</v>
      </c>
      <c r="I79" t="n">
        <v>0</v>
      </c>
      <c r="J79" t="n">
        <v>0</v>
      </c>
      <c r="K79" t="n">
        <v>0</v>
      </c>
      <c r="L79" t="n">
        <v>0</v>
      </c>
      <c r="M79" t="n">
        <v>0</v>
      </c>
      <c r="N79" t="n">
        <v>0</v>
      </c>
      <c r="O79" t="n">
        <v>0</v>
      </c>
      <c r="P79" t="n">
        <v>0</v>
      </c>
      <c r="Q79" t="n">
        <v>0</v>
      </c>
      <c r="R79" s="2" t="inlineStr"/>
    </row>
    <row r="80" ht="15" customHeight="1">
      <c r="A80" t="inlineStr">
        <is>
          <t>A 61360-2022</t>
        </is>
      </c>
      <c r="B80" s="1" t="n">
        <v>44915</v>
      </c>
      <c r="C80" s="1" t="n">
        <v>46051</v>
      </c>
      <c r="D80" t="inlineStr">
        <is>
          <t>STOCKHOLMS LÄN</t>
        </is>
      </c>
      <c r="E80" t="inlineStr">
        <is>
          <t>ÖSTERÅKER</t>
        </is>
      </c>
      <c r="G80" t="n">
        <v>2.3</v>
      </c>
      <c r="H80" t="n">
        <v>0</v>
      </c>
      <c r="I80" t="n">
        <v>0</v>
      </c>
      <c r="J80" t="n">
        <v>0</v>
      </c>
      <c r="K80" t="n">
        <v>0</v>
      </c>
      <c r="L80" t="n">
        <v>0</v>
      </c>
      <c r="M80" t="n">
        <v>0</v>
      </c>
      <c r="N80" t="n">
        <v>0</v>
      </c>
      <c r="O80" t="n">
        <v>0</v>
      </c>
      <c r="P80" t="n">
        <v>0</v>
      </c>
      <c r="Q80" t="n">
        <v>0</v>
      </c>
      <c r="R80" s="2" t="inlineStr"/>
    </row>
    <row r="81" ht="15" customHeight="1">
      <c r="A81" t="inlineStr">
        <is>
          <t>A 62839-2025</t>
        </is>
      </c>
      <c r="B81" s="1" t="n">
        <v>46008</v>
      </c>
      <c r="C81" s="1" t="n">
        <v>46051</v>
      </c>
      <c r="D81" t="inlineStr">
        <is>
          <t>STOCKHOLMS LÄN</t>
        </is>
      </c>
      <c r="E81" t="inlineStr">
        <is>
          <t>ÖSTERÅKER</t>
        </is>
      </c>
      <c r="G81" t="n">
        <v>1.4</v>
      </c>
      <c r="H81" t="n">
        <v>0</v>
      </c>
      <c r="I81" t="n">
        <v>0</v>
      </c>
      <c r="J81" t="n">
        <v>0</v>
      </c>
      <c r="K81" t="n">
        <v>0</v>
      </c>
      <c r="L81" t="n">
        <v>0</v>
      </c>
      <c r="M81" t="n">
        <v>0</v>
      </c>
      <c r="N81" t="n">
        <v>0</v>
      </c>
      <c r="O81" t="n">
        <v>0</v>
      </c>
      <c r="P81" t="n">
        <v>0</v>
      </c>
      <c r="Q81" t="n">
        <v>0</v>
      </c>
      <c r="R81" s="2" t="inlineStr"/>
    </row>
    <row r="82" ht="15" customHeight="1">
      <c r="A82" t="inlineStr">
        <is>
          <t>A 62108-2022</t>
        </is>
      </c>
      <c r="B82" s="1" t="n">
        <v>44920</v>
      </c>
      <c r="C82" s="1" t="n">
        <v>46051</v>
      </c>
      <c r="D82" t="inlineStr">
        <is>
          <t>STOCKHOLMS LÄN</t>
        </is>
      </c>
      <c r="E82" t="inlineStr">
        <is>
          <t>ÖSTERÅKER</t>
        </is>
      </c>
      <c r="G82" t="n">
        <v>1.5</v>
      </c>
      <c r="H82" t="n">
        <v>0</v>
      </c>
      <c r="I82" t="n">
        <v>0</v>
      </c>
      <c r="J82" t="n">
        <v>0</v>
      </c>
      <c r="K82" t="n">
        <v>0</v>
      </c>
      <c r="L82" t="n">
        <v>0</v>
      </c>
      <c r="M82" t="n">
        <v>0</v>
      </c>
      <c r="N82" t="n">
        <v>0</v>
      </c>
      <c r="O82" t="n">
        <v>0</v>
      </c>
      <c r="P82" t="n">
        <v>0</v>
      </c>
      <c r="Q82" t="n">
        <v>0</v>
      </c>
      <c r="R82" s="2" t="inlineStr"/>
    </row>
    <row r="83" ht="15" customHeight="1">
      <c r="A83" t="inlineStr">
        <is>
          <t>A 5038-2026</t>
        </is>
      </c>
      <c r="B83" s="1" t="n">
        <v>46049.46427083333</v>
      </c>
      <c r="C83" s="1" t="n">
        <v>46051</v>
      </c>
      <c r="D83" t="inlineStr">
        <is>
          <t>STOCKHOLMS LÄN</t>
        </is>
      </c>
      <c r="E83" t="inlineStr">
        <is>
          <t>ÖSTERÅKER</t>
        </is>
      </c>
      <c r="G83" t="n">
        <v>2.1</v>
      </c>
      <c r="H83" t="n">
        <v>0</v>
      </c>
      <c r="I83" t="n">
        <v>0</v>
      </c>
      <c r="J83" t="n">
        <v>0</v>
      </c>
      <c r="K83" t="n">
        <v>0</v>
      </c>
      <c r="L83" t="n">
        <v>0</v>
      </c>
      <c r="M83" t="n">
        <v>0</v>
      </c>
      <c r="N83" t="n">
        <v>0</v>
      </c>
      <c r="O83" t="n">
        <v>0</v>
      </c>
      <c r="P83" t="n">
        <v>0</v>
      </c>
      <c r="Q83" t="n">
        <v>0</v>
      </c>
      <c r="R83" s="2" t="inlineStr"/>
    </row>
    <row r="84" ht="15" customHeight="1">
      <c r="A84" t="inlineStr">
        <is>
          <t>A 6655-2023</t>
        </is>
      </c>
      <c r="B84" s="1" t="n">
        <v>44966.60668981481</v>
      </c>
      <c r="C84" s="1" t="n">
        <v>46051</v>
      </c>
      <c r="D84" t="inlineStr">
        <is>
          <t>STOCKHOLMS LÄN</t>
        </is>
      </c>
      <c r="E84" t="inlineStr">
        <is>
          <t>ÖSTERÅKER</t>
        </is>
      </c>
      <c r="G84" t="n">
        <v>0.8</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46051</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57048-2024</t>
        </is>
      </c>
      <c r="B86" s="1" t="n">
        <v>45629.33938657407</v>
      </c>
      <c r="C86" s="1" t="n">
        <v>46051</v>
      </c>
      <c r="D86" t="inlineStr">
        <is>
          <t>STOCKHOLMS LÄN</t>
        </is>
      </c>
      <c r="E86" t="inlineStr">
        <is>
          <t>ÖSTERÅKER</t>
        </is>
      </c>
      <c r="G86" t="n">
        <v>3</v>
      </c>
      <c r="H86" t="n">
        <v>0</v>
      </c>
      <c r="I86" t="n">
        <v>0</v>
      </c>
      <c r="J86" t="n">
        <v>0</v>
      </c>
      <c r="K86" t="n">
        <v>0</v>
      </c>
      <c r="L86" t="n">
        <v>0</v>
      </c>
      <c r="M86" t="n">
        <v>0</v>
      </c>
      <c r="N86" t="n">
        <v>0</v>
      </c>
      <c r="O86" t="n">
        <v>0</v>
      </c>
      <c r="P86" t="n">
        <v>0</v>
      </c>
      <c r="Q86" t="n">
        <v>0</v>
      </c>
      <c r="R86" s="2" t="inlineStr"/>
    </row>
    <row r="87" ht="15" customHeight="1">
      <c r="A87" t="inlineStr">
        <is>
          <t>A 57055-2024</t>
        </is>
      </c>
      <c r="B87" s="1" t="n">
        <v>45629.34627314815</v>
      </c>
      <c r="C87" s="1" t="n">
        <v>46051</v>
      </c>
      <c r="D87" t="inlineStr">
        <is>
          <t>STOCKHOLMS LÄN</t>
        </is>
      </c>
      <c r="E87" t="inlineStr">
        <is>
          <t>ÖSTERÅKER</t>
        </is>
      </c>
      <c r="G87" t="n">
        <v>0.5</v>
      </c>
      <c r="H87" t="n">
        <v>0</v>
      </c>
      <c r="I87" t="n">
        <v>0</v>
      </c>
      <c r="J87" t="n">
        <v>0</v>
      </c>
      <c r="K87" t="n">
        <v>0</v>
      </c>
      <c r="L87" t="n">
        <v>0</v>
      </c>
      <c r="M87" t="n">
        <v>0</v>
      </c>
      <c r="N87" t="n">
        <v>0</v>
      </c>
      <c r="O87" t="n">
        <v>0</v>
      </c>
      <c r="P87" t="n">
        <v>0</v>
      </c>
      <c r="Q87" t="n">
        <v>0</v>
      </c>
      <c r="R87" s="2" t="inlineStr"/>
    </row>
    <row r="88" ht="15" customHeight="1">
      <c r="A88" t="inlineStr">
        <is>
          <t>A 23144-2024</t>
        </is>
      </c>
      <c r="B88" s="1" t="n">
        <v>45450.63202546296</v>
      </c>
      <c r="C88" s="1" t="n">
        <v>46051</v>
      </c>
      <c r="D88" t="inlineStr">
        <is>
          <t>STOCKHOLMS LÄN</t>
        </is>
      </c>
      <c r="E88" t="inlineStr">
        <is>
          <t>ÖSTERÅKER</t>
        </is>
      </c>
      <c r="F88" t="inlineStr">
        <is>
          <t>Övriga Aktiebolag</t>
        </is>
      </c>
      <c r="G88" t="n">
        <v>4.7</v>
      </c>
      <c r="H88" t="n">
        <v>0</v>
      </c>
      <c r="I88" t="n">
        <v>0</v>
      </c>
      <c r="J88" t="n">
        <v>0</v>
      </c>
      <c r="K88" t="n">
        <v>0</v>
      </c>
      <c r="L88" t="n">
        <v>0</v>
      </c>
      <c r="M88" t="n">
        <v>0</v>
      </c>
      <c r="N88" t="n">
        <v>0</v>
      </c>
      <c r="O88" t="n">
        <v>0</v>
      </c>
      <c r="P88" t="n">
        <v>0</v>
      </c>
      <c r="Q88" t="n">
        <v>0</v>
      </c>
      <c r="R88" s="2" t="inlineStr"/>
    </row>
    <row r="89" ht="15" customHeight="1">
      <c r="A89" t="inlineStr">
        <is>
          <t>A 3326-2022</t>
        </is>
      </c>
      <c r="B89" s="1" t="n">
        <v>44583</v>
      </c>
      <c r="C89" s="1" t="n">
        <v>46051</v>
      </c>
      <c r="D89" t="inlineStr">
        <is>
          <t>STOCKHOLMS LÄN</t>
        </is>
      </c>
      <c r="E89" t="inlineStr">
        <is>
          <t>ÖSTERÅKER</t>
        </is>
      </c>
      <c r="F89" t="inlineStr">
        <is>
          <t>Övriga Aktiebolag</t>
        </is>
      </c>
      <c r="G89" t="n">
        <v>2.7</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46051</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46051</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16738-2022</t>
        </is>
      </c>
      <c r="B92" s="1" t="n">
        <v>44673</v>
      </c>
      <c r="C92" s="1" t="n">
        <v>46051</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59379-2022</t>
        </is>
      </c>
      <c r="B93" s="1" t="n">
        <v>44905</v>
      </c>
      <c r="C93" s="1" t="n">
        <v>46051</v>
      </c>
      <c r="D93" t="inlineStr">
        <is>
          <t>STOCKHOLMS LÄN</t>
        </is>
      </c>
      <c r="E93" t="inlineStr">
        <is>
          <t>ÖSTERÅKER</t>
        </is>
      </c>
      <c r="F93" t="inlineStr">
        <is>
          <t>Kommuner</t>
        </is>
      </c>
      <c r="G93" t="n">
        <v>4.7</v>
      </c>
      <c r="H93" t="n">
        <v>0</v>
      </c>
      <c r="I93" t="n">
        <v>0</v>
      </c>
      <c r="J93" t="n">
        <v>0</v>
      </c>
      <c r="K93" t="n">
        <v>0</v>
      </c>
      <c r="L93" t="n">
        <v>0</v>
      </c>
      <c r="M93" t="n">
        <v>0</v>
      </c>
      <c r="N93" t="n">
        <v>0</v>
      </c>
      <c r="O93" t="n">
        <v>0</v>
      </c>
      <c r="P93" t="n">
        <v>0</v>
      </c>
      <c r="Q93" t="n">
        <v>0</v>
      </c>
      <c r="R93" s="2" t="inlineStr"/>
    </row>
    <row r="94" ht="15" customHeight="1">
      <c r="A94" t="inlineStr">
        <is>
          <t>A 10185-2025</t>
        </is>
      </c>
      <c r="B94" s="1" t="n">
        <v>45719</v>
      </c>
      <c r="C94" s="1" t="n">
        <v>46051</v>
      </c>
      <c r="D94" t="inlineStr">
        <is>
          <t>STOCKHOLMS LÄN</t>
        </is>
      </c>
      <c r="E94" t="inlineStr">
        <is>
          <t>ÖSTERÅKER</t>
        </is>
      </c>
      <c r="G94" t="n">
        <v>4.1</v>
      </c>
      <c r="H94" t="n">
        <v>0</v>
      </c>
      <c r="I94" t="n">
        <v>0</v>
      </c>
      <c r="J94" t="n">
        <v>0</v>
      </c>
      <c r="K94" t="n">
        <v>0</v>
      </c>
      <c r="L94" t="n">
        <v>0</v>
      </c>
      <c r="M94" t="n">
        <v>0</v>
      </c>
      <c r="N94" t="n">
        <v>0</v>
      </c>
      <c r="O94" t="n">
        <v>0</v>
      </c>
      <c r="P94" t="n">
        <v>0</v>
      </c>
      <c r="Q94" t="n">
        <v>0</v>
      </c>
      <c r="R94" s="2" t="inlineStr"/>
    </row>
    <row r="95" ht="15" customHeight="1">
      <c r="A95" t="inlineStr">
        <is>
          <t>A 16728-2022</t>
        </is>
      </c>
      <c r="B95" s="1" t="n">
        <v>44673</v>
      </c>
      <c r="C95" s="1" t="n">
        <v>46051</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14776-2024</t>
        </is>
      </c>
      <c r="B96" s="1" t="n">
        <v>45397</v>
      </c>
      <c r="C96" s="1" t="n">
        <v>46051</v>
      </c>
      <c r="D96" t="inlineStr">
        <is>
          <t>STOCKHOLMS LÄN</t>
        </is>
      </c>
      <c r="E96" t="inlineStr">
        <is>
          <t>ÖSTERÅKER</t>
        </is>
      </c>
      <c r="G96" t="n">
        <v>13.6</v>
      </c>
      <c r="H96" t="n">
        <v>0</v>
      </c>
      <c r="I96" t="n">
        <v>0</v>
      </c>
      <c r="J96" t="n">
        <v>0</v>
      </c>
      <c r="K96" t="n">
        <v>0</v>
      </c>
      <c r="L96" t="n">
        <v>0</v>
      </c>
      <c r="M96" t="n">
        <v>0</v>
      </c>
      <c r="N96" t="n">
        <v>0</v>
      </c>
      <c r="O96" t="n">
        <v>0</v>
      </c>
      <c r="P96" t="n">
        <v>0</v>
      </c>
      <c r="Q96" t="n">
        <v>0</v>
      </c>
      <c r="R96" s="2" t="inlineStr"/>
    </row>
    <row r="97" ht="15" customHeight="1">
      <c r="A97" t="inlineStr">
        <is>
          <t>A 61370-2022</t>
        </is>
      </c>
      <c r="B97" s="1" t="n">
        <v>44915</v>
      </c>
      <c r="C97" s="1" t="n">
        <v>46051</v>
      </c>
      <c r="D97" t="inlineStr">
        <is>
          <t>STOCKHOLMS LÄN</t>
        </is>
      </c>
      <c r="E97" t="inlineStr">
        <is>
          <t>ÖSTERÅKER</t>
        </is>
      </c>
      <c r="G97" t="n">
        <v>3.2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46051</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3828-2023</t>
        </is>
      </c>
      <c r="B99" s="1" t="n">
        <v>44951</v>
      </c>
      <c r="C99" s="1" t="n">
        <v>46051</v>
      </c>
      <c r="D99" t="inlineStr">
        <is>
          <t>STOCKHOLMS LÄN</t>
        </is>
      </c>
      <c r="E99" t="inlineStr">
        <is>
          <t>ÖSTERÅKER</t>
        </is>
      </c>
      <c r="F99" t="inlineStr">
        <is>
          <t>Kommuner</t>
        </is>
      </c>
      <c r="G99" t="n">
        <v>3.2</v>
      </c>
      <c r="H99" t="n">
        <v>0</v>
      </c>
      <c r="I99" t="n">
        <v>0</v>
      </c>
      <c r="J99" t="n">
        <v>0</v>
      </c>
      <c r="K99" t="n">
        <v>0</v>
      </c>
      <c r="L99" t="n">
        <v>0</v>
      </c>
      <c r="M99" t="n">
        <v>0</v>
      </c>
      <c r="N99" t="n">
        <v>0</v>
      </c>
      <c r="O99" t="n">
        <v>0</v>
      </c>
      <c r="P99" t="n">
        <v>0</v>
      </c>
      <c r="Q99" t="n">
        <v>0</v>
      </c>
      <c r="R99" s="2" t="inlineStr"/>
    </row>
    <row r="100" ht="15" customHeight="1">
      <c r="A100" t="inlineStr">
        <is>
          <t>A 24499-2023</t>
        </is>
      </c>
      <c r="B100" s="1" t="n">
        <v>45082</v>
      </c>
      <c r="C100" s="1" t="n">
        <v>46051</v>
      </c>
      <c r="D100" t="inlineStr">
        <is>
          <t>STOCKHOLMS LÄN</t>
        </is>
      </c>
      <c r="E100" t="inlineStr">
        <is>
          <t>ÖSTERÅKER</t>
        </is>
      </c>
      <c r="G100" t="n">
        <v>0.1</v>
      </c>
      <c r="H100" t="n">
        <v>0</v>
      </c>
      <c r="I100" t="n">
        <v>0</v>
      </c>
      <c r="J100" t="n">
        <v>0</v>
      </c>
      <c r="K100" t="n">
        <v>0</v>
      </c>
      <c r="L100" t="n">
        <v>0</v>
      </c>
      <c r="M100" t="n">
        <v>0</v>
      </c>
      <c r="N100" t="n">
        <v>0</v>
      </c>
      <c r="O100" t="n">
        <v>0</v>
      </c>
      <c r="P100" t="n">
        <v>0</v>
      </c>
      <c r="Q100" t="n">
        <v>0</v>
      </c>
      <c r="R100" s="2" t="inlineStr"/>
    </row>
    <row r="101" ht="15" customHeight="1">
      <c r="A101" t="inlineStr">
        <is>
          <t>A 17196-2022</t>
        </is>
      </c>
      <c r="B101" s="1" t="n">
        <v>44677</v>
      </c>
      <c r="C101" s="1" t="n">
        <v>46051</v>
      </c>
      <c r="D101" t="inlineStr">
        <is>
          <t>STOCKHOLMS LÄN</t>
        </is>
      </c>
      <c r="E101" t="inlineStr">
        <is>
          <t>ÖSTERÅKER</t>
        </is>
      </c>
      <c r="G101" t="n">
        <v>5.9</v>
      </c>
      <c r="H101" t="n">
        <v>0</v>
      </c>
      <c r="I101" t="n">
        <v>0</v>
      </c>
      <c r="J101" t="n">
        <v>0</v>
      </c>
      <c r="K101" t="n">
        <v>0</v>
      </c>
      <c r="L101" t="n">
        <v>0</v>
      </c>
      <c r="M101" t="n">
        <v>0</v>
      </c>
      <c r="N101" t="n">
        <v>0</v>
      </c>
      <c r="O101" t="n">
        <v>0</v>
      </c>
      <c r="P101" t="n">
        <v>0</v>
      </c>
      <c r="Q101" t="n">
        <v>0</v>
      </c>
      <c r="R101" s="2" t="inlineStr"/>
    </row>
    <row r="102" ht="15" customHeight="1">
      <c r="A102" t="inlineStr">
        <is>
          <t>A 1603-2023</t>
        </is>
      </c>
      <c r="B102" s="1" t="n">
        <v>44937.68086805556</v>
      </c>
      <c r="C102" s="1" t="n">
        <v>46051</v>
      </c>
      <c r="D102" t="inlineStr">
        <is>
          <t>STOCKHOLMS LÄN</t>
        </is>
      </c>
      <c r="E102" t="inlineStr">
        <is>
          <t>ÖSTERÅKER</t>
        </is>
      </c>
      <c r="G102" t="n">
        <v>1.7</v>
      </c>
      <c r="H102" t="n">
        <v>0</v>
      </c>
      <c r="I102" t="n">
        <v>0</v>
      </c>
      <c r="J102" t="n">
        <v>0</v>
      </c>
      <c r="K102" t="n">
        <v>0</v>
      </c>
      <c r="L102" t="n">
        <v>0</v>
      </c>
      <c r="M102" t="n">
        <v>0</v>
      </c>
      <c r="N102" t="n">
        <v>0</v>
      </c>
      <c r="O102" t="n">
        <v>0</v>
      </c>
      <c r="P102" t="n">
        <v>0</v>
      </c>
      <c r="Q102" t="n">
        <v>0</v>
      </c>
      <c r="R102" s="2" t="inlineStr"/>
    </row>
    <row r="103" ht="15" customHeight="1">
      <c r="A103" t="inlineStr">
        <is>
          <t>A 1605-2023</t>
        </is>
      </c>
      <c r="B103" s="1" t="n">
        <v>44937.68299768519</v>
      </c>
      <c r="C103" s="1" t="n">
        <v>46051</v>
      </c>
      <c r="D103" t="inlineStr">
        <is>
          <t>STOCKHOLMS LÄN</t>
        </is>
      </c>
      <c r="E103" t="inlineStr">
        <is>
          <t>ÖSTERÅKER</t>
        </is>
      </c>
      <c r="G103" t="n">
        <v>2.9</v>
      </c>
      <c r="H103" t="n">
        <v>0</v>
      </c>
      <c r="I103" t="n">
        <v>0</v>
      </c>
      <c r="J103" t="n">
        <v>0</v>
      </c>
      <c r="K103" t="n">
        <v>0</v>
      </c>
      <c r="L103" t="n">
        <v>0</v>
      </c>
      <c r="M103" t="n">
        <v>0</v>
      </c>
      <c r="N103" t="n">
        <v>0</v>
      </c>
      <c r="O103" t="n">
        <v>0</v>
      </c>
      <c r="P103" t="n">
        <v>0</v>
      </c>
      <c r="Q103" t="n">
        <v>0</v>
      </c>
      <c r="R103" s="2" t="inlineStr"/>
    </row>
    <row r="104" ht="15" customHeight="1">
      <c r="A104" t="inlineStr">
        <is>
          <t>A 67265-2021</t>
        </is>
      </c>
      <c r="B104" s="1" t="n">
        <v>44523.59277777778</v>
      </c>
      <c r="C104" s="1" t="n">
        <v>46051</v>
      </c>
      <c r="D104" t="inlineStr">
        <is>
          <t>STOCKHOLMS LÄN</t>
        </is>
      </c>
      <c r="E104" t="inlineStr">
        <is>
          <t>ÖSTERÅKER</t>
        </is>
      </c>
      <c r="F104" t="inlineStr">
        <is>
          <t>Kommuner</t>
        </is>
      </c>
      <c r="G104" t="n">
        <v>2.6</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46051</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45043.6433912037</v>
      </c>
      <c r="C106" s="1" t="n">
        <v>46051</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1136-2023</t>
        </is>
      </c>
      <c r="B107" s="1" t="n">
        <v>44935</v>
      </c>
      <c r="C107" s="1" t="n">
        <v>46051</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46051</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30949-2024</t>
        </is>
      </c>
      <c r="B109" s="1" t="n">
        <v>45499</v>
      </c>
      <c r="C109" s="1" t="n">
        <v>46051</v>
      </c>
      <c r="D109" t="inlineStr">
        <is>
          <t>STOCKHOLMS LÄN</t>
        </is>
      </c>
      <c r="E109" t="inlineStr">
        <is>
          <t>ÖSTERÅKER</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845-2024</t>
        </is>
      </c>
      <c r="B110" s="1" t="n">
        <v>45300.91423611111</v>
      </c>
      <c r="C110" s="1" t="n">
        <v>46051</v>
      </c>
      <c r="D110" t="inlineStr">
        <is>
          <t>STOCKHOLMS LÄN</t>
        </is>
      </c>
      <c r="E110" t="inlineStr">
        <is>
          <t>ÖSTERÅKER</t>
        </is>
      </c>
      <c r="G110" t="n">
        <v>10.1</v>
      </c>
      <c r="H110" t="n">
        <v>0</v>
      </c>
      <c r="I110" t="n">
        <v>0</v>
      </c>
      <c r="J110" t="n">
        <v>0</v>
      </c>
      <c r="K110" t="n">
        <v>0</v>
      </c>
      <c r="L110" t="n">
        <v>0</v>
      </c>
      <c r="M110" t="n">
        <v>0</v>
      </c>
      <c r="N110" t="n">
        <v>0</v>
      </c>
      <c r="O110" t="n">
        <v>0</v>
      </c>
      <c r="P110" t="n">
        <v>0</v>
      </c>
      <c r="Q110" t="n">
        <v>0</v>
      </c>
      <c r="R110" s="2" t="inlineStr"/>
    </row>
    <row r="111" ht="15" customHeight="1">
      <c r="A111" t="inlineStr">
        <is>
          <t>A 37037-2023</t>
        </is>
      </c>
      <c r="B111" s="1" t="n">
        <v>45155</v>
      </c>
      <c r="C111" s="1" t="n">
        <v>46051</v>
      </c>
      <c r="D111" t="inlineStr">
        <is>
          <t>STOCKHOLMS LÄN</t>
        </is>
      </c>
      <c r="E111" t="inlineStr">
        <is>
          <t>ÖSTERÅKER</t>
        </is>
      </c>
      <c r="G111" t="n">
        <v>2</v>
      </c>
      <c r="H111" t="n">
        <v>0</v>
      </c>
      <c r="I111" t="n">
        <v>0</v>
      </c>
      <c r="J111" t="n">
        <v>0</v>
      </c>
      <c r="K111" t="n">
        <v>0</v>
      </c>
      <c r="L111" t="n">
        <v>0</v>
      </c>
      <c r="M111" t="n">
        <v>0</v>
      </c>
      <c r="N111" t="n">
        <v>0</v>
      </c>
      <c r="O111" t="n">
        <v>0</v>
      </c>
      <c r="P111" t="n">
        <v>0</v>
      </c>
      <c r="Q111" t="n">
        <v>0</v>
      </c>
      <c r="R111" s="2" t="inlineStr"/>
    </row>
    <row r="112" ht="15" customHeight="1">
      <c r="A112" t="inlineStr">
        <is>
          <t>A 19404-2024</t>
        </is>
      </c>
      <c r="B112" s="1" t="n">
        <v>45428</v>
      </c>
      <c r="C112" s="1" t="n">
        <v>46051</v>
      </c>
      <c r="D112" t="inlineStr">
        <is>
          <t>STOCKHOLMS LÄN</t>
        </is>
      </c>
      <c r="E112" t="inlineStr">
        <is>
          <t>ÖSTERÅKER</t>
        </is>
      </c>
      <c r="F112" t="inlineStr">
        <is>
          <t>Övriga Aktiebolag</t>
        </is>
      </c>
      <c r="G112" t="n">
        <v>2.2</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46051</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21786-2025</t>
        </is>
      </c>
      <c r="B114" s="1" t="n">
        <v>45783.67215277778</v>
      </c>
      <c r="C114" s="1" t="n">
        <v>46051</v>
      </c>
      <c r="D114" t="inlineStr">
        <is>
          <t>STOCKHOLMS LÄN</t>
        </is>
      </c>
      <c r="E114" t="inlineStr">
        <is>
          <t>ÖSTERÅKER</t>
        </is>
      </c>
      <c r="G114" t="n">
        <v>3.8</v>
      </c>
      <c r="H114" t="n">
        <v>0</v>
      </c>
      <c r="I114" t="n">
        <v>0</v>
      </c>
      <c r="J114" t="n">
        <v>0</v>
      </c>
      <c r="K114" t="n">
        <v>0</v>
      </c>
      <c r="L114" t="n">
        <v>0</v>
      </c>
      <c r="M114" t="n">
        <v>0</v>
      </c>
      <c r="N114" t="n">
        <v>0</v>
      </c>
      <c r="O114" t="n">
        <v>0</v>
      </c>
      <c r="P114" t="n">
        <v>0</v>
      </c>
      <c r="Q114" t="n">
        <v>0</v>
      </c>
      <c r="R114" s="2" t="inlineStr"/>
    </row>
    <row r="115">
      <c r="A115" t="inlineStr">
        <is>
          <t>A 21796-2025</t>
        </is>
      </c>
      <c r="B115" s="1" t="n">
        <v>45783.68135416666</v>
      </c>
      <c r="C115" s="1" t="n">
        <v>46051</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2026-01-29T11:02:25Z</dcterms:created>
  <dcterms:modified xmlns:dcterms="http://purl.org/dc/terms/" xmlns:xsi="http://www.w3.org/2001/XMLSchema-instance" xsi:type="dcterms:W3CDTF">2026-01-29T11:02:25Z</dcterms:modified>
</cp:coreProperties>
</file>