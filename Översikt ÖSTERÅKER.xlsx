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46276</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46276</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46276</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46276</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46276</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46276</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46276</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46276</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46276</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46276</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46276</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46276</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46276</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t="n">
        <v>3</v>
      </c>
      <c r="V14" s="2" t="inlineStr">
        <is>
          <t>Taggfingersvamp
Fällmossa
Blåsippa</t>
        </is>
      </c>
      <c r="W14">
        <f>HYPERLINK("https://klasma.github.io/Logging_0117/artfynd/A 12620-2022 artfynd.xlsx", "A 12620-2022")</f>
        <v/>
      </c>
      <c r="X14">
        <f>HYPERLINK("https://klasma.github.io/Logging_0117/kartor/A 12620-2022 karta.png", "A 12620-2022")</f>
        <v/>
      </c>
      <c r="Y14">
        <f>HYPERLINK("https://klasma.github.io/Logging_0117/kartor_geotiff/A 12620-2022 georefererad karta.tif", "A 12620-2022")</f>
        <v/>
      </c>
      <c r="AA14">
        <f>HYPERLINK("https://klasma.github.io/Logging_0117/klagomål/A 12620-2022 FSC-klagomål.docx", "A 12620-2022")</f>
        <v/>
      </c>
      <c r="AB14">
        <f>HYPERLINK("https://klasma.github.io/Logging_0117/klagomålsmail/A 12620-2022 FSC-klagomål mail.docx", "A 12620-2022")</f>
        <v/>
      </c>
      <c r="AC14">
        <f>HYPERLINK("https://klasma.github.io/Logging_0117/tillsyn/A 12620-2022 tillsynsbegäran.docx", "A 12620-2022")</f>
        <v/>
      </c>
      <c r="AD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46276</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61363-2022</t>
        </is>
      </c>
      <c r="B16" t="inlineStr">
        <is>
          <t>avverkningsanmälan</t>
        </is>
      </c>
      <c r="C16" t="inlineStr">
        <is>
          <t>Föryngringsavverkning</t>
        </is>
      </c>
      <c r="D16" s="1" t="n">
        <v>44915</v>
      </c>
      <c r="E16" s="1" t="n">
        <v>46276</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54703-2024</t>
        </is>
      </c>
      <c r="B17" t="inlineStr">
        <is>
          <t>avverkningsanmälan</t>
        </is>
      </c>
      <c r="C17" t="inlineStr">
        <is>
          <t>Avverkning för annat ändamål</t>
        </is>
      </c>
      <c r="D17" s="1" t="n">
        <v>45618</v>
      </c>
      <c r="E17" s="1" t="n">
        <v>46276</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t="n">
        <v>0</v>
      </c>
      <c r="V17" s="2" t="inlineStr">
        <is>
          <t>Tallticka
Spillkråka
Kungsfågel</t>
        </is>
      </c>
      <c r="W17">
        <f>HYPERLINK("https://klasma.github.io/Logging_0117/artfynd/A 54703-2024 artfynd.xlsx", "A 54703-2024")</f>
        <v/>
      </c>
      <c r="X17">
        <f>HYPERLINK("https://klasma.github.io/Logging_0117/kartor/A 54703-2024 karta.png", "A 54703-2024")</f>
        <v/>
      </c>
      <c r="Y17">
        <f>HYPERLINK("https://klasma.github.io/Logging_0117/kartor_geotiff/A 54703-2024 georefererad karta.tif", "A 54703-2024")</f>
        <v/>
      </c>
      <c r="AA17">
        <f>HYPERLINK("https://klasma.github.io/Logging_0117/klagomål/A 54703-2024 FSC-klagomål.docx", "A 54703-2024")</f>
        <v/>
      </c>
      <c r="AB17">
        <f>HYPERLINK("https://klasma.github.io/Logging_0117/klagomålsmail/A 54703-2024 FSC-klagomål mail.docx", "A 54703-2024")</f>
        <v/>
      </c>
      <c r="AC17">
        <f>HYPERLINK("https://klasma.github.io/Logging_0117/tillsyn/A 54703-2024 tillsynsbegäran.docx", "A 54703-2024")</f>
        <v/>
      </c>
      <c r="AD17">
        <f>HYPERLINK("https://klasma.github.io/Logging_0117/tillsynsmail/A 54703-2024 tillsynsbegäran mail.docx", "A 54703-2024")</f>
        <v/>
      </c>
      <c r="AE17">
        <f>HYPERLINK("https://klasma.github.io/Logging_0117/fåglar/A 54703-2024 prioriterade fågelarter.docx", "A 54703-2024")</f>
        <v/>
      </c>
    </row>
    <row r="18" ht="15" customHeight="1">
      <c r="A18" t="inlineStr">
        <is>
          <t>A 67244-2021</t>
        </is>
      </c>
      <c r="B18" t="inlineStr">
        <is>
          <t>avverkningsanmälan</t>
        </is>
      </c>
      <c r="C18" t="inlineStr">
        <is>
          <t>Avverkning för annat ändamål</t>
        </is>
      </c>
      <c r="D18" s="1" t="n">
        <v>44523</v>
      </c>
      <c r="E18" s="1" t="n">
        <v>46276</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46276</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46276</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46276</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46276</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31716-2025</t>
        </is>
      </c>
      <c r="B23" t="inlineStr">
        <is>
          <t>avverkningsanmälan</t>
        </is>
      </c>
      <c r="C23" t="inlineStr">
        <is>
          <t>Föryngringsavverkning</t>
        </is>
      </c>
      <c r="D23" s="1" t="n">
        <v>45834</v>
      </c>
      <c r="E23" s="1" t="n">
        <v>46276</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HYPERLINK("https://klasma.github.io/Logging_0117/artfynd/A 31716-2025 artfynd.xlsx", "A 31716-2025")</f>
        <v/>
      </c>
      <c r="X23">
        <f>HYPERLINK("https://klasma.github.io/Logging_0117/kartor/A 31716-2025 karta.png", "A 31716-2025")</f>
        <v/>
      </c>
      <c r="Y23">
        <f>HYPERLINK("https://klasma.github.io/Logging_0117/kartor_geotiff/A 31716-2025 georefererad karta.tif", "A 31716-2025")</f>
        <v/>
      </c>
      <c r="AA23">
        <f>HYPERLINK("https://klasma.github.io/Logging_0117/klagomål/A 31716-2025 FSC-klagomål.docx", "A 31716-2025")</f>
        <v/>
      </c>
      <c r="AB23">
        <f>HYPERLINK("https://klasma.github.io/Logging_0117/klagomålsmail/A 31716-2025 FSC-klagomål mail.docx", "A 31716-2025")</f>
        <v/>
      </c>
      <c r="AC23">
        <f>HYPERLINK("https://klasma.github.io/Logging_0117/tillsyn/A 31716-2025 tillsynsbegäran.docx", "A 31716-2025")</f>
        <v/>
      </c>
      <c r="AD23">
        <f>HYPERLINK("https://klasma.github.io/Logging_0117/tillsynsmail/A 31716-2025 tillsynsbegäran mail.docx", "A 31716-2025")</f>
        <v/>
      </c>
    </row>
    <row r="24" ht="15" customHeight="1">
      <c r="A24" t="inlineStr">
        <is>
          <t>A 61323-2022</t>
        </is>
      </c>
      <c r="B24" t="inlineStr">
        <is>
          <t>avverkningsanmälan</t>
        </is>
      </c>
      <c r="C24" t="inlineStr">
        <is>
          <t>Föryngringsavverkning</t>
        </is>
      </c>
      <c r="D24" s="1" t="n">
        <v>44915</v>
      </c>
      <c r="E24" s="1" t="n">
        <v>46276</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62831-2025</t>
        </is>
      </c>
      <c r="B25" t="inlineStr">
        <is>
          <t>avverkningsanmälan</t>
        </is>
      </c>
      <c r="C25" t="inlineStr">
        <is>
          <t>Föryngringsavverkning</t>
        </is>
      </c>
      <c r="D25" s="1" t="n">
        <v>46008</v>
      </c>
      <c r="E25" s="1" t="n">
        <v>46276</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46276</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46276</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t="n">
        <v>1</v>
      </c>
      <c r="V27" s="2" t="inlineStr">
        <is>
          <t>Mindre hackspett</t>
        </is>
      </c>
      <c r="W27">
        <f>HYPERLINK("https://klasma.github.io/Logging_0117/artfynd/A 67265-2021 artfynd.xlsx", "A 67265-2021")</f>
        <v/>
      </c>
      <c r="X27">
        <f>HYPERLINK("https://klasma.github.io/Logging_0117/kartor/A 67265-2021 karta.png", "A 67265-2021")</f>
        <v/>
      </c>
      <c r="Y27">
        <f>HYPERLINK("https://klasma.github.io/Logging_0117/kartor_geotiff/A 67265-2021 georefererad karta.tif", "A 67265-2021")</f>
        <v/>
      </c>
      <c r="AA27">
        <f>HYPERLINK("https://klasma.github.io/Logging_0117/klagomål/A 67265-2021 FSC-klagomål.docx", "A 67265-2021")</f>
        <v/>
      </c>
      <c r="AB27">
        <f>HYPERLINK("https://klasma.github.io/Logging_0117/klagomålsmail/A 67265-2021 FSC-klagomål mail.docx", "A 67265-2021")</f>
        <v/>
      </c>
      <c r="AC27">
        <f>HYPERLINK("https://klasma.github.io/Logging_0117/tillsyn/A 67265-2021 tillsynsbegäran.docx", "A 67265-2021")</f>
        <v/>
      </c>
      <c r="AD27">
        <f>HYPERLINK("https://klasma.github.io/Logging_0117/tillsynsmail/A 67265-2021 tillsynsbegäran mail.docx", "A 67265-2021")</f>
        <v/>
      </c>
      <c r="AE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46276</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46276</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46276</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46276</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46276</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46276</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46276</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46276</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46276</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46276</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46276</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46276</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46276</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46276</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46276</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46276</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46276</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1603-2023</t>
        </is>
      </c>
      <c r="B45" t="inlineStr">
        <is>
          <t>avverkningsanmälan</t>
        </is>
      </c>
      <c r="C45" t="inlineStr">
        <is>
          <t>Föryngringsavverkning</t>
        </is>
      </c>
      <c r="D45" s="1" t="n">
        <v>44937</v>
      </c>
      <c r="E45" s="1" t="n">
        <v>46276</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1605-2023</t>
        </is>
      </c>
      <c r="B46" t="inlineStr">
        <is>
          <t>avverkningsanmälan</t>
        </is>
      </c>
      <c r="C46" t="inlineStr">
        <is>
          <t>Föryngringsavverkning</t>
        </is>
      </c>
      <c r="D46" s="1" t="n">
        <v>44937</v>
      </c>
      <c r="E46" s="1" t="n">
        <v>46276</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37037-2023</t>
        </is>
      </c>
      <c r="B47" t="inlineStr">
        <is>
          <t>avverkningsanmälan</t>
        </is>
      </c>
      <c r="C47" t="inlineStr">
        <is>
          <t>Föryngringsavverkning</t>
        </is>
      </c>
      <c r="D47" s="1" t="n">
        <v>45155</v>
      </c>
      <c r="E47" s="1" t="n">
        <v>46276</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3828-2023</t>
        </is>
      </c>
      <c r="B48" t="inlineStr">
        <is>
          <t>avverkningsanmälan</t>
        </is>
      </c>
      <c r="C48" t="inlineStr">
        <is>
          <t>Föryngringsavverkning</t>
        </is>
      </c>
      <c r="D48" s="1" t="n">
        <v>44951</v>
      </c>
      <c r="E48" s="1" t="n">
        <v>46276</v>
      </c>
      <c r="F48" t="inlineStr">
        <is>
          <t>STOCKHOLMS LÄN</t>
        </is>
      </c>
      <c r="G48" t="inlineStr">
        <is>
          <t>ÖSTERÅKER</t>
        </is>
      </c>
      <c r="H48" t="inlineStr">
        <is>
          <t>Kommuner</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33158-2024</t>
        </is>
      </c>
      <c r="B49" t="inlineStr">
        <is>
          <t>avverkningsanmälan</t>
        </is>
      </c>
      <c r="C49" t="inlineStr">
        <is>
          <t>Avverkning för annat ändamål</t>
        </is>
      </c>
      <c r="D49" s="1" t="n">
        <v>45518</v>
      </c>
      <c r="E49" s="1" t="n">
        <v>46276</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27137-2025</t>
        </is>
      </c>
      <c r="B50" t="inlineStr">
        <is>
          <t>avverkningsanmälan</t>
        </is>
      </c>
      <c r="C50" t="inlineStr">
        <is>
          <t>Föryngringsavverkning</t>
        </is>
      </c>
      <c r="D50" s="1" t="n">
        <v>45811</v>
      </c>
      <c r="E50" s="1" t="n">
        <v>46276</v>
      </c>
      <c r="F50" t="inlineStr">
        <is>
          <t>STOCKHOLMS LÄN</t>
        </is>
      </c>
      <c r="G50" t="inlineStr">
        <is>
          <t>ÖSTERÅKER</t>
        </is>
      </c>
      <c r="I50" t="n">
        <v>3.8</v>
      </c>
      <c r="J50" t="n">
        <v>0</v>
      </c>
      <c r="K50" t="n">
        <v>0</v>
      </c>
      <c r="L50" t="n">
        <v>0</v>
      </c>
      <c r="M50" t="n">
        <v>0</v>
      </c>
      <c r="N50" t="n">
        <v>0</v>
      </c>
      <c r="O50" t="n">
        <v>0</v>
      </c>
      <c r="P50" t="n">
        <v>0</v>
      </c>
      <c r="Q50" t="n">
        <v>0</v>
      </c>
      <c r="R50" t="n">
        <v>0</v>
      </c>
      <c r="S50" t="n">
        <v>0</v>
      </c>
      <c r="T50" t="n">
        <v>0</v>
      </c>
      <c r="U50" t="n">
        <v>0</v>
      </c>
      <c r="V50" s="2" t="inlineStr"/>
    </row>
    <row r="51" ht="15" customHeight="1">
      <c r="A51" t="inlineStr">
        <is>
          <t>A 34034-2025</t>
        </is>
      </c>
      <c r="B51" t="inlineStr">
        <is>
          <t>avverkningsanmälan</t>
        </is>
      </c>
      <c r="C51" t="inlineStr">
        <is>
          <t>Föryngringsavverkning</t>
        </is>
      </c>
      <c r="D51" s="1" t="n">
        <v>45842</v>
      </c>
      <c r="E51" s="1" t="n">
        <v>46276</v>
      </c>
      <c r="F51" t="inlineStr">
        <is>
          <t>STOCKHOLMS LÄN</t>
        </is>
      </c>
      <c r="G51" t="inlineStr">
        <is>
          <t>ÖSTERÅKER</t>
        </is>
      </c>
      <c r="H51" t="inlineStr">
        <is>
          <t>Övriga Aktiebolag</t>
        </is>
      </c>
      <c r="I51" t="n">
        <v>3.9</v>
      </c>
      <c r="J51" t="n">
        <v>0</v>
      </c>
      <c r="K51" t="n">
        <v>0</v>
      </c>
      <c r="L51" t="n">
        <v>0</v>
      </c>
      <c r="M51" t="n">
        <v>0</v>
      </c>
      <c r="N51" t="n">
        <v>0</v>
      </c>
      <c r="O51" t="n">
        <v>0</v>
      </c>
      <c r="P51" t="n">
        <v>0</v>
      </c>
      <c r="Q51" t="n">
        <v>0</v>
      </c>
      <c r="R51" t="n">
        <v>0</v>
      </c>
      <c r="S51" t="n">
        <v>0</v>
      </c>
      <c r="T51" t="n">
        <v>0</v>
      </c>
      <c r="U51" t="n">
        <v>0</v>
      </c>
      <c r="V51" s="2" t="inlineStr"/>
    </row>
    <row r="52" ht="15" customHeight="1">
      <c r="A52" t="inlineStr">
        <is>
          <t>A 17353-2025</t>
        </is>
      </c>
      <c r="B52" t="inlineStr">
        <is>
          <t>avverkningsanmälan</t>
        </is>
      </c>
      <c r="C52" t="inlineStr">
        <is>
          <t>Föryngringsavverkning</t>
        </is>
      </c>
      <c r="D52" s="1" t="n">
        <v>45756</v>
      </c>
      <c r="E52" s="1" t="n">
        <v>46276</v>
      </c>
      <c r="F52" t="inlineStr">
        <is>
          <t>STOCKHOLMS LÄN</t>
        </is>
      </c>
      <c r="G52" t="inlineStr">
        <is>
          <t>ÖSTERÅKER</t>
        </is>
      </c>
      <c r="H52" t="inlineStr">
        <is>
          <t>Övriga Aktiebolag</t>
        </is>
      </c>
      <c r="I52" t="n">
        <v>5.5</v>
      </c>
      <c r="J52" t="n">
        <v>0</v>
      </c>
      <c r="K52" t="n">
        <v>0</v>
      </c>
      <c r="L52" t="n">
        <v>0</v>
      </c>
      <c r="M52" t="n">
        <v>0</v>
      </c>
      <c r="N52" t="n">
        <v>0</v>
      </c>
      <c r="O52" t="n">
        <v>0</v>
      </c>
      <c r="P52" t="n">
        <v>0</v>
      </c>
      <c r="Q52" t="n">
        <v>0</v>
      </c>
      <c r="R52" t="n">
        <v>0</v>
      </c>
      <c r="S52" t="n">
        <v>0</v>
      </c>
      <c r="T52" t="n">
        <v>0</v>
      </c>
      <c r="U52" t="n">
        <v>0</v>
      </c>
      <c r="V52" s="2" t="inlineStr"/>
    </row>
    <row r="53" ht="15" customHeight="1">
      <c r="A53" t="inlineStr">
        <is>
          <t>A 61360-2022</t>
        </is>
      </c>
      <c r="B53" t="inlineStr">
        <is>
          <t>avverkningsanmälan</t>
        </is>
      </c>
      <c r="C53" t="inlineStr">
        <is>
          <t>Föryngringsavverkning</t>
        </is>
      </c>
      <c r="D53" s="1" t="n">
        <v>44915</v>
      </c>
      <c r="E53" s="1" t="n">
        <v>46276</v>
      </c>
      <c r="F53" t="inlineStr">
        <is>
          <t>STOCKHOLMS LÄN</t>
        </is>
      </c>
      <c r="G53" t="inlineStr">
        <is>
          <t>ÖSTERÅKER</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35819-2025</t>
        </is>
      </c>
      <c r="B54" t="inlineStr">
        <is>
          <t>avverkningsanmälan</t>
        </is>
      </c>
      <c r="C54" t="inlineStr">
        <is>
          <t>Föryngringsavverkning</t>
        </is>
      </c>
      <c r="D54" s="1" t="n">
        <v>45861</v>
      </c>
      <c r="E54" s="1" t="n">
        <v>46276</v>
      </c>
      <c r="F54" t="inlineStr">
        <is>
          <t>STOCKHOLMS LÄN</t>
        </is>
      </c>
      <c r="G54" t="inlineStr">
        <is>
          <t>ÖSTERÅKER</t>
        </is>
      </c>
      <c r="H54" t="inlineStr">
        <is>
          <t>Övriga Aktiebolag</t>
        </is>
      </c>
      <c r="I54" t="n">
        <v>8</v>
      </c>
      <c r="J54" t="n">
        <v>0</v>
      </c>
      <c r="K54" t="n">
        <v>0</v>
      </c>
      <c r="L54" t="n">
        <v>0</v>
      </c>
      <c r="M54" t="n">
        <v>0</v>
      </c>
      <c r="N54" t="n">
        <v>0</v>
      </c>
      <c r="O54" t="n">
        <v>0</v>
      </c>
      <c r="P54" t="n">
        <v>0</v>
      </c>
      <c r="Q54" t="n">
        <v>0</v>
      </c>
      <c r="R54" t="n">
        <v>0</v>
      </c>
      <c r="S54" t="n">
        <v>0</v>
      </c>
      <c r="T54" t="n">
        <v>0</v>
      </c>
      <c r="U54" t="n">
        <v>0</v>
      </c>
      <c r="V54" s="2" t="inlineStr"/>
    </row>
    <row r="55" ht="15" customHeight="1">
      <c r="A55" t="inlineStr">
        <is>
          <t>A 5038-2026</t>
        </is>
      </c>
      <c r="B55" t="inlineStr">
        <is>
          <t>avverkningsanmälan</t>
        </is>
      </c>
      <c r="C55" t="inlineStr">
        <is>
          <t>Föryngringsavverkning</t>
        </is>
      </c>
      <c r="D55" s="1" t="n">
        <v>46049</v>
      </c>
      <c r="E55" s="1" t="n">
        <v>46276</v>
      </c>
      <c r="F55" t="inlineStr">
        <is>
          <t>STOCKHOLMS LÄN</t>
        </is>
      </c>
      <c r="G55" t="inlineStr">
        <is>
          <t>ÖSTERÅKER</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16728-2022</t>
        </is>
      </c>
      <c r="B56" t="inlineStr">
        <is>
          <t>avverkningsanmälan</t>
        </is>
      </c>
      <c r="C56" t="inlineStr">
        <is>
          <t>Föryngringsavverkning</t>
        </is>
      </c>
      <c r="D56" s="1" t="n">
        <v>44673</v>
      </c>
      <c r="E56" s="1" t="n">
        <v>46276</v>
      </c>
      <c r="F56" t="inlineStr">
        <is>
          <t>STOCKHOLMS LÄN</t>
        </is>
      </c>
      <c r="G56" t="inlineStr">
        <is>
          <t>ÖSTERÅKER</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1136-2023</t>
        </is>
      </c>
      <c r="B57" t="inlineStr">
        <is>
          <t>avverkningsanmälan</t>
        </is>
      </c>
      <c r="C57" t="inlineStr">
        <is>
          <t>Avverkning för annat ändamål</t>
        </is>
      </c>
      <c r="D57" s="1" t="n">
        <v>44935</v>
      </c>
      <c r="E57" s="1" t="n">
        <v>46276</v>
      </c>
      <c r="F57" t="inlineStr">
        <is>
          <t>STOCKHOLMS LÄN</t>
        </is>
      </c>
      <c r="G57" t="inlineStr">
        <is>
          <t>ÖSTERÅKER</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61710-2022</t>
        </is>
      </c>
      <c r="B58" t="inlineStr">
        <is>
          <t>avverkningsanmälan</t>
        </is>
      </c>
      <c r="C58" t="inlineStr">
        <is>
          <t>Föryngringsavverkning</t>
        </is>
      </c>
      <c r="D58" s="1" t="n">
        <v>44917</v>
      </c>
      <c r="E58" s="1" t="n">
        <v>46276</v>
      </c>
      <c r="F58" t="inlineStr">
        <is>
          <t>STOCKHOLMS LÄN</t>
        </is>
      </c>
      <c r="G58" t="inlineStr">
        <is>
          <t>ÖSTERÅKER</t>
        </is>
      </c>
      <c r="I58" t="n">
        <v>6.2</v>
      </c>
      <c r="J58" t="n">
        <v>0</v>
      </c>
      <c r="K58" t="n">
        <v>0</v>
      </c>
      <c r="L58" t="n">
        <v>0</v>
      </c>
      <c r="M58" t="n">
        <v>0</v>
      </c>
      <c r="N58" t="n">
        <v>0</v>
      </c>
      <c r="O58" t="n">
        <v>0</v>
      </c>
      <c r="P58" t="n">
        <v>0</v>
      </c>
      <c r="Q58" t="n">
        <v>0</v>
      </c>
      <c r="R58" t="n">
        <v>0</v>
      </c>
      <c r="S58" t="n">
        <v>0</v>
      </c>
      <c r="T58" t="n">
        <v>0</v>
      </c>
      <c r="U58" t="n">
        <v>0</v>
      </c>
      <c r="V58" s="2" t="inlineStr"/>
    </row>
    <row r="59" ht="15" customHeight="1">
      <c r="A59" t="inlineStr">
        <is>
          <t>A 22528-2024</t>
        </is>
      </c>
      <c r="B59" t="inlineStr">
        <is>
          <t>avverkningsanmälan</t>
        </is>
      </c>
      <c r="C59" t="inlineStr">
        <is>
          <t>Föryngringsavverkning</t>
        </is>
      </c>
      <c r="D59" s="1" t="n">
        <v>45447</v>
      </c>
      <c r="E59" s="1" t="n">
        <v>46276</v>
      </c>
      <c r="F59" t="inlineStr">
        <is>
          <t>STOCKHOLMS LÄN</t>
        </is>
      </c>
      <c r="G59" t="inlineStr">
        <is>
          <t>ÖSTERÅKER</t>
        </is>
      </c>
      <c r="H59" t="inlineStr">
        <is>
          <t>Övriga Aktiebolag</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28143-2024</t>
        </is>
      </c>
      <c r="B60" t="inlineStr">
        <is>
          <t>avverkningsanmälan</t>
        </is>
      </c>
      <c r="C60" t="inlineStr">
        <is>
          <t>Föryngringsavverkning</t>
        </is>
      </c>
      <c r="D60" s="1" t="n">
        <v>45476</v>
      </c>
      <c r="E60" s="1" t="n">
        <v>46276</v>
      </c>
      <c r="F60" t="inlineStr">
        <is>
          <t>STOCKHOLMS LÄN</t>
        </is>
      </c>
      <c r="G60" t="inlineStr">
        <is>
          <t>ÖSTERÅKER</t>
        </is>
      </c>
      <c r="H60" t="inlineStr">
        <is>
          <t>Övriga Aktiebolag</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52220-2025</t>
        </is>
      </c>
      <c r="B61" t="inlineStr">
        <is>
          <t>avverkningsanmälan</t>
        </is>
      </c>
      <c r="C61" t="inlineStr">
        <is>
          <t>Avverkning för annat ändamål</t>
        </is>
      </c>
      <c r="D61" s="1" t="n">
        <v>45953</v>
      </c>
      <c r="E61" s="1" t="n">
        <v>46276</v>
      </c>
      <c r="F61" t="inlineStr">
        <is>
          <t>STOCKHOLMS LÄN</t>
        </is>
      </c>
      <c r="G61" t="inlineStr">
        <is>
          <t>ÖSTERÅKER</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12345-2026</t>
        </is>
      </c>
      <c r="B62" t="inlineStr">
        <is>
          <t>avverkningsanmälan</t>
        </is>
      </c>
      <c r="C62" t="inlineStr">
        <is>
          <t>Föryngringsavverkning</t>
        </is>
      </c>
      <c r="D62" s="1" t="n">
        <v>46087</v>
      </c>
      <c r="E62" s="1" t="n">
        <v>46276</v>
      </c>
      <c r="F62" t="inlineStr">
        <is>
          <t>STOCKHOLMS LÄN</t>
        </is>
      </c>
      <c r="G62" t="inlineStr">
        <is>
          <t>ÖSTERÅKER</t>
        </is>
      </c>
      <c r="H62" t="inlineStr">
        <is>
          <t>Övriga Aktiebolag</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14776-2024</t>
        </is>
      </c>
      <c r="B63" t="inlineStr">
        <is>
          <t>avverkningsanmälan</t>
        </is>
      </c>
      <c r="C63" t="inlineStr">
        <is>
          <t>Föryngringsavverkning</t>
        </is>
      </c>
      <c r="D63" s="1" t="n">
        <v>45397</v>
      </c>
      <c r="E63" s="1" t="n">
        <v>46276</v>
      </c>
      <c r="F63" t="inlineStr">
        <is>
          <t>STOCKHOLMS LÄN</t>
        </is>
      </c>
      <c r="G63" t="inlineStr">
        <is>
          <t>ÖSTERÅKER</t>
        </is>
      </c>
      <c r="I63" t="n">
        <v>13.6</v>
      </c>
      <c r="J63" t="n">
        <v>0</v>
      </c>
      <c r="K63" t="n">
        <v>0</v>
      </c>
      <c r="L63" t="n">
        <v>0</v>
      </c>
      <c r="M63" t="n">
        <v>0</v>
      </c>
      <c r="N63" t="n">
        <v>0</v>
      </c>
      <c r="O63" t="n">
        <v>0</v>
      </c>
      <c r="P63" t="n">
        <v>0</v>
      </c>
      <c r="Q63" t="n">
        <v>0</v>
      </c>
      <c r="R63" t="n">
        <v>0</v>
      </c>
      <c r="S63" t="n">
        <v>0</v>
      </c>
      <c r="T63" t="n">
        <v>0</v>
      </c>
      <c r="U63" t="n">
        <v>0</v>
      </c>
      <c r="V63" s="2" t="inlineStr"/>
    </row>
    <row r="64" ht="15" customHeight="1">
      <c r="A64" t="inlineStr">
        <is>
          <t>A 39394-2023</t>
        </is>
      </c>
      <c r="B64" t="inlineStr">
        <is>
          <t>avverkningsanmälan</t>
        </is>
      </c>
      <c r="C64" t="inlineStr">
        <is>
          <t>Föryngringsavverkning</t>
        </is>
      </c>
      <c r="D64" s="1" t="n">
        <v>45166</v>
      </c>
      <c r="E64" s="1" t="n">
        <v>46276</v>
      </c>
      <c r="F64" t="inlineStr">
        <is>
          <t>STOCKHOLMS LÄN</t>
        </is>
      </c>
      <c r="G64" t="inlineStr">
        <is>
          <t>ÖSTERÅKER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16803-2022</t>
        </is>
      </c>
      <c r="B65" t="inlineStr">
        <is>
          <t>avverkningsanmälan</t>
        </is>
      </c>
      <c r="C65" t="inlineStr">
        <is>
          <t>Föryngringsavverkning</t>
        </is>
      </c>
      <c r="D65" s="1" t="n">
        <v>44673</v>
      </c>
      <c r="E65" s="1" t="n">
        <v>46276</v>
      </c>
      <c r="F65" t="inlineStr">
        <is>
          <t>STOCKHOLMS LÄN</t>
        </is>
      </c>
      <c r="G65" t="inlineStr">
        <is>
          <t>ÖSTERÅKER</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470-2022</t>
        </is>
      </c>
      <c r="B66" t="inlineStr">
        <is>
          <t>avverkningsanmälan</t>
        </is>
      </c>
      <c r="C66" t="inlineStr">
        <is>
          <t>Föryngringsavverkning</t>
        </is>
      </c>
      <c r="D66" s="1" t="n">
        <v>44565</v>
      </c>
      <c r="E66" s="1" t="n">
        <v>46276</v>
      </c>
      <c r="F66" t="inlineStr">
        <is>
          <t>STOCKHOLMS LÄN</t>
        </is>
      </c>
      <c r="G66" t="inlineStr">
        <is>
          <t>ÖSTERÅKER</t>
        </is>
      </c>
      <c r="H66" t="inlineStr">
        <is>
          <t>Övriga Aktiebolag</t>
        </is>
      </c>
      <c r="I66" t="n">
        <v>4.6</v>
      </c>
      <c r="J66" t="n">
        <v>0</v>
      </c>
      <c r="K66" t="n">
        <v>0</v>
      </c>
      <c r="L66" t="n">
        <v>0</v>
      </c>
      <c r="M66" t="n">
        <v>0</v>
      </c>
      <c r="N66" t="n">
        <v>0</v>
      </c>
      <c r="O66" t="n">
        <v>0</v>
      </c>
      <c r="P66" t="n">
        <v>0</v>
      </c>
      <c r="Q66" t="n">
        <v>0</v>
      </c>
      <c r="R66" t="n">
        <v>0</v>
      </c>
      <c r="S66" t="n">
        <v>0</v>
      </c>
      <c r="T66" t="n">
        <v>0</v>
      </c>
      <c r="U66" t="n">
        <v>0</v>
      </c>
      <c r="V66" s="2" t="inlineStr"/>
    </row>
    <row r="67" ht="15" customHeight="1">
      <c r="A67" t="inlineStr">
        <is>
          <t>A 6655-2023</t>
        </is>
      </c>
      <c r="B67" t="inlineStr">
        <is>
          <t>avverkningsanmälan</t>
        </is>
      </c>
      <c r="C67" t="inlineStr">
        <is>
          <t>Föryngringsavverkning</t>
        </is>
      </c>
      <c r="D67" s="1" t="n">
        <v>44966</v>
      </c>
      <c r="E67" s="1" t="n">
        <v>46276</v>
      </c>
      <c r="F67" t="inlineStr">
        <is>
          <t>STOCKHOLMS LÄN</t>
        </is>
      </c>
      <c r="G67" t="inlineStr">
        <is>
          <t>ÖSTERÅKER</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34713-2025</t>
        </is>
      </c>
      <c r="B68" t="inlineStr">
        <is>
          <t>avverkningsanmälan</t>
        </is>
      </c>
      <c r="C68" t="inlineStr">
        <is>
          <t>Föryngringsavverkning</t>
        </is>
      </c>
      <c r="D68" s="1" t="n">
        <v>45848</v>
      </c>
      <c r="E68" s="1" t="n">
        <v>46276</v>
      </c>
      <c r="F68" t="inlineStr">
        <is>
          <t>STOCKHOLMS LÄN</t>
        </is>
      </c>
      <c r="G68" t="inlineStr">
        <is>
          <t>ÖSTERÅKER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60482-2025</t>
        </is>
      </c>
      <c r="B69" t="inlineStr">
        <is>
          <t>avverkningsanmälan</t>
        </is>
      </c>
      <c r="C69" t="inlineStr">
        <is>
          <t>Föryngringsavverkning</t>
        </is>
      </c>
      <c r="D69" s="1" t="n">
        <v>45995</v>
      </c>
      <c r="E69" s="1" t="n">
        <v>46276</v>
      </c>
      <c r="F69" t="inlineStr">
        <is>
          <t>STOCKHOLMS LÄN</t>
        </is>
      </c>
      <c r="G69" t="inlineStr">
        <is>
          <t>ÖSTERÅKER</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21796-2025</t>
        </is>
      </c>
      <c r="B70" t="inlineStr">
        <is>
          <t>avverkningsanmälan</t>
        </is>
      </c>
      <c r="C70" t="inlineStr">
        <is>
          <t>Föryngringsavverkning</t>
        </is>
      </c>
      <c r="D70" s="1" t="n">
        <v>45783</v>
      </c>
      <c r="E70" s="1" t="n">
        <v>46276</v>
      </c>
      <c r="F70" t="inlineStr">
        <is>
          <t>STOCKHOLMS LÄN</t>
        </is>
      </c>
      <c r="G70" t="inlineStr">
        <is>
          <t>ÖSTERÅKER</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56909-2024</t>
        </is>
      </c>
      <c r="B71" t="inlineStr">
        <is>
          <t>avverkningsanmälan</t>
        </is>
      </c>
      <c r="C71" t="inlineStr">
        <is>
          <t>Avverkning för att bevara och utveckla /försöksver</t>
        </is>
      </c>
      <c r="D71" s="1" t="n">
        <v>45628</v>
      </c>
      <c r="E71" s="1" t="n">
        <v>46276</v>
      </c>
      <c r="F71" t="inlineStr">
        <is>
          <t>STOCKHOLMS LÄN</t>
        </is>
      </c>
      <c r="G71" t="inlineStr">
        <is>
          <t>ÖSTERÅKER</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18711-2023</t>
        </is>
      </c>
      <c r="B72" t="inlineStr">
        <is>
          <t>avverkningsanmälan</t>
        </is>
      </c>
      <c r="C72" t="inlineStr">
        <is>
          <t>Föryngringsavverkning</t>
        </is>
      </c>
      <c r="D72" s="1" t="n">
        <v>45043</v>
      </c>
      <c r="E72" s="1" t="n">
        <v>46276</v>
      </c>
      <c r="F72" t="inlineStr">
        <is>
          <t>STOCKHOLMS LÄN</t>
        </is>
      </c>
      <c r="G72" t="inlineStr">
        <is>
          <t>ÖSTERÅKER</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23144-2024</t>
        </is>
      </c>
      <c r="B73" t="inlineStr">
        <is>
          <t>avverkningsanmälan</t>
        </is>
      </c>
      <c r="C73" t="inlineStr">
        <is>
          <t>Föryngringsavverkning</t>
        </is>
      </c>
      <c r="D73" s="1" t="n">
        <v>45450</v>
      </c>
      <c r="E73" s="1" t="n">
        <v>46276</v>
      </c>
      <c r="F73" t="inlineStr">
        <is>
          <t>STOCKHOLMS LÄN</t>
        </is>
      </c>
      <c r="G73" t="inlineStr">
        <is>
          <t>ÖSTERÅKER</t>
        </is>
      </c>
      <c r="H73" t="inlineStr">
        <is>
          <t>Övriga Aktiebolag</t>
        </is>
      </c>
      <c r="I73" t="n">
        <v>4.7</v>
      </c>
      <c r="J73" t="n">
        <v>0</v>
      </c>
      <c r="K73" t="n">
        <v>0</v>
      </c>
      <c r="L73" t="n">
        <v>0</v>
      </c>
      <c r="M73" t="n">
        <v>0</v>
      </c>
      <c r="N73" t="n">
        <v>0</v>
      </c>
      <c r="O73" t="n">
        <v>0</v>
      </c>
      <c r="P73" t="n">
        <v>0</v>
      </c>
      <c r="Q73" t="n">
        <v>0</v>
      </c>
      <c r="R73" t="n">
        <v>0</v>
      </c>
      <c r="S73" t="n">
        <v>0</v>
      </c>
      <c r="T73" t="n">
        <v>0</v>
      </c>
      <c r="U73" t="n">
        <v>0</v>
      </c>
      <c r="V73" s="2" t="inlineStr"/>
    </row>
    <row r="74" ht="15" customHeight="1">
      <c r="A74" t="inlineStr">
        <is>
          <t>A 17263-2022</t>
        </is>
      </c>
      <c r="B74" t="inlineStr">
        <is>
          <t>avverkningsanmälan</t>
        </is>
      </c>
      <c r="C74" t="inlineStr">
        <is>
          <t>Föryngringsavverkning</t>
        </is>
      </c>
      <c r="D74" s="1" t="n">
        <v>44678</v>
      </c>
      <c r="E74" s="1" t="n">
        <v>46276</v>
      </c>
      <c r="F74" t="inlineStr">
        <is>
          <t>STOCKHOLMS LÄN</t>
        </is>
      </c>
      <c r="G74" t="inlineStr">
        <is>
          <t>ÖSTERÅKER</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845-2024</t>
        </is>
      </c>
      <c r="B75" t="inlineStr">
        <is>
          <t>avverkningsanmälan</t>
        </is>
      </c>
      <c r="C75" t="inlineStr">
        <is>
          <t>Föryngringsavverkning</t>
        </is>
      </c>
      <c r="D75" s="1" t="n">
        <v>45300</v>
      </c>
      <c r="E75" s="1" t="n">
        <v>46276</v>
      </c>
      <c r="F75" t="inlineStr">
        <is>
          <t>STOCKHOLMS LÄN</t>
        </is>
      </c>
      <c r="G75" t="inlineStr">
        <is>
          <t>ÖSTERÅKER</t>
        </is>
      </c>
      <c r="I75" t="n">
        <v>10.1</v>
      </c>
      <c r="J75" t="n">
        <v>0</v>
      </c>
      <c r="K75" t="n">
        <v>0</v>
      </c>
      <c r="L75" t="n">
        <v>0</v>
      </c>
      <c r="M75" t="n">
        <v>0</v>
      </c>
      <c r="N75" t="n">
        <v>0</v>
      </c>
      <c r="O75" t="n">
        <v>0</v>
      </c>
      <c r="P75" t="n">
        <v>0</v>
      </c>
      <c r="Q75" t="n">
        <v>0</v>
      </c>
      <c r="R75" t="n">
        <v>0</v>
      </c>
      <c r="S75" t="n">
        <v>0</v>
      </c>
      <c r="T75" t="n">
        <v>0</v>
      </c>
      <c r="U75" t="n">
        <v>0</v>
      </c>
      <c r="V75" s="2" t="inlineStr"/>
    </row>
    <row r="76" ht="15" customHeight="1">
      <c r="A76" t="inlineStr">
        <is>
          <t>A 31134-2023</t>
        </is>
      </c>
      <c r="B76" t="inlineStr">
        <is>
          <t>avverkningsanmälan</t>
        </is>
      </c>
      <c r="C76" t="inlineStr">
        <is>
          <t>Föryngringsavverkning</t>
        </is>
      </c>
      <c r="D76" s="1" t="n">
        <v>45113</v>
      </c>
      <c r="E76" s="1" t="n">
        <v>46276</v>
      </c>
      <c r="F76" t="inlineStr">
        <is>
          <t>STOCKHOLMS LÄN</t>
        </is>
      </c>
      <c r="G76" t="inlineStr">
        <is>
          <t>ÖSTERÅKER</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34038-2025</t>
        </is>
      </c>
      <c r="B77" t="inlineStr">
        <is>
          <t>avverkningsanmälan</t>
        </is>
      </c>
      <c r="C77" t="inlineStr">
        <is>
          <t>Föryngringsavverkning</t>
        </is>
      </c>
      <c r="D77" s="1" t="n">
        <v>45842</v>
      </c>
      <c r="E77" s="1" t="n">
        <v>46276</v>
      </c>
      <c r="F77" t="inlineStr">
        <is>
          <t>STOCKHOLMS LÄN</t>
        </is>
      </c>
      <c r="G77" t="inlineStr">
        <is>
          <t>ÖSTERÅKER</t>
        </is>
      </c>
      <c r="H77" t="inlineStr">
        <is>
          <t>Övriga Aktiebolag</t>
        </is>
      </c>
      <c r="I77" t="n">
        <v>4.7</v>
      </c>
      <c r="J77" t="n">
        <v>0</v>
      </c>
      <c r="K77" t="n">
        <v>0</v>
      </c>
      <c r="L77" t="n">
        <v>0</v>
      </c>
      <c r="M77" t="n">
        <v>0</v>
      </c>
      <c r="N77" t="n">
        <v>0</v>
      </c>
      <c r="O77" t="n">
        <v>0</v>
      </c>
      <c r="P77" t="n">
        <v>0</v>
      </c>
      <c r="Q77" t="n">
        <v>0</v>
      </c>
      <c r="R77" t="n">
        <v>0</v>
      </c>
      <c r="S77" t="n">
        <v>0</v>
      </c>
      <c r="T77" t="n">
        <v>0</v>
      </c>
      <c r="U77" t="n">
        <v>0</v>
      </c>
      <c r="V77" s="2" t="inlineStr"/>
    </row>
    <row r="78" ht="15" customHeight="1">
      <c r="A78" t="inlineStr">
        <is>
          <t>A 10185-2025</t>
        </is>
      </c>
      <c r="B78" t="inlineStr">
        <is>
          <t>avverkningsanmälan</t>
        </is>
      </c>
      <c r="C78" t="inlineStr">
        <is>
          <t>Föryngringsavverkning</t>
        </is>
      </c>
      <c r="D78" s="1" t="n">
        <v>45719</v>
      </c>
      <c r="E78" s="1" t="n">
        <v>46276</v>
      </c>
      <c r="F78" t="inlineStr">
        <is>
          <t>STOCKHOLMS LÄN</t>
        </is>
      </c>
      <c r="G78" t="inlineStr">
        <is>
          <t>ÖSTERÅKER</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23198-2026</t>
        </is>
      </c>
      <c r="B79" t="inlineStr">
        <is>
          <t>avverkningsanmälan</t>
        </is>
      </c>
      <c r="C79" t="inlineStr">
        <is>
          <t>Avverkning för annat ändamål</t>
        </is>
      </c>
      <c r="D79" s="1" t="n">
        <v>46161</v>
      </c>
      <c r="E79" s="1" t="n">
        <v>46276</v>
      </c>
      <c r="F79" t="inlineStr">
        <is>
          <t>STOCKHOLMS LÄN</t>
        </is>
      </c>
      <c r="G79" t="inlineStr">
        <is>
          <t>ÖSTERÅKER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9865-2025</t>
        </is>
      </c>
      <c r="B80" t="inlineStr">
        <is>
          <t>avverkningsanmälan</t>
        </is>
      </c>
      <c r="C80" t="inlineStr">
        <is>
          <t>Föryngringsavverkning</t>
        </is>
      </c>
      <c r="D80" s="1" t="n">
        <v>45716</v>
      </c>
      <c r="E80" s="1" t="n">
        <v>46276</v>
      </c>
      <c r="F80" t="inlineStr">
        <is>
          <t>STOCKHOLMS LÄN</t>
        </is>
      </c>
      <c r="G80" t="inlineStr">
        <is>
          <t>ÖSTERÅKER</t>
        </is>
      </c>
      <c r="I80" t="n">
        <v>7</v>
      </c>
      <c r="J80" t="n">
        <v>0</v>
      </c>
      <c r="K80" t="n">
        <v>0</v>
      </c>
      <c r="L80" t="n">
        <v>0</v>
      </c>
      <c r="M80" t="n">
        <v>0</v>
      </c>
      <c r="N80" t="n">
        <v>0</v>
      </c>
      <c r="O80" t="n">
        <v>0</v>
      </c>
      <c r="P80" t="n">
        <v>0</v>
      </c>
      <c r="Q80" t="n">
        <v>0</v>
      </c>
      <c r="R80" t="n">
        <v>0</v>
      </c>
      <c r="S80" t="n">
        <v>0</v>
      </c>
      <c r="T80" t="n">
        <v>0</v>
      </c>
      <c r="U80" t="n">
        <v>0</v>
      </c>
      <c r="V80" s="2" t="inlineStr"/>
    </row>
    <row r="81" ht="15" customHeight="1">
      <c r="A81" t="inlineStr">
        <is>
          <t>A 24499-2023</t>
        </is>
      </c>
      <c r="B81" t="inlineStr">
        <is>
          <t>avverkningsanmälan</t>
        </is>
      </c>
      <c r="C81" t="inlineStr">
        <is>
          <t>Föryngringsavverkning</t>
        </is>
      </c>
      <c r="D81" s="1" t="n">
        <v>45082</v>
      </c>
      <c r="E81" s="1" t="n">
        <v>46276</v>
      </c>
      <c r="F81" t="inlineStr">
        <is>
          <t>STOCKHOLMS LÄN</t>
        </is>
      </c>
      <c r="G81" t="inlineStr">
        <is>
          <t>ÖSTERÅKER</t>
        </is>
      </c>
      <c r="I81" t="n">
        <v>0.1</v>
      </c>
      <c r="J81" t="n">
        <v>0</v>
      </c>
      <c r="K81" t="n">
        <v>0</v>
      </c>
      <c r="L81" t="n">
        <v>0</v>
      </c>
      <c r="M81" t="n">
        <v>0</v>
      </c>
      <c r="N81" t="n">
        <v>0</v>
      </c>
      <c r="O81" t="n">
        <v>0</v>
      </c>
      <c r="P81" t="n">
        <v>0</v>
      </c>
      <c r="Q81" t="n">
        <v>0</v>
      </c>
      <c r="R81" t="n">
        <v>0</v>
      </c>
      <c r="S81" t="n">
        <v>0</v>
      </c>
      <c r="T81" t="n">
        <v>0</v>
      </c>
      <c r="U81" t="n">
        <v>0</v>
      </c>
      <c r="V81" s="2" t="inlineStr"/>
    </row>
    <row r="82" ht="15" customHeight="1">
      <c r="A82" t="inlineStr">
        <is>
          <t>A 26249-2026</t>
        </is>
      </c>
      <c r="B82" t="inlineStr">
        <is>
          <t>avverkningsanmälan</t>
        </is>
      </c>
      <c r="C82" t="inlineStr">
        <is>
          <t>Avverkning för annat ändamål</t>
        </is>
      </c>
      <c r="D82" s="1" t="n">
        <v>46182</v>
      </c>
      <c r="E82" s="1" t="n">
        <v>46276</v>
      </c>
      <c r="F82" t="inlineStr">
        <is>
          <t>STOCKHOLMS LÄN</t>
        </is>
      </c>
      <c r="G82" t="inlineStr">
        <is>
          <t>ÖSTERÅKER</t>
        </is>
      </c>
      <c r="I82" t="n">
        <v>4.9</v>
      </c>
      <c r="J82" t="n">
        <v>0</v>
      </c>
      <c r="K82" t="n">
        <v>0</v>
      </c>
      <c r="L82" t="n">
        <v>0</v>
      </c>
      <c r="M82" t="n">
        <v>0</v>
      </c>
      <c r="N82" t="n">
        <v>0</v>
      </c>
      <c r="O82" t="n">
        <v>0</v>
      </c>
      <c r="P82" t="n">
        <v>0</v>
      </c>
      <c r="Q82" t="n">
        <v>0</v>
      </c>
      <c r="R82" t="n">
        <v>0</v>
      </c>
      <c r="S82" t="n">
        <v>0</v>
      </c>
      <c r="T82" t="n">
        <v>0</v>
      </c>
      <c r="U82" t="n">
        <v>0</v>
      </c>
      <c r="V82" s="2" t="inlineStr"/>
    </row>
    <row r="83" ht="15" customHeight="1">
      <c r="A83" t="inlineStr">
        <is>
          <t>A 28146-2024</t>
        </is>
      </c>
      <c r="B83" t="inlineStr">
        <is>
          <t>avverkningsanmälan</t>
        </is>
      </c>
      <c r="C83" t="inlineStr">
        <is>
          <t>Föryngringsavverkning</t>
        </is>
      </c>
      <c r="D83" s="1" t="n">
        <v>45476</v>
      </c>
      <c r="E83" s="1" t="n">
        <v>46276</v>
      </c>
      <c r="F83" t="inlineStr">
        <is>
          <t>STOCKHOLMS LÄN</t>
        </is>
      </c>
      <c r="G83" t="inlineStr">
        <is>
          <t>ÖSTERÅKER</t>
        </is>
      </c>
      <c r="H83" t="inlineStr">
        <is>
          <t>Övriga Aktiebolag</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57048-2024</t>
        </is>
      </c>
      <c r="B84" t="inlineStr">
        <is>
          <t>avverkningsanmälan</t>
        </is>
      </c>
      <c r="C84" t="inlineStr">
        <is>
          <t>Föryngringsavverkning</t>
        </is>
      </c>
      <c r="D84" s="1" t="n">
        <v>45629</v>
      </c>
      <c r="E84" s="1" t="n">
        <v>46276</v>
      </c>
      <c r="F84" t="inlineStr">
        <is>
          <t>STOCKHOLMS LÄN</t>
        </is>
      </c>
      <c r="G84" t="inlineStr">
        <is>
          <t>ÖSTERÅKER</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5286-2025</t>
        </is>
      </c>
      <c r="B85" t="inlineStr">
        <is>
          <t>avverkningsanmälan</t>
        </is>
      </c>
      <c r="C85" t="inlineStr">
        <is>
          <t>Föryngringsavverkning</t>
        </is>
      </c>
      <c r="D85" s="1" t="n">
        <v>45692</v>
      </c>
      <c r="E85" s="1" t="n">
        <v>46276</v>
      </c>
      <c r="F85" t="inlineStr">
        <is>
          <t>STOCKHOLMS LÄN</t>
        </is>
      </c>
      <c r="G85" t="inlineStr">
        <is>
          <t>ÖSTERÅKER</t>
        </is>
      </c>
      <c r="I85" t="n">
        <v>11.2</v>
      </c>
      <c r="J85" t="n">
        <v>0</v>
      </c>
      <c r="K85" t="n">
        <v>0</v>
      </c>
      <c r="L85" t="n">
        <v>0</v>
      </c>
      <c r="M85" t="n">
        <v>0</v>
      </c>
      <c r="N85" t="n">
        <v>0</v>
      </c>
      <c r="O85" t="n">
        <v>0</v>
      </c>
      <c r="P85" t="n">
        <v>0</v>
      </c>
      <c r="Q85" t="n">
        <v>0</v>
      </c>
      <c r="R85" t="n">
        <v>0</v>
      </c>
      <c r="S85" t="n">
        <v>0</v>
      </c>
      <c r="T85" t="n">
        <v>0</v>
      </c>
      <c r="U85" t="n">
        <v>0</v>
      </c>
      <c r="V85" s="2" t="inlineStr"/>
    </row>
    <row r="86" ht="15" customHeight="1">
      <c r="A86" t="inlineStr">
        <is>
          <t>A 3817-2023</t>
        </is>
      </c>
      <c r="B86" t="inlineStr">
        <is>
          <t>avverkningsanmälan</t>
        </is>
      </c>
      <c r="C86" t="inlineStr">
        <is>
          <t>Föryngringsavverkning</t>
        </is>
      </c>
      <c r="D86" s="1" t="n">
        <v>44951</v>
      </c>
      <c r="E86" s="1" t="n">
        <v>46276</v>
      </c>
      <c r="F86" t="inlineStr">
        <is>
          <t>STOCKHOLMS LÄN</t>
        </is>
      </c>
      <c r="G86" t="inlineStr">
        <is>
          <t>ÖSTERÅKER</t>
        </is>
      </c>
      <c r="H86" t="inlineStr">
        <is>
          <t>Kommuner</t>
        </is>
      </c>
      <c r="I86" t="n">
        <v>4.7</v>
      </c>
      <c r="J86" t="n">
        <v>0</v>
      </c>
      <c r="K86" t="n">
        <v>0</v>
      </c>
      <c r="L86" t="n">
        <v>0</v>
      </c>
      <c r="M86" t="n">
        <v>0</v>
      </c>
      <c r="N86" t="n">
        <v>0</v>
      </c>
      <c r="O86" t="n">
        <v>0</v>
      </c>
      <c r="P86" t="n">
        <v>0</v>
      </c>
      <c r="Q86" t="n">
        <v>0</v>
      </c>
      <c r="R86" t="n">
        <v>0</v>
      </c>
      <c r="S86" t="n">
        <v>0</v>
      </c>
      <c r="T86" t="n">
        <v>0</v>
      </c>
      <c r="U86" t="n">
        <v>0</v>
      </c>
      <c r="V86" s="2" t="inlineStr"/>
    </row>
    <row r="87" ht="15" customHeight="1">
      <c r="A87" t="inlineStr">
        <is>
          <t>A 544-2023</t>
        </is>
      </c>
      <c r="B87" t="inlineStr">
        <is>
          <t>avverkningsanmälan</t>
        </is>
      </c>
      <c r="C87" t="inlineStr">
        <is>
          <t>Avverkning för annat ändamål</t>
        </is>
      </c>
      <c r="D87" s="1" t="n">
        <v>44924</v>
      </c>
      <c r="E87" s="1" t="n">
        <v>46276</v>
      </c>
      <c r="F87" t="inlineStr">
        <is>
          <t>STOCKHOLMS LÄN</t>
        </is>
      </c>
      <c r="G87" t="inlineStr">
        <is>
          <t>ÖSTERÅKER</t>
        </is>
      </c>
      <c r="H87" t="inlineStr">
        <is>
          <t>Övriga Aktiebolag</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3326-2022</t>
        </is>
      </c>
      <c r="B88" t="inlineStr">
        <is>
          <t>avverkningsanmälan</t>
        </is>
      </c>
      <c r="C88" t="inlineStr">
        <is>
          <t>Föryngringsavverkning</t>
        </is>
      </c>
      <c r="D88" s="1" t="n">
        <v>44583</v>
      </c>
      <c r="E88" s="1" t="n">
        <v>46276</v>
      </c>
      <c r="F88" t="inlineStr">
        <is>
          <t>STOCKHOLMS LÄN</t>
        </is>
      </c>
      <c r="G88" t="inlineStr">
        <is>
          <t>ÖSTERÅKER</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13366-2024</t>
        </is>
      </c>
      <c r="B89" t="inlineStr">
        <is>
          <t>avverkningsanmälan</t>
        </is>
      </c>
      <c r="C89" t="inlineStr">
        <is>
          <t>Föryngringsavverkning</t>
        </is>
      </c>
      <c r="D89" s="1" t="n">
        <v>45387</v>
      </c>
      <c r="E89" s="1" t="n">
        <v>46276</v>
      </c>
      <c r="F89" t="inlineStr">
        <is>
          <t>STOCKHOLMS LÄN</t>
        </is>
      </c>
      <c r="G89" t="inlineStr">
        <is>
          <t>ÖSTERÅKER</t>
        </is>
      </c>
      <c r="I89" t="n">
        <v>13.7</v>
      </c>
      <c r="J89" t="n">
        <v>0</v>
      </c>
      <c r="K89" t="n">
        <v>0</v>
      </c>
      <c r="L89" t="n">
        <v>0</v>
      </c>
      <c r="M89" t="n">
        <v>0</v>
      </c>
      <c r="N89" t="n">
        <v>0</v>
      </c>
      <c r="O89" t="n">
        <v>0</v>
      </c>
      <c r="P89" t="n">
        <v>0</v>
      </c>
      <c r="Q89" t="n">
        <v>0</v>
      </c>
      <c r="R89" t="n">
        <v>0</v>
      </c>
      <c r="S89" t="n">
        <v>0</v>
      </c>
      <c r="T89" t="n">
        <v>0</v>
      </c>
      <c r="U89" t="n">
        <v>0</v>
      </c>
      <c r="V89" s="2" t="inlineStr"/>
    </row>
    <row r="90" ht="15" customHeight="1">
      <c r="A90" t="inlineStr">
        <is>
          <t>A 57055-2024</t>
        </is>
      </c>
      <c r="B90" t="inlineStr">
        <is>
          <t>avverkningsanmälan</t>
        </is>
      </c>
      <c r="C90" t="inlineStr">
        <is>
          <t>Föryngringsavverkning</t>
        </is>
      </c>
      <c r="D90" s="1" t="n">
        <v>45629</v>
      </c>
      <c r="E90" s="1" t="n">
        <v>46276</v>
      </c>
      <c r="F90" t="inlineStr">
        <is>
          <t>STOCKHOLMS LÄN</t>
        </is>
      </c>
      <c r="G90" t="inlineStr">
        <is>
          <t>ÖSTERÅKER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59379-2022</t>
        </is>
      </c>
      <c r="B91" t="inlineStr">
        <is>
          <t>avverkningsanmälan</t>
        </is>
      </c>
      <c r="C91" t="inlineStr">
        <is>
          <t>Föryngringsavverkning</t>
        </is>
      </c>
      <c r="D91" s="1" t="n">
        <v>44905</v>
      </c>
      <c r="E91" s="1" t="n">
        <v>46276</v>
      </c>
      <c r="F91" t="inlineStr">
        <is>
          <t>STOCKHOLMS LÄN</t>
        </is>
      </c>
      <c r="G91" t="inlineStr">
        <is>
          <t>ÖSTERÅKER</t>
        </is>
      </c>
      <c r="H91" t="inlineStr">
        <is>
          <t>Kommuner</t>
        </is>
      </c>
      <c r="I91" t="n">
        <v>4.7</v>
      </c>
      <c r="J91" t="n">
        <v>0</v>
      </c>
      <c r="K91" t="n">
        <v>0</v>
      </c>
      <c r="L91" t="n">
        <v>0</v>
      </c>
      <c r="M91" t="n">
        <v>0</v>
      </c>
      <c r="N91" t="n">
        <v>0</v>
      </c>
      <c r="O91" t="n">
        <v>0</v>
      </c>
      <c r="P91" t="n">
        <v>0</v>
      </c>
      <c r="Q91" t="n">
        <v>0</v>
      </c>
      <c r="R91" t="n">
        <v>0</v>
      </c>
      <c r="S91" t="n">
        <v>0</v>
      </c>
      <c r="T91" t="n">
        <v>0</v>
      </c>
      <c r="U91" t="n">
        <v>0</v>
      </c>
      <c r="V91" s="2" t="inlineStr"/>
    </row>
    <row r="92" ht="15" customHeight="1">
      <c r="A92" t="inlineStr">
        <is>
          <t>A 46688-2022</t>
        </is>
      </c>
      <c r="B92" t="inlineStr">
        <is>
          <t>avverkningsanmälan</t>
        </is>
      </c>
      <c r="C92" t="inlineStr">
        <is>
          <t>Föryngringsavverkning</t>
        </is>
      </c>
      <c r="D92" s="1" t="n">
        <v>44851</v>
      </c>
      <c r="E92" s="1" t="n">
        <v>46276</v>
      </c>
      <c r="F92" t="inlineStr">
        <is>
          <t>STOCKHOLMS LÄN</t>
        </is>
      </c>
      <c r="G92" t="inlineStr">
        <is>
          <t>ÖSTERÅKER</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16738-2022</t>
        </is>
      </c>
      <c r="B93" t="inlineStr">
        <is>
          <t>avverkningsanmälan</t>
        </is>
      </c>
      <c r="C93" t="inlineStr">
        <is>
          <t>Avverkning för annat ändamål</t>
        </is>
      </c>
      <c r="D93" s="1" t="n">
        <v>44673</v>
      </c>
      <c r="E93" s="1" t="n">
        <v>46276</v>
      </c>
      <c r="F93" t="inlineStr">
        <is>
          <t>STOCKHOLMS LÄN</t>
        </is>
      </c>
      <c r="G93" t="inlineStr">
        <is>
          <t>ÖSTERÅKER</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29443-2026</t>
        </is>
      </c>
      <c r="B94" t="inlineStr">
        <is>
          <t>avverkningsanmälan</t>
        </is>
      </c>
      <c r="C94" t="inlineStr">
        <is>
          <t>Föryngringsavverkning</t>
        </is>
      </c>
      <c r="D94" s="1" t="n">
        <v>46203</v>
      </c>
      <c r="E94" s="1" t="n">
        <v>46276</v>
      </c>
      <c r="F94" t="inlineStr">
        <is>
          <t>STOCKHOLMS LÄN</t>
        </is>
      </c>
      <c r="G94" t="inlineStr">
        <is>
          <t>ÖSTERÅKER</t>
        </is>
      </c>
      <c r="I94" t="n">
        <v>13.8</v>
      </c>
      <c r="J94" t="n">
        <v>0</v>
      </c>
      <c r="K94" t="n">
        <v>0</v>
      </c>
      <c r="L94" t="n">
        <v>0</v>
      </c>
      <c r="M94" t="n">
        <v>0</v>
      </c>
      <c r="N94" t="n">
        <v>0</v>
      </c>
      <c r="O94" t="n">
        <v>0</v>
      </c>
      <c r="P94" t="n">
        <v>0</v>
      </c>
      <c r="Q94" t="n">
        <v>0</v>
      </c>
      <c r="R94" t="n">
        <v>0</v>
      </c>
      <c r="S94" t="n">
        <v>0</v>
      </c>
      <c r="T94" t="n">
        <v>0</v>
      </c>
      <c r="U94" t="n">
        <v>0</v>
      </c>
      <c r="V94" s="2" t="inlineStr"/>
    </row>
    <row r="95" ht="15" customHeight="1">
      <c r="A95" t="inlineStr">
        <is>
          <t>A 17196-2022</t>
        </is>
      </c>
      <c r="B95" t="inlineStr">
        <is>
          <t>avverkningsanmälan</t>
        </is>
      </c>
      <c r="C95" t="inlineStr">
        <is>
          <t>Föryngringsavverkning</t>
        </is>
      </c>
      <c r="D95" s="1" t="n">
        <v>44677</v>
      </c>
      <c r="E95" s="1" t="n">
        <v>46276</v>
      </c>
      <c r="F95" t="inlineStr">
        <is>
          <t>STOCKHOLMS LÄN</t>
        </is>
      </c>
      <c r="G95" t="inlineStr">
        <is>
          <t>ÖSTERÅKER</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3917-2023</t>
        </is>
      </c>
      <c r="B96" t="inlineStr">
        <is>
          <t>avverkningsanmälan</t>
        </is>
      </c>
      <c r="C96" t="inlineStr">
        <is>
          <t>Föryngringsavverkning</t>
        </is>
      </c>
      <c r="D96" s="1" t="n">
        <v>44952</v>
      </c>
      <c r="E96" s="1" t="n">
        <v>46276</v>
      </c>
      <c r="F96" t="inlineStr">
        <is>
          <t>STOCKHOLMS LÄN</t>
        </is>
      </c>
      <c r="G96" t="inlineStr">
        <is>
          <t>ÖSTERÅKER</t>
        </is>
      </c>
      <c r="H96" t="inlineStr">
        <is>
          <t>Kommuner</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30599-2026</t>
        </is>
      </c>
      <c r="B97" t="inlineStr">
        <is>
          <t>avverkningsanmälan</t>
        </is>
      </c>
      <c r="C97" t="inlineStr">
        <is>
          <t>Föryngringsavverkning</t>
        </is>
      </c>
      <c r="D97" s="1" t="n">
        <v>46210</v>
      </c>
      <c r="E97" s="1" t="n">
        <v>46276</v>
      </c>
      <c r="F97" t="inlineStr">
        <is>
          <t>STOCKHOLMS LÄN</t>
        </is>
      </c>
      <c r="G97" t="inlineStr">
        <is>
          <t>ÖSTERÅKER</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62108-2022</t>
        </is>
      </c>
      <c r="B98" t="inlineStr">
        <is>
          <t>avverkningsanmälan</t>
        </is>
      </c>
      <c r="C98" t="inlineStr">
        <is>
          <t>Föryngringsavverkning</t>
        </is>
      </c>
      <c r="D98" s="1" t="n">
        <v>44920</v>
      </c>
      <c r="E98" s="1" t="n">
        <v>46276</v>
      </c>
      <c r="F98" t="inlineStr">
        <is>
          <t>STOCKHOLMS LÄN</t>
        </is>
      </c>
      <c r="G98" t="inlineStr">
        <is>
          <t>ÖSTERÅKER</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31154-2026</t>
        </is>
      </c>
      <c r="B99" t="inlineStr">
        <is>
          <t>avverkningsanmälan</t>
        </is>
      </c>
      <c r="C99" t="inlineStr">
        <is>
          <t>Föryngringsavverkning</t>
        </is>
      </c>
      <c r="D99" s="1" t="n">
        <v>46216</v>
      </c>
      <c r="E99" s="1" t="n">
        <v>46276</v>
      </c>
      <c r="F99" t="inlineStr">
        <is>
          <t>STOCKHOLMS LÄN</t>
        </is>
      </c>
      <c r="G99" t="inlineStr">
        <is>
          <t>ÖSTERÅKER</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31146-2026</t>
        </is>
      </c>
      <c r="B100" t="inlineStr">
        <is>
          <t>avverkningsanmälan</t>
        </is>
      </c>
      <c r="C100" t="inlineStr">
        <is>
          <t>Föryngringsavverkning</t>
        </is>
      </c>
      <c r="D100" s="1" t="n">
        <v>46216</v>
      </c>
      <c r="E100" s="1" t="n">
        <v>46276</v>
      </c>
      <c r="F100" t="inlineStr">
        <is>
          <t>STOCKHOLMS LÄN</t>
        </is>
      </c>
      <c r="G100" t="inlineStr">
        <is>
          <t>ÖSTERÅKER</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31149-2026</t>
        </is>
      </c>
      <c r="B101" t="inlineStr">
        <is>
          <t>avverkningsanmälan</t>
        </is>
      </c>
      <c r="C101" t="inlineStr">
        <is>
          <t>Föryngringsavverkning</t>
        </is>
      </c>
      <c r="D101" s="1" t="n">
        <v>46216</v>
      </c>
      <c r="E101" s="1" t="n">
        <v>46276</v>
      </c>
      <c r="F101" t="inlineStr">
        <is>
          <t>STOCKHOLMS LÄN</t>
        </is>
      </c>
      <c r="G101" t="inlineStr">
        <is>
          <t>ÖSTERÅKER</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31156-2026</t>
        </is>
      </c>
      <c r="B102" t="inlineStr">
        <is>
          <t>avverkningsanmälan</t>
        </is>
      </c>
      <c r="C102" t="inlineStr">
        <is>
          <t>Föryngringsavverkning</t>
        </is>
      </c>
      <c r="D102" s="1" t="n">
        <v>46216</v>
      </c>
      <c r="E102" s="1" t="n">
        <v>46276</v>
      </c>
      <c r="F102" t="inlineStr">
        <is>
          <t>STOCKHOLMS LÄN</t>
        </is>
      </c>
      <c r="G102" t="inlineStr">
        <is>
          <t>ÖSTERÅKER</t>
        </is>
      </c>
      <c r="I102" t="n">
        <v>5.1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46276</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46276</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46276</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2026-09-11T02:10:27Z</dcterms:created>
  <dcterms:modified xmlns:dcterms="http://purl.org/dc/terms/" xmlns:xsi="http://www.w3.org/2001/XMLSchema-instance" xsi:type="dcterms:W3CDTF">2026-09-11T02:10:27Z</dcterms:modified>
</cp:coreProperties>
</file>