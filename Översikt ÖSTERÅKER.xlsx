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46308</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46308</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46308</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37244-2024</t>
        </is>
      </c>
      <c r="B10" t="inlineStr">
        <is>
          <t>avverkningsanmälan</t>
        </is>
      </c>
      <c r="C10" t="inlineStr">
        <is>
          <t>Föryngringsavverkning</t>
        </is>
      </c>
      <c r="D10" s="1" t="n">
        <v>45540</v>
      </c>
      <c r="E10" s="1" t="n">
        <v>46308</v>
      </c>
      <c r="F10" t="inlineStr">
        <is>
          <t>STOCKHOLMS LÄN</t>
        </is>
      </c>
      <c r="G10" t="inlineStr">
        <is>
          <t>ÖSTERÅKER</t>
        </is>
      </c>
      <c r="I10" t="n">
        <v>2.6</v>
      </c>
      <c r="J10" t="n">
        <v>1</v>
      </c>
      <c r="K10" t="n">
        <v>1</v>
      </c>
      <c r="L10" t="n">
        <v>3</v>
      </c>
      <c r="M10" t="n">
        <v>0</v>
      </c>
      <c r="N10" t="n">
        <v>0</v>
      </c>
      <c r="O10" t="n">
        <v>0</v>
      </c>
      <c r="P10" t="n">
        <v>0</v>
      </c>
      <c r="Q10" t="n">
        <v>3</v>
      </c>
      <c r="R10" t="n">
        <v>0</v>
      </c>
      <c r="S10" t="n">
        <v>4</v>
      </c>
      <c r="T10" t="n">
        <v>5</v>
      </c>
      <c r="U10" t="n">
        <v>1</v>
      </c>
      <c r="V10" s="2" t="inlineStr">
        <is>
          <t>Tallticka
Talltita
Vedskivlav
Grovticka</t>
        </is>
      </c>
      <c r="W10">
        <f>HYPERLINK("https://klasma.github.io/Logging_0117/artfynd/A 37244-2024 artfynd.xlsx", "A 37244-2024")</f>
        <v/>
      </c>
      <c r="X10">
        <f>HYPERLINK("https://klasma.github.io/Logging_0117/kartor/A 37244-2024 karta.png", "A 37244-2024")</f>
        <v/>
      </c>
      <c r="Y10">
        <f>HYPERLINK("https://klasma.github.io/Logging_0117/kartor_geotiff/A 37244-2024 georefererad karta.tif", "A 37244-2024")</f>
        <v/>
      </c>
      <c r="AA10">
        <f>HYPERLINK("https://klasma.github.io/Logging_0117/klagomål/A 37244-2024 FSC-klagomål.docx", "A 37244-2024")</f>
        <v/>
      </c>
      <c r="AB10">
        <f>HYPERLINK("https://klasma.github.io/Logging_0117/klagomålsmail/A 37244-2024 FSC-klagomål mail.docx", "A 37244-2024")</f>
        <v/>
      </c>
      <c r="AC10">
        <f>HYPERLINK("https://klasma.github.io/Logging_0117/tillsyn/A 37244-2024 tillsynsbegäran.docx", "A 37244-2024")</f>
        <v/>
      </c>
      <c r="AD10">
        <f>HYPERLINK("https://klasma.github.io/Logging_0117/tillsynsmail/A 37244-2024 tillsynsbegäran mail.docx", "A 37244-2024")</f>
        <v/>
      </c>
      <c r="AE10">
        <f>HYPERLINK("https://klasma.github.io/Logging_0117/fåglar/A 37244-2024 prioriterade fågelarter.docx", "A 37244-2024")</f>
        <v/>
      </c>
    </row>
    <row r="11" ht="15" customHeight="1">
      <c r="A11" t="inlineStr">
        <is>
          <t>A 3914-2023</t>
        </is>
      </c>
      <c r="B11" t="inlineStr">
        <is>
          <t>avverkningsanmälan</t>
        </is>
      </c>
      <c r="C11" t="inlineStr">
        <is>
          <t>Föryngringsavverkning</t>
        </is>
      </c>
      <c r="D11" s="1" t="n">
        <v>44952</v>
      </c>
      <c r="E11" s="1" t="n">
        <v>46308</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46308</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62578-2025</t>
        </is>
      </c>
      <c r="B13" t="inlineStr">
        <is>
          <t>avverkningsanmälan</t>
        </is>
      </c>
      <c r="C13" t="inlineStr">
        <is>
          <t>Föryngringsavverkning</t>
        </is>
      </c>
      <c r="D13" s="1" t="n">
        <v>46007</v>
      </c>
      <c r="E13" s="1" t="n">
        <v>46308</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46308</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46308</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46308</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46308</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46308</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46308</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46308</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46308</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31716-2025</t>
        </is>
      </c>
      <c r="B22" t="inlineStr">
        <is>
          <t>avverkningsanmälan</t>
        </is>
      </c>
      <c r="C22" t="inlineStr">
        <is>
          <t>Föryngringsavverkning</t>
        </is>
      </c>
      <c r="D22" s="1" t="n">
        <v>45834</v>
      </c>
      <c r="E22" s="1" t="n">
        <v>46308</v>
      </c>
      <c r="F22" t="inlineStr">
        <is>
          <t>STOCKHOLMS LÄN</t>
        </is>
      </c>
      <c r="G22" t="inlineStr">
        <is>
          <t>ÖSTERÅKER</t>
        </is>
      </c>
      <c r="I22" t="n">
        <v>2.8</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HYPERLINK("https://klasma.github.io/Logging_0117/artfynd/A 31716-2025 artfynd.xlsx", "A 31716-2025")</f>
        <v/>
      </c>
      <c r="X22">
        <f>HYPERLINK("https://klasma.github.io/Logging_0117/kartor/A 31716-2025 karta.png", "A 31716-2025")</f>
        <v/>
      </c>
      <c r="Y22">
        <f>HYPERLINK("https://klasma.github.io/Logging_0117/kartor_geotiff/A 31716-2025 georefererad karta.tif", "A 31716-2025")</f>
        <v/>
      </c>
      <c r="AA22">
        <f>HYPERLINK("https://klasma.github.io/Logging_0117/klagomål/A 31716-2025 FSC-klagomål.docx", "A 31716-2025")</f>
        <v/>
      </c>
      <c r="AB22">
        <f>HYPERLINK("https://klasma.github.io/Logging_0117/klagomålsmail/A 31716-2025 FSC-klagomål mail.docx", "A 31716-2025")</f>
        <v/>
      </c>
      <c r="AC22">
        <f>HYPERLINK("https://klasma.github.io/Logging_0117/tillsyn/A 31716-2025 tillsynsbegäran.docx", "A 31716-2025")</f>
        <v/>
      </c>
      <c r="AD22">
        <f>HYPERLINK("https://klasma.github.io/Logging_0117/tillsynsmail/A 31716-2025 tillsynsbegäran mail.docx", "A 31716-2025")</f>
        <v/>
      </c>
    </row>
    <row r="23" ht="15" customHeight="1">
      <c r="A23" t="inlineStr">
        <is>
          <t>A 62831-2025</t>
        </is>
      </c>
      <c r="B23" t="inlineStr">
        <is>
          <t>avverkningsanmälan</t>
        </is>
      </c>
      <c r="C23" t="inlineStr">
        <is>
          <t>Föryngringsavverkning</t>
        </is>
      </c>
      <c r="D23" s="1" t="n">
        <v>46008</v>
      </c>
      <c r="E23" s="1" t="n">
        <v>46308</v>
      </c>
      <c r="F23" t="inlineStr">
        <is>
          <t>STOCKHOLMS LÄN</t>
        </is>
      </c>
      <c r="G23" t="inlineStr">
        <is>
          <t>ÖSTERÅKER</t>
        </is>
      </c>
      <c r="I23" t="n">
        <v>1.2</v>
      </c>
      <c r="J23" t="n">
        <v>0</v>
      </c>
      <c r="K23" t="n">
        <v>1</v>
      </c>
      <c r="L23" t="n">
        <v>0</v>
      </c>
      <c r="M23" t="n">
        <v>0</v>
      </c>
      <c r="N23" t="n">
        <v>0</v>
      </c>
      <c r="O23" t="n">
        <v>0</v>
      </c>
      <c r="P23" t="n">
        <v>0</v>
      </c>
      <c r="Q23" t="n">
        <v>0</v>
      </c>
      <c r="R23" t="n">
        <v>0</v>
      </c>
      <c r="S23" t="n">
        <v>1</v>
      </c>
      <c r="T23" t="n">
        <v>1</v>
      </c>
      <c r="U23" t="n">
        <v>0</v>
      </c>
      <c r="V23" s="2" t="inlineStr">
        <is>
          <t>Vedticka</t>
        </is>
      </c>
      <c r="W23">
        <f>HYPERLINK("https://klasma.github.io/Logging_0117/artfynd/A 62831-2025 artfynd.xlsx", "A 62831-2025")</f>
        <v/>
      </c>
      <c r="X23">
        <f>HYPERLINK("https://klasma.github.io/Logging_0117/kartor/A 62831-2025 karta.png", "A 62831-2025")</f>
        <v/>
      </c>
      <c r="Y23">
        <f>HYPERLINK("https://klasma.github.io/Logging_0117/kartor_geotiff/A 62831-2025 georefererad karta.tif", "A 62831-2025")</f>
        <v/>
      </c>
      <c r="AA23">
        <f>HYPERLINK("https://klasma.github.io/Logging_0117/klagomål/A 62831-2025 FSC-klagomål.docx", "A 62831-2025")</f>
        <v/>
      </c>
      <c r="AB23">
        <f>HYPERLINK("https://klasma.github.io/Logging_0117/klagomålsmail/A 62831-2025 FSC-klagomål mail.docx", "A 62831-2025")</f>
        <v/>
      </c>
      <c r="AC23">
        <f>HYPERLINK("https://klasma.github.io/Logging_0117/tillsyn/A 62831-2025 tillsynsbegäran.docx", "A 62831-2025")</f>
        <v/>
      </c>
      <c r="AD23">
        <f>HYPERLINK("https://klasma.github.io/Logging_0117/tillsynsmail/A 62831-2025 tillsynsbegäran mail.docx", "A 62831-2025")</f>
        <v/>
      </c>
    </row>
    <row r="24" ht="15" customHeight="1">
      <c r="A24" t="inlineStr">
        <is>
          <t>A 61323-2022</t>
        </is>
      </c>
      <c r="B24" t="inlineStr">
        <is>
          <t>avverkningsanmälan</t>
        </is>
      </c>
      <c r="C24" t="inlineStr">
        <is>
          <t>Föryngringsavverkning</t>
        </is>
      </c>
      <c r="D24" s="1" t="n">
        <v>44915</v>
      </c>
      <c r="E24" s="1" t="n">
        <v>46308</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62839-2025</t>
        </is>
      </c>
      <c r="B25" t="inlineStr">
        <is>
          <t>avverkningsanmälan</t>
        </is>
      </c>
      <c r="C25" t="inlineStr">
        <is>
          <t>Föryngringsavverkning</t>
        </is>
      </c>
      <c r="D25" s="1" t="n">
        <v>46008</v>
      </c>
      <c r="E25" s="1" t="n">
        <v>46308</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46308</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S 5861-2022</t>
        </is>
      </c>
      <c r="B27" t="inlineStr">
        <is>
          <t>samrådsanmälan</t>
        </is>
      </c>
      <c r="C27" t="inlineStr">
        <is>
          <t>Annan skogsbruksåtgärd</t>
        </is>
      </c>
      <c r="D27" s="1" t="n">
        <v>44852</v>
      </c>
      <c r="E27" s="1" t="n">
        <v>46308</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46308</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46308</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46308</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46308</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46308</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46308</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46308</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46308</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46308</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46308</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46308</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46308</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46308</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46308</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46308</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17196-2022</t>
        </is>
      </c>
      <c r="B43" t="inlineStr">
        <is>
          <t>avverkningsanmälan</t>
        </is>
      </c>
      <c r="C43" t="inlineStr">
        <is>
          <t>Föryngringsavverkning</t>
        </is>
      </c>
      <c r="D43" s="1" t="n">
        <v>44677</v>
      </c>
      <c r="E43" s="1" t="n">
        <v>46308</v>
      </c>
      <c r="F43" t="inlineStr">
        <is>
          <t>STOCKHOLMS LÄN</t>
        </is>
      </c>
      <c r="G43" t="inlineStr">
        <is>
          <t>ÖSTERÅKER</t>
        </is>
      </c>
      <c r="I43" t="n">
        <v>5.9</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46308</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3917-2023</t>
        </is>
      </c>
      <c r="B45" t="inlineStr">
        <is>
          <t>avverkningsanmälan</t>
        </is>
      </c>
      <c r="C45" t="inlineStr">
        <is>
          <t>Föryngringsavverkning</t>
        </is>
      </c>
      <c r="D45" s="1" t="n">
        <v>44952</v>
      </c>
      <c r="E45" s="1" t="n">
        <v>46308</v>
      </c>
      <c r="F45" t="inlineStr">
        <is>
          <t>STOCKHOLMS LÄN</t>
        </is>
      </c>
      <c r="G45" t="inlineStr">
        <is>
          <t>ÖSTERÅKER</t>
        </is>
      </c>
      <c r="H45" t="inlineStr">
        <is>
          <t>Kommuner</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62108-2022</t>
        </is>
      </c>
      <c r="B46" t="inlineStr">
        <is>
          <t>avverkningsanmälan</t>
        </is>
      </c>
      <c r="C46" t="inlineStr">
        <is>
          <t>Föryngringsavverkning</t>
        </is>
      </c>
      <c r="D46" s="1" t="n">
        <v>44920</v>
      </c>
      <c r="E46" s="1" t="n">
        <v>46308</v>
      </c>
      <c r="F46" t="inlineStr">
        <is>
          <t>STOCKHOLMS LÄN</t>
        </is>
      </c>
      <c r="G46" t="inlineStr">
        <is>
          <t>ÖSTERÅKER</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26249-2026</t>
        </is>
      </c>
      <c r="B47" t="inlineStr">
        <is>
          <t>avverkningsanmälan</t>
        </is>
      </c>
      <c r="C47" t="inlineStr">
        <is>
          <t>Avverkning för annat ändamål</t>
        </is>
      </c>
      <c r="D47" s="1" t="n">
        <v>46182</v>
      </c>
      <c r="E47" s="1" t="n">
        <v>46308</v>
      </c>
      <c r="F47" t="inlineStr">
        <is>
          <t>STOCKHOLMS LÄN</t>
        </is>
      </c>
      <c r="G47" t="inlineStr">
        <is>
          <t>ÖSTERÅKER</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52220-2025</t>
        </is>
      </c>
      <c r="B48" t="inlineStr">
        <is>
          <t>avverkningsanmälan</t>
        </is>
      </c>
      <c r="C48" t="inlineStr">
        <is>
          <t>Avverkning för annat ändamål</t>
        </is>
      </c>
      <c r="D48" s="1" t="n">
        <v>45953</v>
      </c>
      <c r="E48" s="1" t="n">
        <v>46308</v>
      </c>
      <c r="F48" t="inlineStr">
        <is>
          <t>STOCKHOLMS LÄN</t>
        </is>
      </c>
      <c r="G48" t="inlineStr">
        <is>
          <t>ÖSTERÅKER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1603-2023</t>
        </is>
      </c>
      <c r="B49" t="inlineStr">
        <is>
          <t>avverkningsanmälan</t>
        </is>
      </c>
      <c r="C49" t="inlineStr">
        <is>
          <t>Föryngringsavverkning</t>
        </is>
      </c>
      <c r="D49" s="1" t="n">
        <v>44937</v>
      </c>
      <c r="E49" s="1" t="n">
        <v>46308</v>
      </c>
      <c r="F49" t="inlineStr">
        <is>
          <t>STOCKHOLMS LÄN</t>
        </is>
      </c>
      <c r="G49" t="inlineStr">
        <is>
          <t>ÖSTERÅKER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1605-2023</t>
        </is>
      </c>
      <c r="B50" t="inlineStr">
        <is>
          <t>avverkningsanmälan</t>
        </is>
      </c>
      <c r="C50" t="inlineStr">
        <is>
          <t>Föryngringsavverkning</t>
        </is>
      </c>
      <c r="D50" s="1" t="n">
        <v>44937</v>
      </c>
      <c r="E50" s="1" t="n">
        <v>46308</v>
      </c>
      <c r="F50" t="inlineStr">
        <is>
          <t>STOCKHOLMS LÄN</t>
        </is>
      </c>
      <c r="G50" t="inlineStr">
        <is>
          <t>ÖSTERÅKER</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29443-2026</t>
        </is>
      </c>
      <c r="B51" t="inlineStr">
        <is>
          <t>avverkningsanmälan</t>
        </is>
      </c>
      <c r="C51" t="inlineStr">
        <is>
          <t>Föryngringsavverkning</t>
        </is>
      </c>
      <c r="D51" s="1" t="n">
        <v>46203</v>
      </c>
      <c r="E51" s="1" t="n">
        <v>46308</v>
      </c>
      <c r="F51" t="inlineStr">
        <is>
          <t>STOCKHOLMS LÄN</t>
        </is>
      </c>
      <c r="G51" t="inlineStr">
        <is>
          <t>ÖSTERÅKER</t>
        </is>
      </c>
      <c r="I51" t="n">
        <v>13.8</v>
      </c>
      <c r="J51" t="n">
        <v>0</v>
      </c>
      <c r="K51" t="n">
        <v>0</v>
      </c>
      <c r="L51" t="n">
        <v>0</v>
      </c>
      <c r="M51" t="n">
        <v>0</v>
      </c>
      <c r="N51" t="n">
        <v>0</v>
      </c>
      <c r="O51" t="n">
        <v>0</v>
      </c>
      <c r="P51" t="n">
        <v>0</v>
      </c>
      <c r="Q51" t="n">
        <v>0</v>
      </c>
      <c r="R51" t="n">
        <v>0</v>
      </c>
      <c r="S51" t="n">
        <v>0</v>
      </c>
      <c r="T51" t="n">
        <v>0</v>
      </c>
      <c r="U51" t="n">
        <v>0</v>
      </c>
      <c r="V51" s="2" t="inlineStr"/>
    </row>
    <row r="52" ht="15" customHeight="1">
      <c r="A52" t="inlineStr">
        <is>
          <t>A 30599-2026</t>
        </is>
      </c>
      <c r="B52" t="inlineStr">
        <is>
          <t>avverkningsanmälan</t>
        </is>
      </c>
      <c r="C52" t="inlineStr">
        <is>
          <t>Föryngringsavverkning</t>
        </is>
      </c>
      <c r="D52" s="1" t="n">
        <v>46210</v>
      </c>
      <c r="E52" s="1" t="n">
        <v>46308</v>
      </c>
      <c r="F52" t="inlineStr">
        <is>
          <t>STOCKHOLMS LÄN</t>
        </is>
      </c>
      <c r="G52" t="inlineStr">
        <is>
          <t>ÖSTERÅKER</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37037-2023</t>
        </is>
      </c>
      <c r="B53" t="inlineStr">
        <is>
          <t>avverkningsanmälan</t>
        </is>
      </c>
      <c r="C53" t="inlineStr">
        <is>
          <t>Föryngringsavverkning</t>
        </is>
      </c>
      <c r="D53" s="1" t="n">
        <v>45155</v>
      </c>
      <c r="E53" s="1" t="n">
        <v>46308</v>
      </c>
      <c r="F53" t="inlineStr">
        <is>
          <t>STOCKHOLMS LÄN</t>
        </is>
      </c>
      <c r="G53" t="inlineStr">
        <is>
          <t>ÖSTERÅKER</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31154-2026</t>
        </is>
      </c>
      <c r="B54" t="inlineStr">
        <is>
          <t>avverkningsanmälan</t>
        </is>
      </c>
      <c r="C54" t="inlineStr">
        <is>
          <t>Föryngringsavverkning</t>
        </is>
      </c>
      <c r="D54" s="1" t="n">
        <v>46216</v>
      </c>
      <c r="E54" s="1" t="n">
        <v>46308</v>
      </c>
      <c r="F54" t="inlineStr">
        <is>
          <t>STOCKHOLMS LÄN</t>
        </is>
      </c>
      <c r="G54" t="inlineStr">
        <is>
          <t>ÖSTERÅKER</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31146-2026</t>
        </is>
      </c>
      <c r="B55" t="inlineStr">
        <is>
          <t>avverkningsanmälan</t>
        </is>
      </c>
      <c r="C55" t="inlineStr">
        <is>
          <t>Föryngringsavverkning</t>
        </is>
      </c>
      <c r="D55" s="1" t="n">
        <v>46216</v>
      </c>
      <c r="E55" s="1" t="n">
        <v>46308</v>
      </c>
      <c r="F55" t="inlineStr">
        <is>
          <t>STOCKHOLMS LÄN</t>
        </is>
      </c>
      <c r="G55" t="inlineStr">
        <is>
          <t>ÖSTERÅKER</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31149-2026</t>
        </is>
      </c>
      <c r="B56" t="inlineStr">
        <is>
          <t>avverkningsanmälan</t>
        </is>
      </c>
      <c r="C56" t="inlineStr">
        <is>
          <t>Föryngringsavverkning</t>
        </is>
      </c>
      <c r="D56" s="1" t="n">
        <v>46216</v>
      </c>
      <c r="E56" s="1" t="n">
        <v>46308</v>
      </c>
      <c r="F56" t="inlineStr">
        <is>
          <t>STOCKHOLMS LÄN</t>
        </is>
      </c>
      <c r="G56" t="inlineStr">
        <is>
          <t>ÖSTERÅKER</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31156-2026</t>
        </is>
      </c>
      <c r="B57" t="inlineStr">
        <is>
          <t>avverkningsanmälan</t>
        </is>
      </c>
      <c r="C57" t="inlineStr">
        <is>
          <t>Föryngringsavverkning</t>
        </is>
      </c>
      <c r="D57" s="1" t="n">
        <v>46216</v>
      </c>
      <c r="E57" s="1" t="n">
        <v>46308</v>
      </c>
      <c r="F57" t="inlineStr">
        <is>
          <t>STOCKHOLMS LÄN</t>
        </is>
      </c>
      <c r="G57" t="inlineStr">
        <is>
          <t>ÖSTERÅKER</t>
        </is>
      </c>
      <c r="I57" t="n">
        <v>5.1</v>
      </c>
      <c r="J57" t="n">
        <v>0</v>
      </c>
      <c r="K57" t="n">
        <v>0</v>
      </c>
      <c r="L57" t="n">
        <v>0</v>
      </c>
      <c r="M57" t="n">
        <v>0</v>
      </c>
      <c r="N57" t="n">
        <v>0</v>
      </c>
      <c r="O57" t="n">
        <v>0</v>
      </c>
      <c r="P57" t="n">
        <v>0</v>
      </c>
      <c r="Q57" t="n">
        <v>0</v>
      </c>
      <c r="R57" t="n">
        <v>0</v>
      </c>
      <c r="S57" t="n">
        <v>0</v>
      </c>
      <c r="T57" t="n">
        <v>0</v>
      </c>
      <c r="U57" t="n">
        <v>0</v>
      </c>
      <c r="V57" s="2" t="inlineStr"/>
    </row>
    <row r="58" ht="15" customHeight="1">
      <c r="A58" t="inlineStr">
        <is>
          <t>A 3828-2023</t>
        </is>
      </c>
      <c r="B58" t="inlineStr">
        <is>
          <t>avverkningsanmälan</t>
        </is>
      </c>
      <c r="C58" t="inlineStr">
        <is>
          <t>Föryngringsavverkning</t>
        </is>
      </c>
      <c r="D58" s="1" t="n">
        <v>44951</v>
      </c>
      <c r="E58" s="1" t="n">
        <v>46308</v>
      </c>
      <c r="F58" t="inlineStr">
        <is>
          <t>STOCKHOLMS LÄN</t>
        </is>
      </c>
      <c r="G58" t="inlineStr">
        <is>
          <t>ÖSTERÅKER</t>
        </is>
      </c>
      <c r="H58" t="inlineStr">
        <is>
          <t>Kommuner</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27137-2025</t>
        </is>
      </c>
      <c r="B59" t="inlineStr">
        <is>
          <t>avverkningsanmälan</t>
        </is>
      </c>
      <c r="C59" t="inlineStr">
        <is>
          <t>Föryngringsavverkning</t>
        </is>
      </c>
      <c r="D59" s="1" t="n">
        <v>45811</v>
      </c>
      <c r="E59" s="1" t="n">
        <v>46308</v>
      </c>
      <c r="F59" t="inlineStr">
        <is>
          <t>STOCKHOLMS LÄN</t>
        </is>
      </c>
      <c r="G59" t="inlineStr">
        <is>
          <t>ÖSTERÅKER</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34034-2025</t>
        </is>
      </c>
      <c r="B60" t="inlineStr">
        <is>
          <t>avverkningsanmälan</t>
        </is>
      </c>
      <c r="C60" t="inlineStr">
        <is>
          <t>Föryngringsavverkning</t>
        </is>
      </c>
      <c r="D60" s="1" t="n">
        <v>45842</v>
      </c>
      <c r="E60" s="1" t="n">
        <v>46308</v>
      </c>
      <c r="F60" t="inlineStr">
        <is>
          <t>STOCKHOLMS LÄN</t>
        </is>
      </c>
      <c r="G60" t="inlineStr">
        <is>
          <t>ÖSTERÅKER</t>
        </is>
      </c>
      <c r="H60" t="inlineStr">
        <is>
          <t>Övriga Aktiebolag</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5038-2026</t>
        </is>
      </c>
      <c r="B61" t="inlineStr">
        <is>
          <t>avverkningsanmälan</t>
        </is>
      </c>
      <c r="C61" t="inlineStr">
        <is>
          <t>Föryngringsavverkning</t>
        </is>
      </c>
      <c r="D61" s="1" t="n">
        <v>46049</v>
      </c>
      <c r="E61" s="1" t="n">
        <v>46308</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35819-2025</t>
        </is>
      </c>
      <c r="B62" t="inlineStr">
        <is>
          <t>avverkningsanmälan</t>
        </is>
      </c>
      <c r="C62" t="inlineStr">
        <is>
          <t>Föryngringsavverkning</t>
        </is>
      </c>
      <c r="D62" s="1" t="n">
        <v>45861</v>
      </c>
      <c r="E62" s="1" t="n">
        <v>46308</v>
      </c>
      <c r="F62" t="inlineStr">
        <is>
          <t>STOCKHOLMS LÄN</t>
        </is>
      </c>
      <c r="G62" t="inlineStr">
        <is>
          <t>ÖSTERÅKER</t>
        </is>
      </c>
      <c r="H62" t="inlineStr">
        <is>
          <t>Övriga Aktiebolag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33158-2024</t>
        </is>
      </c>
      <c r="B63" t="inlineStr">
        <is>
          <t>avverkningsanmälan</t>
        </is>
      </c>
      <c r="C63" t="inlineStr">
        <is>
          <t>Avverkning för annat ändamål</t>
        </is>
      </c>
      <c r="D63" s="1" t="n">
        <v>45518</v>
      </c>
      <c r="E63" s="1" t="n">
        <v>46308</v>
      </c>
      <c r="F63" t="inlineStr">
        <is>
          <t>STOCKHOLMS LÄN</t>
        </is>
      </c>
      <c r="G63" t="inlineStr">
        <is>
          <t>ÖSTERÅKER</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40142-2026</t>
        </is>
      </c>
      <c r="B64" t="inlineStr">
        <is>
          <t>avverkningsanmälan</t>
        </is>
      </c>
      <c r="C64" t="inlineStr">
        <is>
          <t>Föryngringsavverkning</t>
        </is>
      </c>
      <c r="D64" s="1" t="n">
        <v>46293</v>
      </c>
      <c r="E64" s="1" t="n">
        <v>46308</v>
      </c>
      <c r="F64" t="inlineStr">
        <is>
          <t>STOCKHOLMS LÄN</t>
        </is>
      </c>
      <c r="G64" t="inlineStr">
        <is>
          <t>ÖSTERÅKER</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12345-2026</t>
        </is>
      </c>
      <c r="B65" t="inlineStr">
        <is>
          <t>avverkningsanmälan</t>
        </is>
      </c>
      <c r="C65" t="inlineStr">
        <is>
          <t>Föryngringsavverkning</t>
        </is>
      </c>
      <c r="D65" s="1" t="n">
        <v>46087</v>
      </c>
      <c r="E65" s="1" t="n">
        <v>46308</v>
      </c>
      <c r="F65" t="inlineStr">
        <is>
          <t>STOCKHOLMS LÄN</t>
        </is>
      </c>
      <c r="G65" t="inlineStr">
        <is>
          <t>ÖSTERÅKER</t>
        </is>
      </c>
      <c r="H65" t="inlineStr">
        <is>
          <t>Övriga Aktiebolag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34713-2025</t>
        </is>
      </c>
      <c r="B66" t="inlineStr">
        <is>
          <t>avverkningsanmälan</t>
        </is>
      </c>
      <c r="C66" t="inlineStr">
        <is>
          <t>Föryngringsavverkning</t>
        </is>
      </c>
      <c r="D66" s="1" t="n">
        <v>45848</v>
      </c>
      <c r="E66" s="1" t="n">
        <v>46308</v>
      </c>
      <c r="F66" t="inlineStr">
        <is>
          <t>STOCKHOLMS LÄN</t>
        </is>
      </c>
      <c r="G66" t="inlineStr">
        <is>
          <t>ÖSTERÅKER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60482-2025</t>
        </is>
      </c>
      <c r="B67" t="inlineStr">
        <is>
          <t>avverkningsanmälan</t>
        </is>
      </c>
      <c r="C67" t="inlineStr">
        <is>
          <t>Föryngringsavverkning</t>
        </is>
      </c>
      <c r="D67" s="1" t="n">
        <v>45995</v>
      </c>
      <c r="E67" s="1" t="n">
        <v>46308</v>
      </c>
      <c r="F67" t="inlineStr">
        <is>
          <t>STOCKHOLMS LÄN</t>
        </is>
      </c>
      <c r="G67" t="inlineStr">
        <is>
          <t>ÖSTERÅKER</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21796-2025</t>
        </is>
      </c>
      <c r="B68" t="inlineStr">
        <is>
          <t>avverkningsanmälan</t>
        </is>
      </c>
      <c r="C68" t="inlineStr">
        <is>
          <t>Föryngringsavverkning</t>
        </is>
      </c>
      <c r="D68" s="1" t="n">
        <v>45783</v>
      </c>
      <c r="E68" s="1" t="n">
        <v>46308</v>
      </c>
      <c r="F68" t="inlineStr">
        <is>
          <t>STOCKHOLMS LÄN</t>
        </is>
      </c>
      <c r="G68" t="inlineStr">
        <is>
          <t>ÖSTERÅKER</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18711-2023</t>
        </is>
      </c>
      <c r="B69" t="inlineStr">
        <is>
          <t>avverkningsanmälan</t>
        </is>
      </c>
      <c r="C69" t="inlineStr">
        <is>
          <t>Föryngringsavverkning</t>
        </is>
      </c>
      <c r="D69" s="1" t="n">
        <v>45043</v>
      </c>
      <c r="E69" s="1" t="n">
        <v>46308</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17353-2025</t>
        </is>
      </c>
      <c r="B70" t="inlineStr">
        <is>
          <t>avverkningsanmälan</t>
        </is>
      </c>
      <c r="C70" t="inlineStr">
        <is>
          <t>Föryngringsavverkning</t>
        </is>
      </c>
      <c r="D70" s="1" t="n">
        <v>45756</v>
      </c>
      <c r="E70" s="1" t="n">
        <v>46308</v>
      </c>
      <c r="F70" t="inlineStr">
        <is>
          <t>STOCKHOLMS LÄN</t>
        </is>
      </c>
      <c r="G70" t="inlineStr">
        <is>
          <t>ÖSTERÅKER</t>
        </is>
      </c>
      <c r="H70" t="inlineStr">
        <is>
          <t>Övriga Aktiebolag</t>
        </is>
      </c>
      <c r="I70" t="n">
        <v>5.5</v>
      </c>
      <c r="J70" t="n">
        <v>0</v>
      </c>
      <c r="K70" t="n">
        <v>0</v>
      </c>
      <c r="L70" t="n">
        <v>0</v>
      </c>
      <c r="M70" t="n">
        <v>0</v>
      </c>
      <c r="N70" t="n">
        <v>0</v>
      </c>
      <c r="O70" t="n">
        <v>0</v>
      </c>
      <c r="P70" t="n">
        <v>0</v>
      </c>
      <c r="Q70" t="n">
        <v>0</v>
      </c>
      <c r="R70" t="n">
        <v>0</v>
      </c>
      <c r="S70" t="n">
        <v>0</v>
      </c>
      <c r="T70" t="n">
        <v>0</v>
      </c>
      <c r="U70" t="n">
        <v>0</v>
      </c>
      <c r="V70" s="2" t="inlineStr"/>
    </row>
    <row r="71" ht="15" customHeight="1">
      <c r="A71" t="inlineStr">
        <is>
          <t>A 61360-2022</t>
        </is>
      </c>
      <c r="B71" t="inlineStr">
        <is>
          <t>avverkningsanmälan</t>
        </is>
      </c>
      <c r="C71" t="inlineStr">
        <is>
          <t>Föryngringsavverkning</t>
        </is>
      </c>
      <c r="D71" s="1" t="n">
        <v>44915</v>
      </c>
      <c r="E71" s="1" t="n">
        <v>46308</v>
      </c>
      <c r="F71" t="inlineStr">
        <is>
          <t>STOCKHOLMS LÄN</t>
        </is>
      </c>
      <c r="G71" t="inlineStr">
        <is>
          <t>ÖSTERÅKER</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46308</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16728-2022</t>
        </is>
      </c>
      <c r="B73" t="inlineStr">
        <is>
          <t>avverkningsanmälan</t>
        </is>
      </c>
      <c r="C73" t="inlineStr">
        <is>
          <t>Föryngringsavverkning</t>
        </is>
      </c>
      <c r="D73" s="1" t="n">
        <v>44673</v>
      </c>
      <c r="E73" s="1" t="n">
        <v>46308</v>
      </c>
      <c r="F73" t="inlineStr">
        <is>
          <t>STOCKHOLMS LÄN</t>
        </is>
      </c>
      <c r="G73" t="inlineStr">
        <is>
          <t>ÖSTERÅKER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17263-2022</t>
        </is>
      </c>
      <c r="B74" t="inlineStr">
        <is>
          <t>avverkningsanmälan</t>
        </is>
      </c>
      <c r="C74" t="inlineStr">
        <is>
          <t>Föryngringsavverkning</t>
        </is>
      </c>
      <c r="D74" s="1" t="n">
        <v>44678</v>
      </c>
      <c r="E74" s="1" t="n">
        <v>46308</v>
      </c>
      <c r="F74" t="inlineStr">
        <is>
          <t>STOCKHOLMS LÄN</t>
        </is>
      </c>
      <c r="G74" t="inlineStr">
        <is>
          <t>ÖSTERÅKER</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1136-2023</t>
        </is>
      </c>
      <c r="B75" t="inlineStr">
        <is>
          <t>avverkningsanmälan</t>
        </is>
      </c>
      <c r="C75" t="inlineStr">
        <is>
          <t>Avverkning för annat ändamål</t>
        </is>
      </c>
      <c r="D75" s="1" t="n">
        <v>44935</v>
      </c>
      <c r="E75" s="1" t="n">
        <v>46308</v>
      </c>
      <c r="F75" t="inlineStr">
        <is>
          <t>STOCKHOLMS LÄN</t>
        </is>
      </c>
      <c r="G75" t="inlineStr">
        <is>
          <t>ÖSTERÅKER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61710-2022</t>
        </is>
      </c>
      <c r="B76" t="inlineStr">
        <is>
          <t>avverkningsanmälan</t>
        </is>
      </c>
      <c r="C76" t="inlineStr">
        <is>
          <t>Föryngringsavverkning</t>
        </is>
      </c>
      <c r="D76" s="1" t="n">
        <v>44917</v>
      </c>
      <c r="E76" s="1" t="n">
        <v>46308</v>
      </c>
      <c r="F76" t="inlineStr">
        <is>
          <t>STOCKHOLMS LÄN</t>
        </is>
      </c>
      <c r="G76" t="inlineStr">
        <is>
          <t>ÖSTERÅKER</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22528-2024</t>
        </is>
      </c>
      <c r="B77" t="inlineStr">
        <is>
          <t>avverkningsanmälan</t>
        </is>
      </c>
      <c r="C77" t="inlineStr">
        <is>
          <t>Föryngringsavverkning</t>
        </is>
      </c>
      <c r="D77" s="1" t="n">
        <v>45447</v>
      </c>
      <c r="E77" s="1" t="n">
        <v>46308</v>
      </c>
      <c r="F77" t="inlineStr">
        <is>
          <t>STOCKHOLMS LÄN</t>
        </is>
      </c>
      <c r="G77" t="inlineStr">
        <is>
          <t>ÖSTERÅKER</t>
        </is>
      </c>
      <c r="H77" t="inlineStr">
        <is>
          <t>Övriga Aktiebolag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46308</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28143-2024</t>
        </is>
      </c>
      <c r="B79" t="inlineStr">
        <is>
          <t>avverkningsanmälan</t>
        </is>
      </c>
      <c r="C79" t="inlineStr">
        <is>
          <t>Föryngringsavverkning</t>
        </is>
      </c>
      <c r="D79" s="1" t="n">
        <v>45476</v>
      </c>
      <c r="E79" s="1" t="n">
        <v>46308</v>
      </c>
      <c r="F79" t="inlineStr">
        <is>
          <t>STOCKHOLMS LÄN</t>
        </is>
      </c>
      <c r="G79" t="inlineStr">
        <is>
          <t>ÖSTERÅKER</t>
        </is>
      </c>
      <c r="H79" t="inlineStr">
        <is>
          <t>Övriga Aktiebolag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23198-2026</t>
        </is>
      </c>
      <c r="B80" t="inlineStr">
        <is>
          <t>avverkningsanmälan</t>
        </is>
      </c>
      <c r="C80" t="inlineStr">
        <is>
          <t>Avverkning för annat ändamål</t>
        </is>
      </c>
      <c r="D80" s="1" t="n">
        <v>46161</v>
      </c>
      <c r="E80" s="1" t="n">
        <v>46308</v>
      </c>
      <c r="F80" t="inlineStr">
        <is>
          <t>STOCKHOLMS LÄN</t>
        </is>
      </c>
      <c r="G80" t="inlineStr">
        <is>
          <t>ÖSTERÅKER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9865-2025</t>
        </is>
      </c>
      <c r="B81" t="inlineStr">
        <is>
          <t>avverkningsanmälan</t>
        </is>
      </c>
      <c r="C81" t="inlineStr">
        <is>
          <t>Föryngringsavverkning</t>
        </is>
      </c>
      <c r="D81" s="1" t="n">
        <v>45716</v>
      </c>
      <c r="E81" s="1" t="n">
        <v>46308</v>
      </c>
      <c r="F81" t="inlineStr">
        <is>
          <t>STOCKHOLMS LÄN</t>
        </is>
      </c>
      <c r="G81" t="inlineStr">
        <is>
          <t>ÖSTERÅKER</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14776-2024</t>
        </is>
      </c>
      <c r="B82" t="inlineStr">
        <is>
          <t>avverkningsanmälan</t>
        </is>
      </c>
      <c r="C82" t="inlineStr">
        <is>
          <t>Föryngringsavverkning</t>
        </is>
      </c>
      <c r="D82" s="1" t="n">
        <v>45397</v>
      </c>
      <c r="E82" s="1" t="n">
        <v>46308</v>
      </c>
      <c r="F82" t="inlineStr">
        <is>
          <t>STOCKHOLMS LÄN</t>
        </is>
      </c>
      <c r="G82" t="inlineStr">
        <is>
          <t>ÖSTERÅKER</t>
        </is>
      </c>
      <c r="I82" t="n">
        <v>13.6</v>
      </c>
      <c r="J82" t="n">
        <v>0</v>
      </c>
      <c r="K82" t="n">
        <v>0</v>
      </c>
      <c r="L82" t="n">
        <v>0</v>
      </c>
      <c r="M82" t="n">
        <v>0</v>
      </c>
      <c r="N82" t="n">
        <v>0</v>
      </c>
      <c r="O82" t="n">
        <v>0</v>
      </c>
      <c r="P82" t="n">
        <v>0</v>
      </c>
      <c r="Q82" t="n">
        <v>0</v>
      </c>
      <c r="R82" t="n">
        <v>0</v>
      </c>
      <c r="S82" t="n">
        <v>0</v>
      </c>
      <c r="T82" t="n">
        <v>0</v>
      </c>
      <c r="U82" t="n">
        <v>0</v>
      </c>
      <c r="V82" s="2" t="inlineStr"/>
    </row>
    <row r="83" ht="15" customHeight="1">
      <c r="A83" t="inlineStr">
        <is>
          <t>A 39394-2023</t>
        </is>
      </c>
      <c r="B83" t="inlineStr">
        <is>
          <t>avverkningsanmälan</t>
        </is>
      </c>
      <c r="C83" t="inlineStr">
        <is>
          <t>Föryngringsavverkning</t>
        </is>
      </c>
      <c r="D83" s="1" t="n">
        <v>45166</v>
      </c>
      <c r="E83" s="1" t="n">
        <v>46308</v>
      </c>
      <c r="F83" t="inlineStr">
        <is>
          <t>STOCKHOLMS LÄN</t>
        </is>
      </c>
      <c r="G83" t="inlineStr">
        <is>
          <t>ÖSTERÅKER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16803-2022</t>
        </is>
      </c>
      <c r="B84" t="inlineStr">
        <is>
          <t>avverkningsanmälan</t>
        </is>
      </c>
      <c r="C84" t="inlineStr">
        <is>
          <t>Föryngringsavverkning</t>
        </is>
      </c>
      <c r="D84" s="1" t="n">
        <v>44673</v>
      </c>
      <c r="E84" s="1" t="n">
        <v>46308</v>
      </c>
      <c r="F84" t="inlineStr">
        <is>
          <t>STOCKHOLMS LÄN</t>
        </is>
      </c>
      <c r="G84" t="inlineStr">
        <is>
          <t>ÖSTERÅKER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470-2022</t>
        </is>
      </c>
      <c r="B85" t="inlineStr">
        <is>
          <t>avverkningsanmälan</t>
        </is>
      </c>
      <c r="C85" t="inlineStr">
        <is>
          <t>Föryngringsavverkning</t>
        </is>
      </c>
      <c r="D85" s="1" t="n">
        <v>44565</v>
      </c>
      <c r="E85" s="1" t="n">
        <v>46308</v>
      </c>
      <c r="F85" t="inlineStr">
        <is>
          <t>STOCKHOLMS LÄN</t>
        </is>
      </c>
      <c r="G85" t="inlineStr">
        <is>
          <t>ÖSTERÅKER</t>
        </is>
      </c>
      <c r="H85" t="inlineStr">
        <is>
          <t>Övriga Aktiebolag</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6655-2023</t>
        </is>
      </c>
      <c r="B86" t="inlineStr">
        <is>
          <t>avverkningsanmälan</t>
        </is>
      </c>
      <c r="C86" t="inlineStr">
        <is>
          <t>Föryngringsavverkning</t>
        </is>
      </c>
      <c r="D86" s="1" t="n">
        <v>44966</v>
      </c>
      <c r="E86" s="1" t="n">
        <v>46308</v>
      </c>
      <c r="F86" t="inlineStr">
        <is>
          <t>STOCKHOLMS LÄN</t>
        </is>
      </c>
      <c r="G86" t="inlineStr">
        <is>
          <t>ÖSTERÅKER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56909-2024</t>
        </is>
      </c>
      <c r="B87" t="inlineStr">
        <is>
          <t>avverkningsanmälan</t>
        </is>
      </c>
      <c r="C87" t="inlineStr">
        <is>
          <t>Avverkning för att bevara och utveckla /försöksver</t>
        </is>
      </c>
      <c r="D87" s="1" t="n">
        <v>45628</v>
      </c>
      <c r="E87" s="1" t="n">
        <v>46308</v>
      </c>
      <c r="F87" t="inlineStr">
        <is>
          <t>STOCKHOLMS LÄN</t>
        </is>
      </c>
      <c r="G87" t="inlineStr">
        <is>
          <t>ÖSTERÅKER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845-2024</t>
        </is>
      </c>
      <c r="B88" t="inlineStr">
        <is>
          <t>avverkningsanmälan</t>
        </is>
      </c>
      <c r="C88" t="inlineStr">
        <is>
          <t>Föryngringsavverkning</t>
        </is>
      </c>
      <c r="D88" s="1" t="n">
        <v>45300</v>
      </c>
      <c r="E88" s="1" t="n">
        <v>46308</v>
      </c>
      <c r="F88" t="inlineStr">
        <is>
          <t>STOCKHOLMS LÄN</t>
        </is>
      </c>
      <c r="G88" t="inlineStr">
        <is>
          <t>ÖSTERÅKER</t>
        </is>
      </c>
      <c r="I88" t="n">
        <v>10.1</v>
      </c>
      <c r="J88" t="n">
        <v>0</v>
      </c>
      <c r="K88" t="n">
        <v>0</v>
      </c>
      <c r="L88" t="n">
        <v>0</v>
      </c>
      <c r="M88" t="n">
        <v>0</v>
      </c>
      <c r="N88" t="n">
        <v>0</v>
      </c>
      <c r="O88" t="n">
        <v>0</v>
      </c>
      <c r="P88" t="n">
        <v>0</v>
      </c>
      <c r="Q88" t="n">
        <v>0</v>
      </c>
      <c r="R88" t="n">
        <v>0</v>
      </c>
      <c r="S88" t="n">
        <v>0</v>
      </c>
      <c r="T88" t="n">
        <v>0</v>
      </c>
      <c r="U88" t="n">
        <v>0</v>
      </c>
      <c r="V88" s="2" t="inlineStr"/>
    </row>
    <row r="89" ht="15" customHeight="1">
      <c r="A89" t="inlineStr">
        <is>
          <t>A 31134-2023</t>
        </is>
      </c>
      <c r="B89" t="inlineStr">
        <is>
          <t>avverkningsanmälan</t>
        </is>
      </c>
      <c r="C89" t="inlineStr">
        <is>
          <t>Föryngringsavverkning</t>
        </is>
      </c>
      <c r="D89" s="1" t="n">
        <v>45113</v>
      </c>
      <c r="E89" s="1" t="n">
        <v>46308</v>
      </c>
      <c r="F89" t="inlineStr">
        <is>
          <t>STOCKHOLMS LÄN</t>
        </is>
      </c>
      <c r="G89" t="inlineStr">
        <is>
          <t>ÖSTERÅKER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10185-2025</t>
        </is>
      </c>
      <c r="B90" t="inlineStr">
        <is>
          <t>avverkningsanmälan</t>
        </is>
      </c>
      <c r="C90" t="inlineStr">
        <is>
          <t>Föryngringsavverkning</t>
        </is>
      </c>
      <c r="D90" s="1" t="n">
        <v>45719</v>
      </c>
      <c r="E90" s="1" t="n">
        <v>46308</v>
      </c>
      <c r="F90" t="inlineStr">
        <is>
          <t>STOCKHOLMS LÄN</t>
        </is>
      </c>
      <c r="G90" t="inlineStr">
        <is>
          <t>ÖSTERÅKER</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24499-2023</t>
        </is>
      </c>
      <c r="B91" t="inlineStr">
        <is>
          <t>avverkningsanmälan</t>
        </is>
      </c>
      <c r="C91" t="inlineStr">
        <is>
          <t>Föryngringsavverkning</t>
        </is>
      </c>
      <c r="D91" s="1" t="n">
        <v>45082</v>
      </c>
      <c r="E91" s="1" t="n">
        <v>46308</v>
      </c>
      <c r="F91" t="inlineStr">
        <is>
          <t>STOCKHOLMS LÄN</t>
        </is>
      </c>
      <c r="G91" t="inlineStr">
        <is>
          <t>ÖSTERÅKER</t>
        </is>
      </c>
      <c r="I91" t="n">
        <v>0.1</v>
      </c>
      <c r="J91" t="n">
        <v>0</v>
      </c>
      <c r="K91" t="n">
        <v>0</v>
      </c>
      <c r="L91" t="n">
        <v>0</v>
      </c>
      <c r="M91" t="n">
        <v>0</v>
      </c>
      <c r="N91" t="n">
        <v>0</v>
      </c>
      <c r="O91" t="n">
        <v>0</v>
      </c>
      <c r="P91" t="n">
        <v>0</v>
      </c>
      <c r="Q91" t="n">
        <v>0</v>
      </c>
      <c r="R91" t="n">
        <v>0</v>
      </c>
      <c r="S91" t="n">
        <v>0</v>
      </c>
      <c r="T91" t="n">
        <v>0</v>
      </c>
      <c r="U91" t="n">
        <v>0</v>
      </c>
      <c r="V91" s="2" t="inlineStr"/>
    </row>
    <row r="92" ht="15" customHeight="1">
      <c r="A92" t="inlineStr">
        <is>
          <t>A 28146-2024</t>
        </is>
      </c>
      <c r="B92" t="inlineStr">
        <is>
          <t>avverkningsanmälan</t>
        </is>
      </c>
      <c r="C92" t="inlineStr">
        <is>
          <t>Föryngringsavverkning</t>
        </is>
      </c>
      <c r="D92" s="1" t="n">
        <v>45476</v>
      </c>
      <c r="E92" s="1" t="n">
        <v>46308</v>
      </c>
      <c r="F92" t="inlineStr">
        <is>
          <t>STOCKHOLMS LÄN</t>
        </is>
      </c>
      <c r="G92" t="inlineStr">
        <is>
          <t>ÖSTERÅKER</t>
        </is>
      </c>
      <c r="H92" t="inlineStr">
        <is>
          <t>Övriga Aktiebolag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57048-2024</t>
        </is>
      </c>
      <c r="B93" t="inlineStr">
        <is>
          <t>avverkningsanmälan</t>
        </is>
      </c>
      <c r="C93" t="inlineStr">
        <is>
          <t>Föryngringsavverkning</t>
        </is>
      </c>
      <c r="D93" s="1" t="n">
        <v>45629</v>
      </c>
      <c r="E93" s="1" t="n">
        <v>46308</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5286-2025</t>
        </is>
      </c>
      <c r="B94" t="inlineStr">
        <is>
          <t>avverkningsanmälan</t>
        </is>
      </c>
      <c r="C94" t="inlineStr">
        <is>
          <t>Föryngringsavverkning</t>
        </is>
      </c>
      <c r="D94" s="1" t="n">
        <v>45692</v>
      </c>
      <c r="E94" s="1" t="n">
        <v>46308</v>
      </c>
      <c r="F94" t="inlineStr">
        <is>
          <t>STOCKHOLMS LÄN</t>
        </is>
      </c>
      <c r="G94" t="inlineStr">
        <is>
          <t>ÖSTERÅKER</t>
        </is>
      </c>
      <c r="I94" t="n">
        <v>11.2</v>
      </c>
      <c r="J94" t="n">
        <v>0</v>
      </c>
      <c r="K94" t="n">
        <v>0</v>
      </c>
      <c r="L94" t="n">
        <v>0</v>
      </c>
      <c r="M94" t="n">
        <v>0</v>
      </c>
      <c r="N94" t="n">
        <v>0</v>
      </c>
      <c r="O94" t="n">
        <v>0</v>
      </c>
      <c r="P94" t="n">
        <v>0</v>
      </c>
      <c r="Q94" t="n">
        <v>0</v>
      </c>
      <c r="R94" t="n">
        <v>0</v>
      </c>
      <c r="S94" t="n">
        <v>0</v>
      </c>
      <c r="T94" t="n">
        <v>0</v>
      </c>
      <c r="U94" t="n">
        <v>0</v>
      </c>
      <c r="V94" s="2" t="inlineStr"/>
    </row>
    <row r="95" ht="15" customHeight="1">
      <c r="A95" t="inlineStr">
        <is>
          <t>A 3817-2023</t>
        </is>
      </c>
      <c r="B95" t="inlineStr">
        <is>
          <t>avverkningsanmälan</t>
        </is>
      </c>
      <c r="C95" t="inlineStr">
        <is>
          <t>Föryngringsavverkning</t>
        </is>
      </c>
      <c r="D95" s="1" t="n">
        <v>44951</v>
      </c>
      <c r="E95" s="1" t="n">
        <v>46308</v>
      </c>
      <c r="F95" t="inlineStr">
        <is>
          <t>STOCKHOLMS LÄN</t>
        </is>
      </c>
      <c r="G95" t="inlineStr">
        <is>
          <t>ÖSTERÅKER</t>
        </is>
      </c>
      <c r="H95" t="inlineStr">
        <is>
          <t>Kommuner</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544-2023</t>
        </is>
      </c>
      <c r="B96" t="inlineStr">
        <is>
          <t>avverkningsanmälan</t>
        </is>
      </c>
      <c r="C96" t="inlineStr">
        <is>
          <t>Avverkning för annat ändamål</t>
        </is>
      </c>
      <c r="D96" s="1" t="n">
        <v>44924</v>
      </c>
      <c r="E96" s="1" t="n">
        <v>46308</v>
      </c>
      <c r="F96" t="inlineStr">
        <is>
          <t>STOCKHOLMS LÄN</t>
        </is>
      </c>
      <c r="G96" t="inlineStr">
        <is>
          <t>ÖSTERÅKER</t>
        </is>
      </c>
      <c r="H96" t="inlineStr">
        <is>
          <t>Övriga Aktiebolag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3326-2022</t>
        </is>
      </c>
      <c r="B97" t="inlineStr">
        <is>
          <t>avverkningsanmälan</t>
        </is>
      </c>
      <c r="C97" t="inlineStr">
        <is>
          <t>Föryngringsavverkning</t>
        </is>
      </c>
      <c r="D97" s="1" t="n">
        <v>44583</v>
      </c>
      <c r="E97" s="1" t="n">
        <v>46308</v>
      </c>
      <c r="F97" t="inlineStr">
        <is>
          <t>STOCKHOLMS LÄN</t>
        </is>
      </c>
      <c r="G97" t="inlineStr">
        <is>
          <t>ÖSTERÅKER</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13366-2024</t>
        </is>
      </c>
      <c r="B98" t="inlineStr">
        <is>
          <t>avverkningsanmälan</t>
        </is>
      </c>
      <c r="C98" t="inlineStr">
        <is>
          <t>Föryngringsavverkning</t>
        </is>
      </c>
      <c r="D98" s="1" t="n">
        <v>45387</v>
      </c>
      <c r="E98" s="1" t="n">
        <v>46308</v>
      </c>
      <c r="F98" t="inlineStr">
        <is>
          <t>STOCKHOLMS LÄN</t>
        </is>
      </c>
      <c r="G98" t="inlineStr">
        <is>
          <t>ÖSTERÅKER</t>
        </is>
      </c>
      <c r="I98" t="n">
        <v>13.7</v>
      </c>
      <c r="J98" t="n">
        <v>0</v>
      </c>
      <c r="K98" t="n">
        <v>0</v>
      </c>
      <c r="L98" t="n">
        <v>0</v>
      </c>
      <c r="M98" t="n">
        <v>0</v>
      </c>
      <c r="N98" t="n">
        <v>0</v>
      </c>
      <c r="O98" t="n">
        <v>0</v>
      </c>
      <c r="P98" t="n">
        <v>0</v>
      </c>
      <c r="Q98" t="n">
        <v>0</v>
      </c>
      <c r="R98" t="n">
        <v>0</v>
      </c>
      <c r="S98" t="n">
        <v>0</v>
      </c>
      <c r="T98" t="n">
        <v>0</v>
      </c>
      <c r="U98" t="n">
        <v>0</v>
      </c>
      <c r="V98" s="2" t="inlineStr"/>
    </row>
    <row r="99" ht="15" customHeight="1">
      <c r="A99" t="inlineStr">
        <is>
          <t>A 57055-2024</t>
        </is>
      </c>
      <c r="B99" t="inlineStr">
        <is>
          <t>avverkningsanmälan</t>
        </is>
      </c>
      <c r="C99" t="inlineStr">
        <is>
          <t>Föryngringsavverkning</t>
        </is>
      </c>
      <c r="D99" s="1" t="n">
        <v>45629</v>
      </c>
      <c r="E99" s="1" t="n">
        <v>46308</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59379-2022</t>
        </is>
      </c>
      <c r="B100" t="inlineStr">
        <is>
          <t>avverkningsanmälan</t>
        </is>
      </c>
      <c r="C100" t="inlineStr">
        <is>
          <t>Föryngringsavverkning</t>
        </is>
      </c>
      <c r="D100" s="1" t="n">
        <v>44905</v>
      </c>
      <c r="E100" s="1" t="n">
        <v>46308</v>
      </c>
      <c r="F100" t="inlineStr">
        <is>
          <t>STOCKHOLMS LÄN</t>
        </is>
      </c>
      <c r="G100" t="inlineStr">
        <is>
          <t>ÖSTERÅKER</t>
        </is>
      </c>
      <c r="H100" t="inlineStr">
        <is>
          <t>Kommuner</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46688-2022</t>
        </is>
      </c>
      <c r="B101" t="inlineStr">
        <is>
          <t>avverkningsanmälan</t>
        </is>
      </c>
      <c r="C101" t="inlineStr">
        <is>
          <t>Föryngringsavverkning</t>
        </is>
      </c>
      <c r="D101" s="1" t="n">
        <v>44851</v>
      </c>
      <c r="E101" s="1" t="n">
        <v>46308</v>
      </c>
      <c r="F101" t="inlineStr">
        <is>
          <t>STOCKHOLMS LÄN</t>
        </is>
      </c>
      <c r="G101" t="inlineStr">
        <is>
          <t>ÖSTERÅKER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16738-2022</t>
        </is>
      </c>
      <c r="B102" t="inlineStr">
        <is>
          <t>avverkningsanmälan</t>
        </is>
      </c>
      <c r="C102" t="inlineStr">
        <is>
          <t>Avverkning för annat ändamål</t>
        </is>
      </c>
      <c r="D102" s="1" t="n">
        <v>44673</v>
      </c>
      <c r="E102" s="1" t="n">
        <v>46308</v>
      </c>
      <c r="F102" t="inlineStr">
        <is>
          <t>STOCKHOLMS LÄN</t>
        </is>
      </c>
      <c r="G102" t="inlineStr">
        <is>
          <t>ÖSTERÅKER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46308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46308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46308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2026-10-13T01:57:49Z</dcterms:created>
  <dcterms:modified xmlns:dcterms="http://purl.org/dc/terms/" xmlns:xsi="http://www.w3.org/2001/XMLSchema-instance" xsi:type="dcterms:W3CDTF">2026-10-13T01:57:50Z</dcterms:modified>
</cp:coreProperties>
</file>