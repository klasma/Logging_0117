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46259</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46259</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46259</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46259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46259</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46259</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46259</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54703-2024</t>
        </is>
      </c>
      <c r="B15" t="inlineStr">
        <is>
          <t>avverkningsanmälan</t>
        </is>
      </c>
      <c r="C15" t="inlineStr">
        <is>
          <t>Avverkning för annat ändamål</t>
        </is>
      </c>
      <c r="D15" s="1" t="n">
        <v>45618</v>
      </c>
      <c r="E15" s="1" t="n">
        <v>46259</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46259</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62578-2025</t>
        </is>
      </c>
      <c r="B17" t="inlineStr">
        <is>
          <t>avverkningsanmälan</t>
        </is>
      </c>
      <c r="C17" t="inlineStr">
        <is>
          <t>Föryngringsavverkning</t>
        </is>
      </c>
      <c r="D17" s="1" t="n">
        <v>46007</v>
      </c>
      <c r="E17" s="1" t="n">
        <v>46259</v>
      </c>
      <c r="F17" t="inlineStr">
        <is>
          <t>STOCKHOLMS LÄN</t>
        </is>
      </c>
      <c r="G17" t="inlineStr">
        <is>
          <t>ÖSTERÅKER</t>
        </is>
      </c>
      <c r="I17" t="n">
        <v>3.4</v>
      </c>
      <c r="J17" t="n">
        <v>0</v>
      </c>
      <c r="K17" t="n">
        <v>3</v>
      </c>
      <c r="L17" t="n">
        <v>0</v>
      </c>
      <c r="M17" t="n">
        <v>0</v>
      </c>
      <c r="N17" t="n">
        <v>0</v>
      </c>
      <c r="O17" t="n">
        <v>0</v>
      </c>
      <c r="P17" t="n">
        <v>0</v>
      </c>
      <c r="Q17" t="n">
        <v>0</v>
      </c>
      <c r="R17" t="n">
        <v>0</v>
      </c>
      <c r="S17" t="n">
        <v>3</v>
      </c>
      <c r="T17" t="n">
        <v>4</v>
      </c>
      <c r="U17" t="n">
        <v>0</v>
      </c>
      <c r="V17" s="2" t="inlineStr">
        <is>
          <t>Fällmossa
Mindre märgborre
Vedticka</t>
        </is>
      </c>
      <c r="W17">
        <f>HYPERLINK("https://klasma.github.io/Logging_0117/artfynd/A 62578-2025 artfynd.xlsx", "A 62578-2025")</f>
        <v/>
      </c>
      <c r="X17">
        <f>HYPERLINK("https://klasma.github.io/Logging_0117/kartor/A 62578-2025 karta.png", "A 62578-2025")</f>
        <v/>
      </c>
      <c r="Y17">
        <f>HYPERLINK("https://klasma.github.io/Logging_0117/kartor_geotiff/A 62578-2025 georefererad karta.tif", "A 62578-2025")</f>
        <v/>
      </c>
      <c r="AA17">
        <f>HYPERLINK("https://klasma.github.io/Logging_0117/klagomål/A 62578-2025 FSC-klagomål.docx", "A 62578-2025")</f>
        <v/>
      </c>
      <c r="AB17">
        <f>HYPERLINK("https://klasma.github.io/Logging_0117/klagomålsmail/A 62578-2025 FSC-klagomål mail.docx", "A 62578-2025")</f>
        <v/>
      </c>
      <c r="AC17">
        <f>HYPERLINK("https://klasma.github.io/Logging_0117/tillsyn/A 62578-2025 tillsynsbegäran.docx", "A 62578-2025")</f>
        <v/>
      </c>
      <c r="AD17">
        <f>HYPERLINK("https://klasma.github.io/Logging_0117/tillsynsmail/A 62578-2025 tillsynsbegäran mail.docx", "A 62578-2025")</f>
        <v/>
      </c>
    </row>
    <row r="18" ht="15" customHeight="1">
      <c r="A18" t="inlineStr">
        <is>
          <t>A 67244-2021</t>
        </is>
      </c>
      <c r="B18" t="inlineStr">
        <is>
          <t>avverkningsanmälan</t>
        </is>
      </c>
      <c r="C18" t="inlineStr">
        <is>
          <t>Avverkning för annat ändamål</t>
        </is>
      </c>
      <c r="D18" s="1" t="n">
        <v>44523</v>
      </c>
      <c r="E18" s="1" t="n">
        <v>46259</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43308-2024</t>
        </is>
      </c>
      <c r="B19" t="inlineStr">
        <is>
          <t>avverkningsanmälan</t>
        </is>
      </c>
      <c r="C19" t="inlineStr">
        <is>
          <t>Föryngringsavverkning</t>
        </is>
      </c>
      <c r="D19" s="1" t="n">
        <v>45568</v>
      </c>
      <c r="E19" s="1" t="n">
        <v>46259</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61275-2021</t>
        </is>
      </c>
      <c r="B20" t="inlineStr">
        <is>
          <t>avverkningsanmälan</t>
        </is>
      </c>
      <c r="C20" t="inlineStr">
        <is>
          <t>Föryngringsavverkning</t>
        </is>
      </c>
      <c r="D20" s="1" t="n">
        <v>44498</v>
      </c>
      <c r="E20" s="1" t="n">
        <v>46259</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31575-2022</t>
        </is>
      </c>
      <c r="B21" t="inlineStr">
        <is>
          <t>avverkningsanmälan</t>
        </is>
      </c>
      <c r="C21" t="inlineStr">
        <is>
          <t>Föryngringsavverkning</t>
        </is>
      </c>
      <c r="D21" s="1" t="n">
        <v>44775</v>
      </c>
      <c r="E21" s="1" t="n">
        <v>46259</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46259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31716-2025</t>
        </is>
      </c>
      <c r="B23" t="inlineStr">
        <is>
          <t>avverkningsanmälan</t>
        </is>
      </c>
      <c r="C23" t="inlineStr">
        <is>
          <t>Föryngringsavverkning</t>
        </is>
      </c>
      <c r="D23" s="1" t="n">
        <v>45834</v>
      </c>
      <c r="E23" s="1" t="n">
        <v>46259</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46259</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46259</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46259</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46259</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46259</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46259</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46259</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46259</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46259</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46259</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46259</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46259</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46259</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46259</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46259</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46259</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46259</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46259</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46259</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46259</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27137-2025</t>
        </is>
      </c>
      <c r="B44" t="inlineStr">
        <is>
          <t>avverkningsanmälan</t>
        </is>
      </c>
      <c r="C44" t="inlineStr">
        <is>
          <t>Föryngringsavverkning</t>
        </is>
      </c>
      <c r="D44" s="1" t="n">
        <v>45811</v>
      </c>
      <c r="E44" s="1" t="n">
        <v>46259</v>
      </c>
      <c r="F44" t="inlineStr">
        <is>
          <t>STOCKHOLMS LÄN</t>
        </is>
      </c>
      <c r="G44" t="inlineStr">
        <is>
          <t>ÖSTERÅKER</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470-2022</t>
        </is>
      </c>
      <c r="B45" t="inlineStr">
        <is>
          <t>avverkningsanmälan</t>
        </is>
      </c>
      <c r="C45" t="inlineStr">
        <is>
          <t>Föryngringsavverkning</t>
        </is>
      </c>
      <c r="D45" s="1" t="n">
        <v>44565</v>
      </c>
      <c r="E45" s="1" t="n">
        <v>46259</v>
      </c>
      <c r="F45" t="inlineStr">
        <is>
          <t>STOCKHOLMS LÄN</t>
        </is>
      </c>
      <c r="G45" t="inlineStr">
        <is>
          <t>ÖSTERÅKER</t>
        </is>
      </c>
      <c r="H45" t="inlineStr">
        <is>
          <t>Övriga Aktiebolag</t>
        </is>
      </c>
      <c r="I45" t="n">
        <v>4.6</v>
      </c>
      <c r="J45" t="n">
        <v>0</v>
      </c>
      <c r="K45" t="n">
        <v>0</v>
      </c>
      <c r="L45" t="n">
        <v>0</v>
      </c>
      <c r="M45" t="n">
        <v>0</v>
      </c>
      <c r="N45" t="n">
        <v>0</v>
      </c>
      <c r="O45" t="n">
        <v>0</v>
      </c>
      <c r="P45" t="n">
        <v>0</v>
      </c>
      <c r="Q45" t="n">
        <v>0</v>
      </c>
      <c r="R45" t="n">
        <v>0</v>
      </c>
      <c r="S45" t="n">
        <v>0</v>
      </c>
      <c r="T45" t="n">
        <v>0</v>
      </c>
      <c r="U45" t="n">
        <v>0</v>
      </c>
      <c r="V45" s="2" t="inlineStr"/>
    </row>
    <row r="46" ht="15" customHeight="1">
      <c r="A46" t="inlineStr">
        <is>
          <t>A 33158-2024</t>
        </is>
      </c>
      <c r="B46" t="inlineStr">
        <is>
          <t>avverkningsanmälan</t>
        </is>
      </c>
      <c r="C46" t="inlineStr">
        <is>
          <t>Avverkning för annat ändamål</t>
        </is>
      </c>
      <c r="D46" s="1" t="n">
        <v>45518</v>
      </c>
      <c r="E46" s="1" t="n">
        <v>46259</v>
      </c>
      <c r="F46" t="inlineStr">
        <is>
          <t>STOCKHOLMS LÄN</t>
        </is>
      </c>
      <c r="G46" t="inlineStr">
        <is>
          <t>ÖSTERÅKER</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46688-2022</t>
        </is>
      </c>
      <c r="B47" t="inlineStr">
        <is>
          <t>avverkningsanmälan</t>
        </is>
      </c>
      <c r="C47" t="inlineStr">
        <is>
          <t>Föryngringsavverkning</t>
        </is>
      </c>
      <c r="D47" s="1" t="n">
        <v>44851</v>
      </c>
      <c r="E47" s="1" t="n">
        <v>46259</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34034-2025</t>
        </is>
      </c>
      <c r="B48" t="inlineStr">
        <is>
          <t>avverkningsanmälan</t>
        </is>
      </c>
      <c r="C48" t="inlineStr">
        <is>
          <t>Föryngringsavverkning</t>
        </is>
      </c>
      <c r="D48" s="1" t="n">
        <v>45842</v>
      </c>
      <c r="E48" s="1" t="n">
        <v>46259</v>
      </c>
      <c r="F48" t="inlineStr">
        <is>
          <t>STOCKHOLMS LÄN</t>
        </is>
      </c>
      <c r="G48" t="inlineStr">
        <is>
          <t>ÖSTERÅKER</t>
        </is>
      </c>
      <c r="H48" t="inlineStr">
        <is>
          <t>Övriga Aktiebolag</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13366-2024</t>
        </is>
      </c>
      <c r="B49" t="inlineStr">
        <is>
          <t>avverkningsanmälan</t>
        </is>
      </c>
      <c r="C49" t="inlineStr">
        <is>
          <t>Föryngringsavverkning</t>
        </is>
      </c>
      <c r="D49" s="1" t="n">
        <v>45387</v>
      </c>
      <c r="E49" s="1" t="n">
        <v>46259</v>
      </c>
      <c r="F49" t="inlineStr">
        <is>
          <t>STOCKHOLMS LÄN</t>
        </is>
      </c>
      <c r="G49" t="inlineStr">
        <is>
          <t>ÖSTERÅKER</t>
        </is>
      </c>
      <c r="I49" t="n">
        <v>13.7</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46259</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35819-2025</t>
        </is>
      </c>
      <c r="B51" t="inlineStr">
        <is>
          <t>avverkningsanmälan</t>
        </is>
      </c>
      <c r="C51" t="inlineStr">
        <is>
          <t>Föryngringsavverkning</t>
        </is>
      </c>
      <c r="D51" s="1" t="n">
        <v>45861</v>
      </c>
      <c r="E51" s="1" t="n">
        <v>46259</v>
      </c>
      <c r="F51" t="inlineStr">
        <is>
          <t>STOCKHOLMS LÄN</t>
        </is>
      </c>
      <c r="G51" t="inlineStr">
        <is>
          <t>ÖSTERÅKER</t>
        </is>
      </c>
      <c r="H51" t="inlineStr">
        <is>
          <t>Övriga Aktiebolag</t>
        </is>
      </c>
      <c r="I51" t="n">
        <v>8</v>
      </c>
      <c r="J51" t="n">
        <v>0</v>
      </c>
      <c r="K51" t="n">
        <v>0</v>
      </c>
      <c r="L51" t="n">
        <v>0</v>
      </c>
      <c r="M51" t="n">
        <v>0</v>
      </c>
      <c r="N51" t="n">
        <v>0</v>
      </c>
      <c r="O51" t="n">
        <v>0</v>
      </c>
      <c r="P51" t="n">
        <v>0</v>
      </c>
      <c r="Q51" t="n">
        <v>0</v>
      </c>
      <c r="R51" t="n">
        <v>0</v>
      </c>
      <c r="S51" t="n">
        <v>0</v>
      </c>
      <c r="T51" t="n">
        <v>0</v>
      </c>
      <c r="U51" t="n">
        <v>0</v>
      </c>
      <c r="V51" s="2" t="inlineStr"/>
    </row>
    <row r="52" ht="15" customHeight="1">
      <c r="A52" t="inlineStr">
        <is>
          <t>A 62108-2022</t>
        </is>
      </c>
      <c r="B52" t="inlineStr">
        <is>
          <t>avverkningsanmälan</t>
        </is>
      </c>
      <c r="C52" t="inlineStr">
        <is>
          <t>Föryngringsavverkning</t>
        </is>
      </c>
      <c r="D52" s="1" t="n">
        <v>44920</v>
      </c>
      <c r="E52" s="1" t="n">
        <v>46259</v>
      </c>
      <c r="F52" t="inlineStr">
        <is>
          <t>STOCKHOLMS LÄN</t>
        </is>
      </c>
      <c r="G52" t="inlineStr">
        <is>
          <t>ÖSTERÅKER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28143-2024</t>
        </is>
      </c>
      <c r="B53" t="inlineStr">
        <is>
          <t>avverkningsanmälan</t>
        </is>
      </c>
      <c r="C53" t="inlineStr">
        <is>
          <t>Föryngringsavverkning</t>
        </is>
      </c>
      <c r="D53" s="1" t="n">
        <v>45476</v>
      </c>
      <c r="E53" s="1" t="n">
        <v>46259</v>
      </c>
      <c r="F53" t="inlineStr">
        <is>
          <t>STOCKHOLMS LÄN</t>
        </is>
      </c>
      <c r="G53" t="inlineStr">
        <is>
          <t>ÖSTERÅKER</t>
        </is>
      </c>
      <c r="H53" t="inlineStr">
        <is>
          <t>Övriga Aktiebolag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6655-2023</t>
        </is>
      </c>
      <c r="B54" t="inlineStr">
        <is>
          <t>avverkningsanmälan</t>
        </is>
      </c>
      <c r="C54" t="inlineStr">
        <is>
          <t>Föryngringsavverkning</t>
        </is>
      </c>
      <c r="D54" s="1" t="n">
        <v>44966</v>
      </c>
      <c r="E54" s="1" t="n">
        <v>46259</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28146-2024</t>
        </is>
      </c>
      <c r="B55" t="inlineStr">
        <is>
          <t>avverkningsanmälan</t>
        </is>
      </c>
      <c r="C55" t="inlineStr">
        <is>
          <t>Föryngringsavverkning</t>
        </is>
      </c>
      <c r="D55" s="1" t="n">
        <v>45476</v>
      </c>
      <c r="E55" s="1" t="n">
        <v>46259</v>
      </c>
      <c r="F55" t="inlineStr">
        <is>
          <t>STOCKHOLMS LÄN</t>
        </is>
      </c>
      <c r="G55" t="inlineStr">
        <is>
          <t>ÖSTERÅKER</t>
        </is>
      </c>
      <c r="H55" t="inlineStr">
        <is>
          <t>Övriga Aktiebolag</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31134-2023</t>
        </is>
      </c>
      <c r="B56" t="inlineStr">
        <is>
          <t>avverkningsanmälan</t>
        </is>
      </c>
      <c r="C56" t="inlineStr">
        <is>
          <t>Föryngringsavverkning</t>
        </is>
      </c>
      <c r="D56" s="1" t="n">
        <v>45113</v>
      </c>
      <c r="E56" s="1" t="n">
        <v>46259</v>
      </c>
      <c r="F56" t="inlineStr">
        <is>
          <t>STOCKHOLMS LÄN</t>
        </is>
      </c>
      <c r="G56" t="inlineStr">
        <is>
          <t>ÖSTERÅKER</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22528-2024</t>
        </is>
      </c>
      <c r="B57" t="inlineStr">
        <is>
          <t>avverkningsanmälan</t>
        </is>
      </c>
      <c r="C57" t="inlineStr">
        <is>
          <t>Föryngringsavverkning</t>
        </is>
      </c>
      <c r="D57" s="1" t="n">
        <v>45447</v>
      </c>
      <c r="E57" s="1" t="n">
        <v>46259</v>
      </c>
      <c r="F57" t="inlineStr">
        <is>
          <t>STOCKHOLMS LÄN</t>
        </is>
      </c>
      <c r="G57" t="inlineStr">
        <is>
          <t>ÖSTERÅKER</t>
        </is>
      </c>
      <c r="H57" t="inlineStr">
        <is>
          <t>Övriga Aktiebolag</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16803-2022</t>
        </is>
      </c>
      <c r="B58" t="inlineStr">
        <is>
          <t>avverkningsanmälan</t>
        </is>
      </c>
      <c r="C58" t="inlineStr">
        <is>
          <t>Föryngringsavverkning</t>
        </is>
      </c>
      <c r="D58" s="1" t="n">
        <v>44673</v>
      </c>
      <c r="E58" s="1" t="n">
        <v>46259</v>
      </c>
      <c r="F58" t="inlineStr">
        <is>
          <t>STOCKHOLMS LÄN</t>
        </is>
      </c>
      <c r="G58" t="inlineStr">
        <is>
          <t>ÖSTERÅKER</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57048-2024</t>
        </is>
      </c>
      <c r="B59" t="inlineStr">
        <is>
          <t>avverkningsanmälan</t>
        </is>
      </c>
      <c r="C59" t="inlineStr">
        <is>
          <t>Föryngringsavverkning</t>
        </is>
      </c>
      <c r="D59" s="1" t="n">
        <v>45629</v>
      </c>
      <c r="E59" s="1" t="n">
        <v>46259</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57055-2024</t>
        </is>
      </c>
      <c r="B60" t="inlineStr">
        <is>
          <t>avverkningsanmälan</t>
        </is>
      </c>
      <c r="C60" t="inlineStr">
        <is>
          <t>Föryngringsavverkning</t>
        </is>
      </c>
      <c r="D60" s="1" t="n">
        <v>45629</v>
      </c>
      <c r="E60" s="1" t="n">
        <v>46259</v>
      </c>
      <c r="F60" t="inlineStr">
        <is>
          <t>STOCKHOLMS LÄN</t>
        </is>
      </c>
      <c r="G60" t="inlineStr">
        <is>
          <t>ÖSTERÅKER</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61710-2022</t>
        </is>
      </c>
      <c r="B61" t="inlineStr">
        <is>
          <t>avverkningsanmälan</t>
        </is>
      </c>
      <c r="C61" t="inlineStr">
        <is>
          <t>Föryngringsavverkning</t>
        </is>
      </c>
      <c r="D61" s="1" t="n">
        <v>44917</v>
      </c>
      <c r="E61" s="1" t="n">
        <v>46259</v>
      </c>
      <c r="F61" t="inlineStr">
        <is>
          <t>STOCKHOLMS LÄN</t>
        </is>
      </c>
      <c r="G61" t="inlineStr">
        <is>
          <t>ÖSTERÅKER</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3326-2022</t>
        </is>
      </c>
      <c r="B62" t="inlineStr">
        <is>
          <t>avverkningsanmälan</t>
        </is>
      </c>
      <c r="C62" t="inlineStr">
        <is>
          <t>Föryngringsavverkning</t>
        </is>
      </c>
      <c r="D62" s="1" t="n">
        <v>44583</v>
      </c>
      <c r="E62" s="1" t="n">
        <v>46259</v>
      </c>
      <c r="F62" t="inlineStr">
        <is>
          <t>STOCKHOLMS LÄN</t>
        </is>
      </c>
      <c r="G62" t="inlineStr">
        <is>
          <t>ÖSTERÅKER</t>
        </is>
      </c>
      <c r="H62" t="inlineStr">
        <is>
          <t>Övriga Aktiebolag</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56909-2024</t>
        </is>
      </c>
      <c r="B63" t="inlineStr">
        <is>
          <t>avverkningsanmälan</t>
        </is>
      </c>
      <c r="C63" t="inlineStr">
        <is>
          <t>Avverkning för att bevara och utveckla /försöksver</t>
        </is>
      </c>
      <c r="D63" s="1" t="n">
        <v>45628</v>
      </c>
      <c r="E63" s="1" t="n">
        <v>46259</v>
      </c>
      <c r="F63" t="inlineStr">
        <is>
          <t>STOCKHOLMS LÄN</t>
        </is>
      </c>
      <c r="G63" t="inlineStr">
        <is>
          <t>ÖSTERÅKER</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46259</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21796-2025</t>
        </is>
      </c>
      <c r="B65" t="inlineStr">
        <is>
          <t>avverkningsanmälan</t>
        </is>
      </c>
      <c r="C65" t="inlineStr">
        <is>
          <t>Föryngringsavverkning</t>
        </is>
      </c>
      <c r="D65" s="1" t="n">
        <v>45783</v>
      </c>
      <c r="E65" s="1" t="n">
        <v>46259</v>
      </c>
      <c r="F65" t="inlineStr">
        <is>
          <t>STOCKHOLMS LÄN</t>
        </is>
      </c>
      <c r="G65" t="inlineStr">
        <is>
          <t>ÖSTERÅKER</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16738-2022</t>
        </is>
      </c>
      <c r="B66" t="inlineStr">
        <is>
          <t>avverkningsanmälan</t>
        </is>
      </c>
      <c r="C66" t="inlineStr">
        <is>
          <t>Avverkning för annat ändamål</t>
        </is>
      </c>
      <c r="D66" s="1" t="n">
        <v>44673</v>
      </c>
      <c r="E66" s="1" t="n">
        <v>46259</v>
      </c>
      <c r="F66" t="inlineStr">
        <is>
          <t>STOCKHOLMS LÄN</t>
        </is>
      </c>
      <c r="G66" t="inlineStr">
        <is>
          <t>ÖSTERÅKER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3917-2023</t>
        </is>
      </c>
      <c r="B67" t="inlineStr">
        <is>
          <t>avverkningsanmälan</t>
        </is>
      </c>
      <c r="C67" t="inlineStr">
        <is>
          <t>Föryngringsavverkning</t>
        </is>
      </c>
      <c r="D67" s="1" t="n">
        <v>44952</v>
      </c>
      <c r="E67" s="1" t="n">
        <v>46259</v>
      </c>
      <c r="F67" t="inlineStr">
        <is>
          <t>STOCKHOLMS LÄN</t>
        </is>
      </c>
      <c r="G67" t="inlineStr">
        <is>
          <t>ÖSTERÅKER</t>
        </is>
      </c>
      <c r="H67" t="inlineStr">
        <is>
          <t>Kommuner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60482-2025</t>
        </is>
      </c>
      <c r="B68" t="inlineStr">
        <is>
          <t>avverkningsanmälan</t>
        </is>
      </c>
      <c r="C68" t="inlineStr">
        <is>
          <t>Föryngringsavverkning</t>
        </is>
      </c>
      <c r="D68" s="1" t="n">
        <v>45995</v>
      </c>
      <c r="E68" s="1" t="n">
        <v>46259</v>
      </c>
      <c r="F68" t="inlineStr">
        <is>
          <t>STOCKHOLMS LÄN</t>
        </is>
      </c>
      <c r="G68" t="inlineStr">
        <is>
          <t>ÖSTERÅKER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18711-2023</t>
        </is>
      </c>
      <c r="B69" t="inlineStr">
        <is>
          <t>avverkningsanmälan</t>
        </is>
      </c>
      <c r="C69" t="inlineStr">
        <is>
          <t>Föryngringsavverkning</t>
        </is>
      </c>
      <c r="D69" s="1" t="n">
        <v>45043</v>
      </c>
      <c r="E69" s="1" t="n">
        <v>46259</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59379-2022</t>
        </is>
      </c>
      <c r="B70" t="inlineStr">
        <is>
          <t>avverkningsanmälan</t>
        </is>
      </c>
      <c r="C70" t="inlineStr">
        <is>
          <t>Föryngringsavverkning</t>
        </is>
      </c>
      <c r="D70" s="1" t="n">
        <v>44905</v>
      </c>
      <c r="E70" s="1" t="n">
        <v>46259</v>
      </c>
      <c r="F70" t="inlineStr">
        <is>
          <t>STOCKHOLMS LÄN</t>
        </is>
      </c>
      <c r="G70" t="inlineStr">
        <is>
          <t>ÖSTERÅKER</t>
        </is>
      </c>
      <c r="H70" t="inlineStr">
        <is>
          <t>Kommuner</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10185-2025</t>
        </is>
      </c>
      <c r="B71" t="inlineStr">
        <is>
          <t>avverkningsanmälan</t>
        </is>
      </c>
      <c r="C71" t="inlineStr">
        <is>
          <t>Föryngringsavverkning</t>
        </is>
      </c>
      <c r="D71" s="1" t="n">
        <v>45719</v>
      </c>
      <c r="E71" s="1" t="n">
        <v>46259</v>
      </c>
      <c r="F71" t="inlineStr">
        <is>
          <t>STOCKHOLMS LÄN</t>
        </is>
      </c>
      <c r="G71" t="inlineStr">
        <is>
          <t>ÖSTERÅKER</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34713-2025</t>
        </is>
      </c>
      <c r="B72" t="inlineStr">
        <is>
          <t>avverkningsanmälan</t>
        </is>
      </c>
      <c r="C72" t="inlineStr">
        <is>
          <t>Föryngringsavverkning</t>
        </is>
      </c>
      <c r="D72" s="1" t="n">
        <v>45848</v>
      </c>
      <c r="E72" s="1" t="n">
        <v>46259</v>
      </c>
      <c r="F72" t="inlineStr">
        <is>
          <t>STOCKHOLMS LÄN</t>
        </is>
      </c>
      <c r="G72" t="inlineStr">
        <is>
          <t>ÖSTERÅKER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16728-2022</t>
        </is>
      </c>
      <c r="B73" t="inlineStr">
        <is>
          <t>avverkningsanmälan</t>
        </is>
      </c>
      <c r="C73" t="inlineStr">
        <is>
          <t>Föryngringsavverkning</t>
        </is>
      </c>
      <c r="D73" s="1" t="n">
        <v>44673</v>
      </c>
      <c r="E73" s="1" t="n">
        <v>46259</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23144-2024</t>
        </is>
      </c>
      <c r="B74" t="inlineStr">
        <is>
          <t>avverkningsanmälan</t>
        </is>
      </c>
      <c r="C74" t="inlineStr">
        <is>
          <t>Föryngringsavverkning</t>
        </is>
      </c>
      <c r="D74" s="1" t="n">
        <v>45450</v>
      </c>
      <c r="E74" s="1" t="n">
        <v>46259</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544-2023</t>
        </is>
      </c>
      <c r="B75" t="inlineStr">
        <is>
          <t>avverkningsanmälan</t>
        </is>
      </c>
      <c r="C75" t="inlineStr">
        <is>
          <t>Avverkning för annat ändamål</t>
        </is>
      </c>
      <c r="D75" s="1" t="n">
        <v>44924</v>
      </c>
      <c r="E75" s="1" t="n">
        <v>46259</v>
      </c>
      <c r="F75" t="inlineStr">
        <is>
          <t>STOCKHOLMS LÄN</t>
        </is>
      </c>
      <c r="G75" t="inlineStr">
        <is>
          <t>ÖSTERÅKER</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46259</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14776-2024</t>
        </is>
      </c>
      <c r="B77" t="inlineStr">
        <is>
          <t>avverkningsanmälan</t>
        </is>
      </c>
      <c r="C77" t="inlineStr">
        <is>
          <t>Föryngringsavverkning</t>
        </is>
      </c>
      <c r="D77" s="1" t="n">
        <v>45397</v>
      </c>
      <c r="E77" s="1" t="n">
        <v>46259</v>
      </c>
      <c r="F77" t="inlineStr">
        <is>
          <t>STOCKHOLMS LÄN</t>
        </is>
      </c>
      <c r="G77" t="inlineStr">
        <is>
          <t>ÖSTERÅKER</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46259</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61370-2022</t>
        </is>
      </c>
      <c r="B79" t="inlineStr">
        <is>
          <t>avverkningsanmälan</t>
        </is>
      </c>
      <c r="C79" t="inlineStr">
        <is>
          <t>Föryngringsavverkning</t>
        </is>
      </c>
      <c r="D79" s="1" t="n">
        <v>44915</v>
      </c>
      <c r="E79" s="1" t="n">
        <v>46259</v>
      </c>
      <c r="F79" t="inlineStr">
        <is>
          <t>STOCKHOLMS LÄN</t>
        </is>
      </c>
      <c r="G79" t="inlineStr">
        <is>
          <t>ÖSTERÅKER</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3817-2023</t>
        </is>
      </c>
      <c r="B80" t="inlineStr">
        <is>
          <t>avverkningsanmälan</t>
        </is>
      </c>
      <c r="C80" t="inlineStr">
        <is>
          <t>Föryngringsavverkning</t>
        </is>
      </c>
      <c r="D80" s="1" t="n">
        <v>44951</v>
      </c>
      <c r="E80" s="1" t="n">
        <v>46259</v>
      </c>
      <c r="F80" t="inlineStr">
        <is>
          <t>STOCKHOLMS LÄN</t>
        </is>
      </c>
      <c r="G80" t="inlineStr">
        <is>
          <t>ÖSTERÅKER</t>
        </is>
      </c>
      <c r="H80" t="inlineStr">
        <is>
          <t>Kommuner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3828-2023</t>
        </is>
      </c>
      <c r="B81" t="inlineStr">
        <is>
          <t>avverkningsanmälan</t>
        </is>
      </c>
      <c r="C81" t="inlineStr">
        <is>
          <t>Föryngringsavverkning</t>
        </is>
      </c>
      <c r="D81" s="1" t="n">
        <v>44951</v>
      </c>
      <c r="E81" s="1" t="n">
        <v>46259</v>
      </c>
      <c r="F81" t="inlineStr">
        <is>
          <t>STOCKHOLMS LÄN</t>
        </is>
      </c>
      <c r="G81" t="inlineStr">
        <is>
          <t>ÖSTERÅKER</t>
        </is>
      </c>
      <c r="H81" t="inlineStr">
        <is>
          <t>Kommuner</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23198-2026</t>
        </is>
      </c>
      <c r="B82" t="inlineStr">
        <is>
          <t>avverkningsanmälan</t>
        </is>
      </c>
      <c r="C82" t="inlineStr">
        <is>
          <t>Avverkning för annat ändamål</t>
        </is>
      </c>
      <c r="D82" s="1" t="n">
        <v>46161</v>
      </c>
      <c r="E82" s="1" t="n">
        <v>46259</v>
      </c>
      <c r="F82" t="inlineStr">
        <is>
          <t>STOCKHOLMS LÄN</t>
        </is>
      </c>
      <c r="G82" t="inlineStr">
        <is>
          <t>ÖSTERÅKER</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52220-2025</t>
        </is>
      </c>
      <c r="B83" t="inlineStr">
        <is>
          <t>avverkningsanmälan</t>
        </is>
      </c>
      <c r="C83" t="inlineStr">
        <is>
          <t>Avverkning för annat ändamål</t>
        </is>
      </c>
      <c r="D83" s="1" t="n">
        <v>45953</v>
      </c>
      <c r="E83" s="1" t="n">
        <v>46259</v>
      </c>
      <c r="F83" t="inlineStr">
        <is>
          <t>STOCKHOLMS LÄN</t>
        </is>
      </c>
      <c r="G83" t="inlineStr">
        <is>
          <t>ÖSTERÅKER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9865-2025</t>
        </is>
      </c>
      <c r="B84" t="inlineStr">
        <is>
          <t>avverkningsanmälan</t>
        </is>
      </c>
      <c r="C84" t="inlineStr">
        <is>
          <t>Föryngringsavverkning</t>
        </is>
      </c>
      <c r="D84" s="1" t="n">
        <v>45716</v>
      </c>
      <c r="E84" s="1" t="n">
        <v>46259</v>
      </c>
      <c r="F84" t="inlineStr">
        <is>
          <t>STOCKHOLMS LÄN</t>
        </is>
      </c>
      <c r="G84" t="inlineStr">
        <is>
          <t>ÖSTERÅKER</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24499-2023</t>
        </is>
      </c>
      <c r="B85" t="inlineStr">
        <is>
          <t>avverkningsanmälan</t>
        </is>
      </c>
      <c r="C85" t="inlineStr">
        <is>
          <t>Föryngringsavverkning</t>
        </is>
      </c>
      <c r="D85" s="1" t="n">
        <v>45082</v>
      </c>
      <c r="E85" s="1" t="n">
        <v>46259</v>
      </c>
      <c r="F85" t="inlineStr">
        <is>
          <t>STOCKHOLMS LÄN</t>
        </is>
      </c>
      <c r="G85" t="inlineStr">
        <is>
          <t>ÖSTERÅKER</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17196-2022</t>
        </is>
      </c>
      <c r="B86" t="inlineStr">
        <is>
          <t>avverkningsanmälan</t>
        </is>
      </c>
      <c r="C86" t="inlineStr">
        <is>
          <t>Föryngringsavverkning</t>
        </is>
      </c>
      <c r="D86" s="1" t="n">
        <v>44677</v>
      </c>
      <c r="E86" s="1" t="n">
        <v>46259</v>
      </c>
      <c r="F86" t="inlineStr">
        <is>
          <t>STOCKHOLMS LÄN</t>
        </is>
      </c>
      <c r="G86" t="inlineStr">
        <is>
          <t>ÖSTERÅKER</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46259</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1603-2023</t>
        </is>
      </c>
      <c r="B88" t="inlineStr">
        <is>
          <t>avverkningsanmälan</t>
        </is>
      </c>
      <c r="C88" t="inlineStr">
        <is>
          <t>Föryngringsavverkning</t>
        </is>
      </c>
      <c r="D88" s="1" t="n">
        <v>44937</v>
      </c>
      <c r="E88" s="1" t="n">
        <v>46259</v>
      </c>
      <c r="F88" t="inlineStr">
        <is>
          <t>STOCKHOLMS LÄN</t>
        </is>
      </c>
      <c r="G88" t="inlineStr">
        <is>
          <t>ÖSTERÅKER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1605-2023</t>
        </is>
      </c>
      <c r="B89" t="inlineStr">
        <is>
          <t>avverkningsanmälan</t>
        </is>
      </c>
      <c r="C89" t="inlineStr">
        <is>
          <t>Föryngringsavverkning</t>
        </is>
      </c>
      <c r="D89" s="1" t="n">
        <v>44937</v>
      </c>
      <c r="E89" s="1" t="n">
        <v>46259</v>
      </c>
      <c r="F89" t="inlineStr">
        <is>
          <t>STOCKHOLMS LÄN</t>
        </is>
      </c>
      <c r="G89" t="inlineStr">
        <is>
          <t>ÖSTERÅKER</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5286-2025</t>
        </is>
      </c>
      <c r="B90" t="inlineStr">
        <is>
          <t>avverkningsanmälan</t>
        </is>
      </c>
      <c r="C90" t="inlineStr">
        <is>
          <t>Föryngringsavverkning</t>
        </is>
      </c>
      <c r="D90" s="1" t="n">
        <v>45692</v>
      </c>
      <c r="E90" s="1" t="n">
        <v>46259</v>
      </c>
      <c r="F90" t="inlineStr">
        <is>
          <t>STOCKHOLMS LÄN</t>
        </is>
      </c>
      <c r="G90" t="inlineStr">
        <is>
          <t>ÖSTERÅKER</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1136-2023</t>
        </is>
      </c>
      <c r="B91" t="inlineStr">
        <is>
          <t>avverkningsanmälan</t>
        </is>
      </c>
      <c r="C91" t="inlineStr">
        <is>
          <t>Avverkning för annat ändamål</t>
        </is>
      </c>
      <c r="D91" s="1" t="n">
        <v>44935</v>
      </c>
      <c r="E91" s="1" t="n">
        <v>46259</v>
      </c>
      <c r="F91" t="inlineStr">
        <is>
          <t>STOCKHOLMS LÄN</t>
        </is>
      </c>
      <c r="G91" t="inlineStr">
        <is>
          <t>ÖSTERÅKER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39394-2023</t>
        </is>
      </c>
      <c r="B92" t="inlineStr">
        <is>
          <t>avverkningsanmälan</t>
        </is>
      </c>
      <c r="C92" t="inlineStr">
        <is>
          <t>Föryngringsavverkning</t>
        </is>
      </c>
      <c r="D92" s="1" t="n">
        <v>45166</v>
      </c>
      <c r="E92" s="1" t="n">
        <v>46259</v>
      </c>
      <c r="F92" t="inlineStr">
        <is>
          <t>STOCKHOLMS LÄN</t>
        </is>
      </c>
      <c r="G92" t="inlineStr">
        <is>
          <t>ÖSTERÅKER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845-2024</t>
        </is>
      </c>
      <c r="B93" t="inlineStr">
        <is>
          <t>avverkningsanmälan</t>
        </is>
      </c>
      <c r="C93" t="inlineStr">
        <is>
          <t>Föryngringsavverkning</t>
        </is>
      </c>
      <c r="D93" s="1" t="n">
        <v>45300</v>
      </c>
      <c r="E93" s="1" t="n">
        <v>46259</v>
      </c>
      <c r="F93" t="inlineStr">
        <is>
          <t>STOCKHOLMS LÄN</t>
        </is>
      </c>
      <c r="G93" t="inlineStr">
        <is>
          <t>ÖSTERÅKER</t>
        </is>
      </c>
      <c r="I93" t="n">
        <v>10.1</v>
      </c>
      <c r="J93" t="n">
        <v>0</v>
      </c>
      <c r="K93" t="n">
        <v>0</v>
      </c>
      <c r="L93" t="n">
        <v>0</v>
      </c>
      <c r="M93" t="n">
        <v>0</v>
      </c>
      <c r="N93" t="n">
        <v>0</v>
      </c>
      <c r="O93" t="n">
        <v>0</v>
      </c>
      <c r="P93" t="n">
        <v>0</v>
      </c>
      <c r="Q93" t="n">
        <v>0</v>
      </c>
      <c r="R93" t="n">
        <v>0</v>
      </c>
      <c r="S93" t="n">
        <v>0</v>
      </c>
      <c r="T93" t="n">
        <v>0</v>
      </c>
      <c r="U93" t="n">
        <v>0</v>
      </c>
      <c r="V93" s="2" t="inlineStr"/>
    </row>
    <row r="94" ht="15" customHeight="1">
      <c r="A94" t="inlineStr">
        <is>
          <t>A 37037-2023</t>
        </is>
      </c>
      <c r="B94" t="inlineStr">
        <is>
          <t>avverkningsanmälan</t>
        </is>
      </c>
      <c r="C94" t="inlineStr">
        <is>
          <t>Föryngringsavverkning</t>
        </is>
      </c>
      <c r="D94" s="1" t="n">
        <v>45155</v>
      </c>
      <c r="E94" s="1" t="n">
        <v>46259</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29443-2026</t>
        </is>
      </c>
      <c r="B95" t="inlineStr">
        <is>
          <t>avverkningsanmälan</t>
        </is>
      </c>
      <c r="C95" t="inlineStr">
        <is>
          <t>Föryngringsavverkning</t>
        </is>
      </c>
      <c r="D95" s="1" t="n">
        <v>46203</v>
      </c>
      <c r="E95" s="1" t="n">
        <v>46259</v>
      </c>
      <c r="F95" t="inlineStr">
        <is>
          <t>STOCKHOLMS LÄN</t>
        </is>
      </c>
      <c r="G95" t="inlineStr">
        <is>
          <t>ÖSTERÅKER</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5038-2026</t>
        </is>
      </c>
      <c r="B96" t="inlineStr">
        <is>
          <t>avverkningsanmälan</t>
        </is>
      </c>
      <c r="C96" t="inlineStr">
        <is>
          <t>Föryngringsavverkning</t>
        </is>
      </c>
      <c r="D96" s="1" t="n">
        <v>46049</v>
      </c>
      <c r="E96" s="1" t="n">
        <v>46259</v>
      </c>
      <c r="F96" t="inlineStr">
        <is>
          <t>STOCKHOLMS LÄN</t>
        </is>
      </c>
      <c r="G96" t="inlineStr">
        <is>
          <t>ÖSTERÅKER</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30599-2026</t>
        </is>
      </c>
      <c r="B97" t="inlineStr">
        <is>
          <t>avverkningsanmälan</t>
        </is>
      </c>
      <c r="C97" t="inlineStr">
        <is>
          <t>Föryngringsavverkning</t>
        </is>
      </c>
      <c r="D97" s="1" t="n">
        <v>46210</v>
      </c>
      <c r="E97" s="1" t="n">
        <v>46259</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31156-2026</t>
        </is>
      </c>
      <c r="B98" t="inlineStr">
        <is>
          <t>avverkningsanmälan</t>
        </is>
      </c>
      <c r="C98" t="inlineStr">
        <is>
          <t>Föryngringsavverkning</t>
        </is>
      </c>
      <c r="D98" s="1" t="n">
        <v>46216</v>
      </c>
      <c r="E98" s="1" t="n">
        <v>46259</v>
      </c>
      <c r="F98" t="inlineStr">
        <is>
          <t>STOCKHOLMS LÄN</t>
        </is>
      </c>
      <c r="G98" t="inlineStr">
        <is>
          <t>ÖSTERÅKER</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46259</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46259</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31154-2026</t>
        </is>
      </c>
      <c r="B101" t="inlineStr">
        <is>
          <t>avverkningsanmälan</t>
        </is>
      </c>
      <c r="C101" t="inlineStr">
        <is>
          <t>Föryngringsavverkning</t>
        </is>
      </c>
      <c r="D101" s="1" t="n">
        <v>46216</v>
      </c>
      <c r="E101" s="1" t="n">
        <v>46259</v>
      </c>
      <c r="F101" t="inlineStr">
        <is>
          <t>STOCKHOLMS LÄN</t>
        </is>
      </c>
      <c r="G101" t="inlineStr">
        <is>
          <t>ÖSTERÅKER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12345-2026</t>
        </is>
      </c>
      <c r="B102" t="inlineStr">
        <is>
          <t>avverkningsanmälan</t>
        </is>
      </c>
      <c r="C102" t="inlineStr">
        <is>
          <t>Föryngringsavverkning</t>
        </is>
      </c>
      <c r="D102" s="1" t="n">
        <v>46087</v>
      </c>
      <c r="E102" s="1" t="n">
        <v>46259</v>
      </c>
      <c r="F102" t="inlineStr">
        <is>
          <t>STOCKHOLMS LÄN</t>
        </is>
      </c>
      <c r="G102" t="inlineStr">
        <is>
          <t>ÖSTERÅKER</t>
        </is>
      </c>
      <c r="H102" t="inlineStr">
        <is>
          <t>Övriga Aktiebolag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46259</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46259</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46259</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2026-08-25T01:49:43Z</dcterms:created>
  <dcterms:modified xmlns:dcterms="http://purl.org/dc/terms/" xmlns:xsi="http://www.w3.org/2001/XMLSchema-instance" xsi:type="dcterms:W3CDTF">2026-08-25T01:49:44Z</dcterms:modified>
</cp:coreProperties>
</file>