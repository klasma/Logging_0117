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46296</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46296</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37244-2024</t>
        </is>
      </c>
      <c r="B11" t="inlineStr">
        <is>
          <t>avverkningsanmälan</t>
        </is>
      </c>
      <c r="C11" t="inlineStr">
        <is>
          <t>Föryngringsavverkning</t>
        </is>
      </c>
      <c r="D11" s="1" t="n">
        <v>45540</v>
      </c>
      <c r="E11" s="1" t="n">
        <v>46296</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46296</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3914-2023</t>
        </is>
      </c>
      <c r="B13" t="inlineStr">
        <is>
          <t>avverkningsanmälan</t>
        </is>
      </c>
      <c r="C13" t="inlineStr">
        <is>
          <t>Föryngringsavverkning</t>
        </is>
      </c>
      <c r="D13" s="1" t="n">
        <v>44952</v>
      </c>
      <c r="E13" s="1" t="n">
        <v>46296</v>
      </c>
      <c r="F13" t="inlineStr">
        <is>
          <t>STOCKHOLMS LÄN</t>
        </is>
      </c>
      <c r="G13" t="inlineStr">
        <is>
          <t>ÖSTERÅKER</t>
        </is>
      </c>
      <c r="H13" t="inlineStr">
        <is>
          <t>Kommuner</t>
        </is>
      </c>
      <c r="I13" t="n">
        <v>15.3</v>
      </c>
      <c r="J13" t="n">
        <v>4</v>
      </c>
      <c r="K13" t="n">
        <v>0</v>
      </c>
      <c r="L13" t="n">
        <v>1</v>
      </c>
      <c r="M13" t="n">
        <v>0</v>
      </c>
      <c r="N13" t="n">
        <v>0</v>
      </c>
      <c r="O13" t="n">
        <v>0</v>
      </c>
      <c r="P13" t="n">
        <v>0</v>
      </c>
      <c r="Q13" t="n">
        <v>1</v>
      </c>
      <c r="R13" t="n">
        <v>0</v>
      </c>
      <c r="S13" t="n">
        <v>4</v>
      </c>
      <c r="T13" t="n">
        <v>7</v>
      </c>
      <c r="U13" t="n">
        <v>1</v>
      </c>
      <c r="V13" s="2" t="inlineStr">
        <is>
          <t>Järnsparv
Gröngöling
Kråka
Kungsfågel</t>
        </is>
      </c>
      <c r="W13">
        <f>HYPERLINK("https://klasma.github.io/Logging_0117/artfynd/A 3914-2023 artfynd.xlsx", "A 3914-2023")</f>
        <v/>
      </c>
      <c r="X13">
        <f>HYPERLINK("https://klasma.github.io/Logging_0117/kartor/A 3914-2023 karta.png", "A 3914-2023")</f>
        <v/>
      </c>
      <c r="Y13">
        <f>HYPERLINK("https://klasma.github.io/Logging_0117/kartor_geotiff/A 3914-2023 georefererad karta.tif", "A 3914-2023")</f>
        <v/>
      </c>
      <c r="AA13">
        <f>HYPERLINK("https://klasma.github.io/Logging_0117/klagomål/A 3914-2023 FSC-klagomål.docx", "A 3914-2023")</f>
        <v/>
      </c>
      <c r="AB13">
        <f>HYPERLINK("https://klasma.github.io/Logging_0117/klagomålsmail/A 3914-2023 FSC-klagomål mail.docx", "A 3914-2023")</f>
        <v/>
      </c>
      <c r="AC13">
        <f>HYPERLINK("https://klasma.github.io/Logging_0117/tillsyn/A 3914-2023 tillsynsbegäran.docx", "A 3914-2023")</f>
        <v/>
      </c>
      <c r="AD13">
        <f>HYPERLINK("https://klasma.github.io/Logging_0117/tillsynsmail/A 3914-2023 tillsynsbegäran mail.docx", "A 3914-2023")</f>
        <v/>
      </c>
      <c r="AE13">
        <f>HYPERLINK("https://klasma.github.io/Logging_0117/fåglar/A 3914-2023 prioriterade fågelarter.docx", "A 3914-2023")</f>
        <v/>
      </c>
    </row>
    <row r="14" ht="15" customHeight="1">
      <c r="A14" t="inlineStr">
        <is>
          <t>A 54703-2024</t>
        </is>
      </c>
      <c r="B14" t="inlineStr">
        <is>
          <t>avverkningsanmälan</t>
        </is>
      </c>
      <c r="C14" t="inlineStr">
        <is>
          <t>Avverkning för annat ändamål</t>
        </is>
      </c>
      <c r="D14" s="1" t="n">
        <v>45618</v>
      </c>
      <c r="E14" s="1" t="n">
        <v>46296</v>
      </c>
      <c r="F14" t="inlineStr">
        <is>
          <t>STOCKHOLMS LÄN</t>
        </is>
      </c>
      <c r="G14" t="inlineStr">
        <is>
          <t>ÖSTERÅKER</t>
        </is>
      </c>
      <c r="I14" t="n">
        <v>7.7</v>
      </c>
      <c r="J14" t="n">
        <v>2</v>
      </c>
      <c r="K14" t="n">
        <v>0</v>
      </c>
      <c r="L14" t="n">
        <v>1</v>
      </c>
      <c r="M14" t="n">
        <v>0</v>
      </c>
      <c r="N14" t="n">
        <v>0</v>
      </c>
      <c r="O14" t="n">
        <v>0</v>
      </c>
      <c r="P14" t="n">
        <v>0</v>
      </c>
      <c r="Q14" t="n">
        <v>1</v>
      </c>
      <c r="R14" t="n">
        <v>0</v>
      </c>
      <c r="S14" t="n">
        <v>3</v>
      </c>
      <c r="T14" t="n">
        <v>6</v>
      </c>
      <c r="U14" t="n">
        <v>0</v>
      </c>
      <c r="V14" s="2" t="inlineStr">
        <is>
          <t>Tallticka
Spillkråka
Kungsfågel</t>
        </is>
      </c>
      <c r="W14">
        <f>HYPERLINK("https://klasma.github.io/Logging_0117/artfynd/A 54703-2024 artfynd.xlsx", "A 54703-2024")</f>
        <v/>
      </c>
      <c r="X14">
        <f>HYPERLINK("https://klasma.github.io/Logging_0117/kartor/A 54703-2024 karta.png", "A 54703-2024")</f>
        <v/>
      </c>
      <c r="Y14">
        <f>HYPERLINK("https://klasma.github.io/Logging_0117/kartor_geotiff/A 54703-2024 georefererad karta.tif", "A 54703-2024")</f>
        <v/>
      </c>
      <c r="AA14">
        <f>HYPERLINK("https://klasma.github.io/Logging_0117/klagomål/A 54703-2024 FSC-klagomål.docx", "A 54703-2024")</f>
        <v/>
      </c>
      <c r="AB14">
        <f>HYPERLINK("https://klasma.github.io/Logging_0117/klagomålsmail/A 54703-2024 FSC-klagomål mail.docx", "A 54703-2024")</f>
        <v/>
      </c>
      <c r="AC14">
        <f>HYPERLINK("https://klasma.github.io/Logging_0117/tillsyn/A 54703-2024 tillsynsbegäran.docx", "A 54703-2024")</f>
        <v/>
      </c>
      <c r="AD14">
        <f>HYPERLINK("https://klasma.github.io/Logging_0117/tillsynsmail/A 54703-2024 tillsynsbegäran mail.docx", "A 54703-2024")</f>
        <v/>
      </c>
      <c r="AE14">
        <f>HYPERLINK("https://klasma.github.io/Logging_0117/fåglar/A 54703-2024 prioriterade fågelarter.docx", "A 54703-2024")</f>
        <v/>
      </c>
    </row>
    <row r="15" ht="15" customHeight="1">
      <c r="A15" t="inlineStr">
        <is>
          <t>A 12620-2022</t>
        </is>
      </c>
      <c r="B15" t="inlineStr">
        <is>
          <t>avverkningsanmälan</t>
        </is>
      </c>
      <c r="C15" t="inlineStr">
        <is>
          <t>Föryngringsavverkning</t>
        </is>
      </c>
      <c r="D15" s="1" t="n">
        <v>44638</v>
      </c>
      <c r="E15" s="1" t="n">
        <v>46296</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27948-2025</t>
        </is>
      </c>
      <c r="B16" t="inlineStr">
        <is>
          <t>avverkningsanmälan</t>
        </is>
      </c>
      <c r="C16" t="inlineStr">
        <is>
          <t>Föryngringsavverkning</t>
        </is>
      </c>
      <c r="D16" s="1" t="n">
        <v>45817</v>
      </c>
      <c r="E16" s="1" t="n">
        <v>46296</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t="n">
        <v>0</v>
      </c>
      <c r="V16" s="2" t="inlineStr">
        <is>
          <t>Tornseglare
Ladusvala
Törnskata</t>
        </is>
      </c>
      <c r="W16">
        <f>HYPERLINK("https://klasma.github.io/Logging_0117/artfynd/A 27948-2025 artfynd.xlsx", "A 27948-2025")</f>
        <v/>
      </c>
      <c r="X16">
        <f>HYPERLINK("https://klasma.github.io/Logging_0117/kartor/A 27948-2025 karta.png", "A 27948-2025")</f>
        <v/>
      </c>
      <c r="Y16">
        <f>HYPERLINK("https://klasma.github.io/Logging_0117/kartor_geotiff/A 27948-2025 georefererad karta.tif", "A 27948-2025")</f>
        <v/>
      </c>
      <c r="AA16">
        <f>HYPERLINK("https://klasma.github.io/Logging_0117/klagomål/A 27948-2025 FSC-klagomål.docx", "A 27948-2025")</f>
        <v/>
      </c>
      <c r="AB16">
        <f>HYPERLINK("https://klasma.github.io/Logging_0117/klagomålsmail/A 27948-2025 FSC-klagomål mail.docx", "A 27948-2025")</f>
        <v/>
      </c>
      <c r="AC16">
        <f>HYPERLINK("https://klasma.github.io/Logging_0117/tillsyn/A 27948-2025 tillsynsbegäran.docx", "A 27948-2025")</f>
        <v/>
      </c>
      <c r="AD16">
        <f>HYPERLINK("https://klasma.github.io/Logging_0117/tillsynsmail/A 27948-2025 tillsynsbegäran mail.docx", "A 27948-2025")</f>
        <v/>
      </c>
      <c r="AE16">
        <f>HYPERLINK("https://klasma.github.io/Logging_0117/fåglar/A 27948-2025 prioriterade fågelarter.docx", "A 27948-2025")</f>
        <v/>
      </c>
    </row>
    <row r="17" ht="15" customHeight="1">
      <c r="A17" t="inlineStr">
        <is>
          <t>A 61363-2022</t>
        </is>
      </c>
      <c r="B17" t="inlineStr">
        <is>
          <t>avverkningsanmälan</t>
        </is>
      </c>
      <c r="C17" t="inlineStr">
        <is>
          <t>Föryngringsavverkning</t>
        </is>
      </c>
      <c r="D17" s="1" t="n">
        <v>44915</v>
      </c>
      <c r="E17" s="1" t="n">
        <v>46296</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62578-2025</t>
        </is>
      </c>
      <c r="B18" t="inlineStr">
        <is>
          <t>avverkningsanmälan</t>
        </is>
      </c>
      <c r="C18" t="inlineStr">
        <is>
          <t>Föryngringsavverkning</t>
        </is>
      </c>
      <c r="D18" s="1" t="n">
        <v>46007</v>
      </c>
      <c r="E18" s="1" t="n">
        <v>46296</v>
      </c>
      <c r="F18" t="inlineStr">
        <is>
          <t>STOCKHOLMS LÄN</t>
        </is>
      </c>
      <c r="G18" t="inlineStr">
        <is>
          <t>ÖSTERÅKER</t>
        </is>
      </c>
      <c r="I18" t="n">
        <v>3.4</v>
      </c>
      <c r="J18" t="n">
        <v>0</v>
      </c>
      <c r="K18" t="n">
        <v>3</v>
      </c>
      <c r="L18" t="n">
        <v>0</v>
      </c>
      <c r="M18" t="n">
        <v>0</v>
      </c>
      <c r="N18" t="n">
        <v>0</v>
      </c>
      <c r="O18" t="n">
        <v>0</v>
      </c>
      <c r="P18" t="n">
        <v>0</v>
      </c>
      <c r="Q18" t="n">
        <v>0</v>
      </c>
      <c r="R18" t="n">
        <v>0</v>
      </c>
      <c r="S18" t="n">
        <v>3</v>
      </c>
      <c r="T18" t="n">
        <v>4</v>
      </c>
      <c r="U18" t="n">
        <v>0</v>
      </c>
      <c r="V18" s="2" t="inlineStr">
        <is>
          <t>Fällmossa
Mindre märgborre
Vedticka</t>
        </is>
      </c>
      <c r="W18">
        <f>HYPERLINK("https://klasma.github.io/Logging_0117/artfynd/A 62578-2025 artfynd.xlsx", "A 62578-2025")</f>
        <v/>
      </c>
      <c r="X18">
        <f>HYPERLINK("https://klasma.github.io/Logging_0117/kartor/A 62578-2025 karta.png", "A 62578-2025")</f>
        <v/>
      </c>
      <c r="Y18">
        <f>HYPERLINK("https://klasma.github.io/Logging_0117/kartor_geotiff/A 62578-2025 georefererad karta.tif", "A 62578-2025")</f>
        <v/>
      </c>
      <c r="AA18">
        <f>HYPERLINK("https://klasma.github.io/Logging_0117/klagomål/A 62578-2025 FSC-klagomål.docx", "A 62578-2025")</f>
        <v/>
      </c>
      <c r="AB18">
        <f>HYPERLINK("https://klasma.github.io/Logging_0117/klagomålsmail/A 62578-2025 FSC-klagomål mail.docx", "A 62578-2025")</f>
        <v/>
      </c>
      <c r="AC18">
        <f>HYPERLINK("https://klasma.github.io/Logging_0117/tillsyn/A 62578-2025 tillsynsbegäran.docx", "A 62578-2025")</f>
        <v/>
      </c>
      <c r="AD18">
        <f>HYPERLINK("https://klasma.github.io/Logging_0117/tillsynsmail/A 62578-2025 tillsynsbegäran mail.docx", "A 62578-2025")</f>
        <v/>
      </c>
    </row>
    <row r="19" ht="15" customHeight="1">
      <c r="A19" t="inlineStr">
        <is>
          <t>A 67244-2021</t>
        </is>
      </c>
      <c r="B19" t="inlineStr">
        <is>
          <t>avverkningsanmälan</t>
        </is>
      </c>
      <c r="C19" t="inlineStr">
        <is>
          <t>Avverkning för annat ändamål</t>
        </is>
      </c>
      <c r="D19" s="1" t="n">
        <v>44523</v>
      </c>
      <c r="E19" s="1" t="n">
        <v>46296</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46296</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30949-2024</t>
        </is>
      </c>
      <c r="B21" t="inlineStr">
        <is>
          <t>avverkningsanmälan</t>
        </is>
      </c>
      <c r="C21" t="inlineStr">
        <is>
          <t>Föryngringsavverkning</t>
        </is>
      </c>
      <c r="D21" s="1" t="n">
        <v>45499</v>
      </c>
      <c r="E21" s="1" t="n">
        <v>46296</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46296</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43308-2024</t>
        </is>
      </c>
      <c r="B23" t="inlineStr">
        <is>
          <t>avverkningsanmälan</t>
        </is>
      </c>
      <c r="C23" t="inlineStr">
        <is>
          <t>Föryngringsavverkning</t>
        </is>
      </c>
      <c r="D23" s="1" t="n">
        <v>45568</v>
      </c>
      <c r="E23" s="1" t="n">
        <v>46296</v>
      </c>
      <c r="F23" t="inlineStr">
        <is>
          <t>STOCKHOLMS LÄN</t>
        </is>
      </c>
      <c r="G23" t="inlineStr">
        <is>
          <t>ÖSTERÅKER</t>
        </is>
      </c>
      <c r="H23" t="inlineStr">
        <is>
          <t>Kyrkan</t>
        </is>
      </c>
      <c r="I23" t="n">
        <v>3.2</v>
      </c>
      <c r="J23" t="n">
        <v>0</v>
      </c>
      <c r="K23" t="n">
        <v>0</v>
      </c>
      <c r="L23" t="n">
        <v>2</v>
      </c>
      <c r="M23" t="n">
        <v>0</v>
      </c>
      <c r="N23" t="n">
        <v>0</v>
      </c>
      <c r="O23" t="n">
        <v>0</v>
      </c>
      <c r="P23" t="n">
        <v>0</v>
      </c>
      <c r="Q23" t="n">
        <v>2</v>
      </c>
      <c r="R23" t="n">
        <v>0</v>
      </c>
      <c r="S23" t="n">
        <v>2</v>
      </c>
      <c r="T23" t="n">
        <v>2</v>
      </c>
      <c r="U23" t="n">
        <v>0</v>
      </c>
      <c r="V23" s="2" t="inlineStr">
        <is>
          <t>Dropptaggsvamp
Tallticka</t>
        </is>
      </c>
      <c r="W23">
        <f>HYPERLINK("https://klasma.github.io/Logging_0117/artfynd/A 43308-2024 artfynd.xlsx", "A 43308-2024")</f>
        <v/>
      </c>
      <c r="X23">
        <f>HYPERLINK("https://klasma.github.io/Logging_0117/kartor/A 43308-2024 karta.png", "A 43308-2024")</f>
        <v/>
      </c>
      <c r="Y23">
        <f>HYPERLINK("https://klasma.github.io/Logging_0117/kartor_geotiff/A 43308-2024 georefererad karta.tif", "A 43308-2024")</f>
        <v/>
      </c>
      <c r="AA23">
        <f>HYPERLINK("https://klasma.github.io/Logging_0117/klagomål/A 43308-2024 FSC-klagomål.docx", "A 43308-2024")</f>
        <v/>
      </c>
      <c r="AB23">
        <f>HYPERLINK("https://klasma.github.io/Logging_0117/klagomålsmail/A 43308-2024 FSC-klagomål mail.docx", "A 43308-2024")</f>
        <v/>
      </c>
      <c r="AC23">
        <f>HYPERLINK("https://klasma.github.io/Logging_0117/tillsyn/A 43308-2024 tillsynsbegäran.docx", "A 43308-2024")</f>
        <v/>
      </c>
      <c r="AD23">
        <f>HYPERLINK("https://klasma.github.io/Logging_0117/tillsynsmail/A 43308-2024 tillsynsbegäran mail.docx", "A 43308-2024")</f>
        <v/>
      </c>
    </row>
    <row r="24" ht="15" customHeight="1">
      <c r="A24" t="inlineStr">
        <is>
          <t>A 61323-2022</t>
        </is>
      </c>
      <c r="B24" t="inlineStr">
        <is>
          <t>avverkningsanmälan</t>
        </is>
      </c>
      <c r="C24" t="inlineStr">
        <is>
          <t>Föryngringsavverkning</t>
        </is>
      </c>
      <c r="D24" s="1" t="n">
        <v>44915</v>
      </c>
      <c r="E24" s="1" t="n">
        <v>46296</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67265-2021</t>
        </is>
      </c>
      <c r="B25" t="inlineStr">
        <is>
          <t>avverkningsanmälan</t>
        </is>
      </c>
      <c r="C25" t="inlineStr">
        <is>
          <t>Föryngringsavverkning</t>
        </is>
      </c>
      <c r="D25" s="1" t="n">
        <v>44523</v>
      </c>
      <c r="E25" s="1" t="n">
        <v>46296</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31716-2025</t>
        </is>
      </c>
      <c r="B26" t="inlineStr">
        <is>
          <t>avverkningsanmälan</t>
        </is>
      </c>
      <c r="C26" t="inlineStr">
        <is>
          <t>Föryngringsavverkning</t>
        </is>
      </c>
      <c r="D26" s="1" t="n">
        <v>45834</v>
      </c>
      <c r="E26" s="1" t="n">
        <v>46296</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A 62831-2025</t>
        </is>
      </c>
      <c r="B27" t="inlineStr">
        <is>
          <t>avverkningsanmälan</t>
        </is>
      </c>
      <c r="C27" t="inlineStr">
        <is>
          <t>Föryngringsavverkning</t>
        </is>
      </c>
      <c r="D27" s="1" t="n">
        <v>46008</v>
      </c>
      <c r="E27" s="1" t="n">
        <v>46296</v>
      </c>
      <c r="F27" t="inlineStr">
        <is>
          <t>STOCKHOLMS LÄN</t>
        </is>
      </c>
      <c r="G27" t="inlineStr">
        <is>
          <t>ÖSTERÅKER</t>
        </is>
      </c>
      <c r="I27" t="n">
        <v>1.2</v>
      </c>
      <c r="J27" t="n">
        <v>0</v>
      </c>
      <c r="K27" t="n">
        <v>1</v>
      </c>
      <c r="L27" t="n">
        <v>0</v>
      </c>
      <c r="M27" t="n">
        <v>0</v>
      </c>
      <c r="N27" t="n">
        <v>0</v>
      </c>
      <c r="O27" t="n">
        <v>0</v>
      </c>
      <c r="P27" t="n">
        <v>0</v>
      </c>
      <c r="Q27" t="n">
        <v>0</v>
      </c>
      <c r="R27" t="n">
        <v>0</v>
      </c>
      <c r="S27" t="n">
        <v>1</v>
      </c>
      <c r="T27" t="n">
        <v>1</v>
      </c>
      <c r="U27" t="n">
        <v>0</v>
      </c>
      <c r="V27" s="2" t="inlineStr">
        <is>
          <t>Vedticka</t>
        </is>
      </c>
      <c r="W27">
        <f>HYPERLINK("https://klasma.github.io/Logging_0117/artfynd/A 62831-2025 artfynd.xlsx", "A 62831-2025")</f>
        <v/>
      </c>
      <c r="X27">
        <f>HYPERLINK("https://klasma.github.io/Logging_0117/kartor/A 62831-2025 karta.png", "A 62831-2025")</f>
        <v/>
      </c>
      <c r="Y27">
        <f>HYPERLINK("https://klasma.github.io/Logging_0117/kartor_geotiff/A 62831-2025 georefererad karta.tif", "A 62831-2025")</f>
        <v/>
      </c>
      <c r="AA27">
        <f>HYPERLINK("https://klasma.github.io/Logging_0117/klagomål/A 62831-2025 FSC-klagomål.docx", "A 62831-2025")</f>
        <v/>
      </c>
      <c r="AB27">
        <f>HYPERLINK("https://klasma.github.io/Logging_0117/klagomålsmail/A 62831-2025 FSC-klagomål mail.docx", "A 62831-2025")</f>
        <v/>
      </c>
      <c r="AC27">
        <f>HYPERLINK("https://klasma.github.io/Logging_0117/tillsyn/A 62831-2025 tillsynsbegäran.docx", "A 62831-2025")</f>
        <v/>
      </c>
      <c r="AD27">
        <f>HYPERLINK("https://klasma.github.io/Logging_0117/tillsynsmail/A 62831-2025 tillsynsbegäran mail.docx", "A 62831-2025")</f>
        <v/>
      </c>
    </row>
    <row r="28" ht="15" customHeight="1">
      <c r="A28" t="inlineStr">
        <is>
          <t>A 62839-2025</t>
        </is>
      </c>
      <c r="B28" t="inlineStr">
        <is>
          <t>avverkningsanmälan</t>
        </is>
      </c>
      <c r="C28" t="inlineStr">
        <is>
          <t>Föryngringsavverkning</t>
        </is>
      </c>
      <c r="D28" s="1" t="n">
        <v>46008</v>
      </c>
      <c r="E28" s="1" t="n">
        <v>46296</v>
      </c>
      <c r="F28" t="inlineStr">
        <is>
          <t>STOCKHOLMS LÄN</t>
        </is>
      </c>
      <c r="G28" t="inlineStr">
        <is>
          <t>ÖSTERÅKER</t>
        </is>
      </c>
      <c r="I28" t="n">
        <v>1.4</v>
      </c>
      <c r="J28" t="n">
        <v>0</v>
      </c>
      <c r="K28" t="n">
        <v>0</v>
      </c>
      <c r="L28" t="n">
        <v>1</v>
      </c>
      <c r="M28" t="n">
        <v>0</v>
      </c>
      <c r="N28" t="n">
        <v>0</v>
      </c>
      <c r="O28" t="n">
        <v>0</v>
      </c>
      <c r="P28" t="n">
        <v>0</v>
      </c>
      <c r="Q28" t="n">
        <v>1</v>
      </c>
      <c r="R28" t="n">
        <v>0</v>
      </c>
      <c r="S28" t="n">
        <v>1</v>
      </c>
      <c r="T28" t="n">
        <v>1</v>
      </c>
      <c r="U28" t="n">
        <v>0</v>
      </c>
      <c r="V28" s="2" t="inlineStr">
        <is>
          <t>Gullpudra</t>
        </is>
      </c>
      <c r="W28">
        <f>HYPERLINK("https://klasma.github.io/Logging_0117/artfynd/A 62839-2025 artfynd.xlsx", "A 62839-2025")</f>
        <v/>
      </c>
      <c r="X28">
        <f>HYPERLINK("https://klasma.github.io/Logging_0117/kartor/A 62839-2025 karta.png", "A 62839-2025")</f>
        <v/>
      </c>
      <c r="Y28">
        <f>HYPERLINK("https://klasma.github.io/Logging_0117/kartor_geotiff/A 62839-2025 georefererad karta.tif", "A 62839-2025")</f>
        <v/>
      </c>
      <c r="AA28">
        <f>HYPERLINK("https://klasma.github.io/Logging_0117/klagomål/A 62839-2025 FSC-klagomål.docx", "A 62839-2025")</f>
        <v/>
      </c>
      <c r="AB28">
        <f>HYPERLINK("https://klasma.github.io/Logging_0117/klagomålsmail/A 62839-2025 FSC-klagomål mail.docx", "A 62839-2025")</f>
        <v/>
      </c>
      <c r="AC28">
        <f>HYPERLINK("https://klasma.github.io/Logging_0117/tillsyn/A 62839-2025 tillsynsbegäran.docx", "A 62839-2025")</f>
        <v/>
      </c>
      <c r="AD28">
        <f>HYPERLINK("https://klasma.github.io/Logging_0117/tillsynsmail/A 62839-2025 tillsynsbegäran mail.docx", "A 62839-2025")</f>
        <v/>
      </c>
    </row>
    <row r="29" ht="15" customHeight="1">
      <c r="A29" t="inlineStr">
        <is>
          <t>S 5861-2022</t>
        </is>
      </c>
      <c r="B29" t="inlineStr">
        <is>
          <t>samrådsanmälan</t>
        </is>
      </c>
      <c r="C29" t="inlineStr">
        <is>
          <t>Annan skogsbruksåtgärd</t>
        </is>
      </c>
      <c r="D29" s="1" t="n">
        <v>44852</v>
      </c>
      <c r="E29" s="1" t="n">
        <v>46296</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46296</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46296</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46296</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46296</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838-2022</t>
        </is>
      </c>
      <c r="B34" t="inlineStr">
        <is>
          <t>avverkningsanmälan</t>
        </is>
      </c>
      <c r="C34" t="inlineStr">
        <is>
          <t>Föryngringsavverkning</t>
        </is>
      </c>
      <c r="D34" s="1" t="n">
        <v>44569</v>
      </c>
      <c r="E34" s="1" t="n">
        <v>46296</v>
      </c>
      <c r="F34" t="inlineStr">
        <is>
          <t>STOCKHOLMS LÄN</t>
        </is>
      </c>
      <c r="G34" t="inlineStr">
        <is>
          <t>ÖSTERÅKER</t>
        </is>
      </c>
      <c r="H34" t="inlineStr">
        <is>
          <t>Övriga Aktiebolag</t>
        </is>
      </c>
      <c r="I34" t="n">
        <v>4.9</v>
      </c>
      <c r="J34" t="n">
        <v>0</v>
      </c>
      <c r="K34" t="n">
        <v>0</v>
      </c>
      <c r="L34" t="n">
        <v>0</v>
      </c>
      <c r="M34" t="n">
        <v>0</v>
      </c>
      <c r="N34" t="n">
        <v>0</v>
      </c>
      <c r="O34" t="n">
        <v>0</v>
      </c>
      <c r="P34" t="n">
        <v>0</v>
      </c>
      <c r="Q34" t="n">
        <v>0</v>
      </c>
      <c r="R34" t="n">
        <v>0</v>
      </c>
      <c r="S34" t="n">
        <v>0</v>
      </c>
      <c r="T34" t="n">
        <v>0</v>
      </c>
      <c r="U34" t="n">
        <v>0</v>
      </c>
      <c r="V34" s="2" t="inlineStr"/>
    </row>
    <row r="35" ht="15" customHeight="1">
      <c r="A35" t="inlineStr">
        <is>
          <t>A 865-2022</t>
        </is>
      </c>
      <c r="B35" t="inlineStr">
        <is>
          <t>avverkningsanmälan</t>
        </is>
      </c>
      <c r="C35" t="inlineStr">
        <is>
          <t>Föryngringsavverkning</t>
        </is>
      </c>
      <c r="D35" s="1" t="n">
        <v>44569</v>
      </c>
      <c r="E35" s="1" t="n">
        <v>46296</v>
      </c>
      <c r="F35" t="inlineStr">
        <is>
          <t>STOCKHOLMS LÄN</t>
        </is>
      </c>
      <c r="G35" t="inlineStr">
        <is>
          <t>ÖSTERÅKER</t>
        </is>
      </c>
      <c r="H35" t="inlineStr">
        <is>
          <t>Övriga Aktiebolag</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15131-2022</t>
        </is>
      </c>
      <c r="B36" t="inlineStr">
        <is>
          <t>avverkningsanmälan</t>
        </is>
      </c>
      <c r="C36" t="inlineStr">
        <is>
          <t>Föryngringsavverkning</t>
        </is>
      </c>
      <c r="D36" s="1" t="n">
        <v>44658</v>
      </c>
      <c r="E36" s="1" t="n">
        <v>46296</v>
      </c>
      <c r="F36" t="inlineStr">
        <is>
          <t>STOCKHOLMS LÄN</t>
        </is>
      </c>
      <c r="G36" t="inlineStr">
        <is>
          <t>ÖSTERÅKER</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46296</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46296</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28964-2022</t>
        </is>
      </c>
      <c r="B39" t="inlineStr">
        <is>
          <t>avverkningsanmälan</t>
        </is>
      </c>
      <c r="C39" t="inlineStr">
        <is>
          <t>Föryngringsavverkning</t>
        </is>
      </c>
      <c r="D39" s="1" t="n">
        <v>44749</v>
      </c>
      <c r="E39" s="1" t="n">
        <v>46296</v>
      </c>
      <c r="F39" t="inlineStr">
        <is>
          <t>STOCKHOLMS LÄN</t>
        </is>
      </c>
      <c r="G39" t="inlineStr">
        <is>
          <t>ÖSTERÅKER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19934-2022</t>
        </is>
      </c>
      <c r="B40" t="inlineStr">
        <is>
          <t>avverkningsanmälan</t>
        </is>
      </c>
      <c r="C40" t="inlineStr">
        <is>
          <t>Föryngringsavverkning</t>
        </is>
      </c>
      <c r="D40" s="1" t="n">
        <v>44697</v>
      </c>
      <c r="E40" s="1" t="n">
        <v>46296</v>
      </c>
      <c r="F40" t="inlineStr">
        <is>
          <t>STOCKHOLMS LÄN</t>
        </is>
      </c>
      <c r="G40" t="inlineStr">
        <is>
          <t>ÖSTERÅKER</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19944-2022</t>
        </is>
      </c>
      <c r="B41" t="inlineStr">
        <is>
          <t>avverkningsanmälan</t>
        </is>
      </c>
      <c r="C41" t="inlineStr">
        <is>
          <t>Föryngringsavverkning</t>
        </is>
      </c>
      <c r="D41" s="1" t="n">
        <v>44697</v>
      </c>
      <c r="E41" s="1" t="n">
        <v>46296</v>
      </c>
      <c r="F41" t="inlineStr">
        <is>
          <t>STOCKHOLMS LÄN</t>
        </is>
      </c>
      <c r="G41" t="inlineStr">
        <is>
          <t>ÖSTERÅKER</t>
        </is>
      </c>
      <c r="I41" t="n">
        <v>3.5</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46296</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10082-2022</t>
        </is>
      </c>
      <c r="B43" t="inlineStr">
        <is>
          <t>avverkningsanmälan</t>
        </is>
      </c>
      <c r="C43" t="inlineStr">
        <is>
          <t>Föryngringsavverkning</t>
        </is>
      </c>
      <c r="D43" s="1" t="n">
        <v>44621</v>
      </c>
      <c r="E43" s="1" t="n">
        <v>46296</v>
      </c>
      <c r="F43" t="inlineStr">
        <is>
          <t>STOCKHOLMS LÄN</t>
        </is>
      </c>
      <c r="G43" t="inlineStr">
        <is>
          <t>ÖSTERÅKER</t>
        </is>
      </c>
      <c r="I43" t="n">
        <v>6</v>
      </c>
      <c r="J43" t="n">
        <v>0</v>
      </c>
      <c r="K43" t="n">
        <v>0</v>
      </c>
      <c r="L43" t="n">
        <v>0</v>
      </c>
      <c r="M43" t="n">
        <v>0</v>
      </c>
      <c r="N43" t="n">
        <v>0</v>
      </c>
      <c r="O43" t="n">
        <v>0</v>
      </c>
      <c r="P43" t="n">
        <v>0</v>
      </c>
      <c r="Q43" t="n">
        <v>0</v>
      </c>
      <c r="R43" t="n">
        <v>0</v>
      </c>
      <c r="S43" t="n">
        <v>0</v>
      </c>
      <c r="T43" t="n">
        <v>0</v>
      </c>
      <c r="U43" t="n">
        <v>0</v>
      </c>
      <c r="V43" s="2" t="inlineStr"/>
    </row>
    <row r="44" ht="15" customHeight="1">
      <c r="A44" t="inlineStr">
        <is>
          <t>A 18091-2022</t>
        </is>
      </c>
      <c r="B44" t="inlineStr">
        <is>
          <t>avverkningsanmälan</t>
        </is>
      </c>
      <c r="C44" t="inlineStr">
        <is>
          <t>Föryngringsavverkning</t>
        </is>
      </c>
      <c r="D44" s="1" t="n">
        <v>44684</v>
      </c>
      <c r="E44" s="1" t="n">
        <v>46296</v>
      </c>
      <c r="F44" t="inlineStr">
        <is>
          <t>STOCKHOLMS LÄN</t>
        </is>
      </c>
      <c r="G44" t="inlineStr">
        <is>
          <t>ÖSTERÅKER</t>
        </is>
      </c>
      <c r="I44" t="n">
        <v>6.1</v>
      </c>
      <c r="J44" t="n">
        <v>0</v>
      </c>
      <c r="K44" t="n">
        <v>0</v>
      </c>
      <c r="L44" t="n">
        <v>0</v>
      </c>
      <c r="M44" t="n">
        <v>0</v>
      </c>
      <c r="N44" t="n">
        <v>0</v>
      </c>
      <c r="O44" t="n">
        <v>0</v>
      </c>
      <c r="P44" t="n">
        <v>0</v>
      </c>
      <c r="Q44" t="n">
        <v>0</v>
      </c>
      <c r="R44" t="n">
        <v>0</v>
      </c>
      <c r="S44" t="n">
        <v>0</v>
      </c>
      <c r="T44" t="n">
        <v>0</v>
      </c>
      <c r="U44" t="n">
        <v>0</v>
      </c>
      <c r="V44" s="2" t="inlineStr"/>
    </row>
    <row r="45" ht="15" customHeight="1">
      <c r="A45" t="inlineStr">
        <is>
          <t>A 61370-2022</t>
        </is>
      </c>
      <c r="B45" t="inlineStr">
        <is>
          <t>avverkningsanmälan</t>
        </is>
      </c>
      <c r="C45" t="inlineStr">
        <is>
          <t>Föryngringsavverkning</t>
        </is>
      </c>
      <c r="D45" s="1" t="n">
        <v>44915</v>
      </c>
      <c r="E45" s="1" t="n">
        <v>46296</v>
      </c>
      <c r="F45" t="inlineStr">
        <is>
          <t>STOCKHOLMS LÄN</t>
        </is>
      </c>
      <c r="G45" t="inlineStr">
        <is>
          <t>ÖSTERÅKER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56909-2024</t>
        </is>
      </c>
      <c r="B46" t="inlineStr">
        <is>
          <t>avverkningsanmälan</t>
        </is>
      </c>
      <c r="C46" t="inlineStr">
        <is>
          <t>Avverkning för att bevara och utveckla /försöksver</t>
        </is>
      </c>
      <c r="D46" s="1" t="n">
        <v>45628</v>
      </c>
      <c r="E46" s="1" t="n">
        <v>46296</v>
      </c>
      <c r="F46" t="inlineStr">
        <is>
          <t>STOCKHOLMS LÄN</t>
        </is>
      </c>
      <c r="G46" t="inlineStr">
        <is>
          <t>ÖSTERÅKER</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16728-2022</t>
        </is>
      </c>
      <c r="B47" t="inlineStr">
        <is>
          <t>avverkningsanmälan</t>
        </is>
      </c>
      <c r="C47" t="inlineStr">
        <is>
          <t>Föryngringsavverkning</t>
        </is>
      </c>
      <c r="D47" s="1" t="n">
        <v>44673</v>
      </c>
      <c r="E47" s="1" t="n">
        <v>46296</v>
      </c>
      <c r="F47" t="inlineStr">
        <is>
          <t>STOCKHOLMS LÄN</t>
        </is>
      </c>
      <c r="G47" t="inlineStr">
        <is>
          <t>ÖSTERÅKER</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17196-2022</t>
        </is>
      </c>
      <c r="B48" t="inlineStr">
        <is>
          <t>avverkningsanmälan</t>
        </is>
      </c>
      <c r="C48" t="inlineStr">
        <is>
          <t>Föryngringsavverkning</t>
        </is>
      </c>
      <c r="D48" s="1" t="n">
        <v>44677</v>
      </c>
      <c r="E48" s="1" t="n">
        <v>46296</v>
      </c>
      <c r="F48" t="inlineStr">
        <is>
          <t>STOCKHOLMS LÄN</t>
        </is>
      </c>
      <c r="G48" t="inlineStr">
        <is>
          <t>ÖSTERÅKER</t>
        </is>
      </c>
      <c r="I48" t="n">
        <v>5.9</v>
      </c>
      <c r="J48" t="n">
        <v>0</v>
      </c>
      <c r="K48" t="n">
        <v>0</v>
      </c>
      <c r="L48" t="n">
        <v>0</v>
      </c>
      <c r="M48" t="n">
        <v>0</v>
      </c>
      <c r="N48" t="n">
        <v>0</v>
      </c>
      <c r="O48" t="n">
        <v>0</v>
      </c>
      <c r="P48" t="n">
        <v>0</v>
      </c>
      <c r="Q48" t="n">
        <v>0</v>
      </c>
      <c r="R48" t="n">
        <v>0</v>
      </c>
      <c r="S48" t="n">
        <v>0</v>
      </c>
      <c r="T48" t="n">
        <v>0</v>
      </c>
      <c r="U48" t="n">
        <v>0</v>
      </c>
      <c r="V48" s="2" t="inlineStr"/>
    </row>
    <row r="49" ht="15" customHeight="1">
      <c r="A49" t="inlineStr">
        <is>
          <t>A 1136-2023</t>
        </is>
      </c>
      <c r="B49" t="inlineStr">
        <is>
          <t>avverkningsanmälan</t>
        </is>
      </c>
      <c r="C49" t="inlineStr">
        <is>
          <t>Avverkning för annat ändamål</t>
        </is>
      </c>
      <c r="D49" s="1" t="n">
        <v>44935</v>
      </c>
      <c r="E49" s="1" t="n">
        <v>46296</v>
      </c>
      <c r="F49" t="inlineStr">
        <is>
          <t>STOCKHOLMS LÄN</t>
        </is>
      </c>
      <c r="G49" t="inlineStr">
        <is>
          <t>ÖSTERÅKER</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61710-2022</t>
        </is>
      </c>
      <c r="B50" t="inlineStr">
        <is>
          <t>avverkningsanmälan</t>
        </is>
      </c>
      <c r="C50" t="inlineStr">
        <is>
          <t>Föryngringsavverkning</t>
        </is>
      </c>
      <c r="D50" s="1" t="n">
        <v>44917</v>
      </c>
      <c r="E50" s="1" t="n">
        <v>46296</v>
      </c>
      <c r="F50" t="inlineStr">
        <is>
          <t>STOCKHOLMS LÄN</t>
        </is>
      </c>
      <c r="G50" t="inlineStr">
        <is>
          <t>ÖSTERÅKER</t>
        </is>
      </c>
      <c r="I50" t="n">
        <v>6.2</v>
      </c>
      <c r="J50" t="n">
        <v>0</v>
      </c>
      <c r="K50" t="n">
        <v>0</v>
      </c>
      <c r="L50" t="n">
        <v>0</v>
      </c>
      <c r="M50" t="n">
        <v>0</v>
      </c>
      <c r="N50" t="n">
        <v>0</v>
      </c>
      <c r="O50" t="n">
        <v>0</v>
      </c>
      <c r="P50" t="n">
        <v>0</v>
      </c>
      <c r="Q50" t="n">
        <v>0</v>
      </c>
      <c r="R50" t="n">
        <v>0</v>
      </c>
      <c r="S50" t="n">
        <v>0</v>
      </c>
      <c r="T50" t="n">
        <v>0</v>
      </c>
      <c r="U50" t="n">
        <v>0</v>
      </c>
      <c r="V50" s="2" t="inlineStr"/>
    </row>
    <row r="51" ht="15" customHeight="1">
      <c r="A51" t="inlineStr">
        <is>
          <t>A 3917-2023</t>
        </is>
      </c>
      <c r="B51" t="inlineStr">
        <is>
          <t>avverkningsanmälan</t>
        </is>
      </c>
      <c r="C51" t="inlineStr">
        <is>
          <t>Föryngringsavverkning</t>
        </is>
      </c>
      <c r="D51" s="1" t="n">
        <v>44952</v>
      </c>
      <c r="E51" s="1" t="n">
        <v>46296</v>
      </c>
      <c r="F51" t="inlineStr">
        <is>
          <t>STOCKHOLMS LÄN</t>
        </is>
      </c>
      <c r="G51" t="inlineStr">
        <is>
          <t>ÖSTERÅKER</t>
        </is>
      </c>
      <c r="H51" t="inlineStr">
        <is>
          <t>Kommuner</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22528-2024</t>
        </is>
      </c>
      <c r="B52" t="inlineStr">
        <is>
          <t>avverkningsanmälan</t>
        </is>
      </c>
      <c r="C52" t="inlineStr">
        <is>
          <t>Föryngringsavverkning</t>
        </is>
      </c>
      <c r="D52" s="1" t="n">
        <v>45447</v>
      </c>
      <c r="E52" s="1" t="n">
        <v>46296</v>
      </c>
      <c r="F52" t="inlineStr">
        <is>
          <t>STOCKHOLMS LÄN</t>
        </is>
      </c>
      <c r="G52" t="inlineStr">
        <is>
          <t>ÖSTERÅKER</t>
        </is>
      </c>
      <c r="H52" t="inlineStr">
        <is>
          <t>Övriga Aktiebolag</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1603-2023</t>
        </is>
      </c>
      <c r="B53" t="inlineStr">
        <is>
          <t>avverkningsanmälan</t>
        </is>
      </c>
      <c r="C53" t="inlineStr">
        <is>
          <t>Föryngringsavverkning</t>
        </is>
      </c>
      <c r="D53" s="1" t="n">
        <v>44937</v>
      </c>
      <c r="E53" s="1" t="n">
        <v>46296</v>
      </c>
      <c r="F53" t="inlineStr">
        <is>
          <t>STOCKHOLMS LÄN</t>
        </is>
      </c>
      <c r="G53" t="inlineStr">
        <is>
          <t>ÖSTERÅKER</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1605-2023</t>
        </is>
      </c>
      <c r="B54" t="inlineStr">
        <is>
          <t>avverkningsanmälan</t>
        </is>
      </c>
      <c r="C54" t="inlineStr">
        <is>
          <t>Föryngringsavverkning</t>
        </is>
      </c>
      <c r="D54" s="1" t="n">
        <v>44937</v>
      </c>
      <c r="E54" s="1" t="n">
        <v>46296</v>
      </c>
      <c r="F54" t="inlineStr">
        <is>
          <t>STOCKHOLMS LÄN</t>
        </is>
      </c>
      <c r="G54" t="inlineStr">
        <is>
          <t>ÖSTERÅKER</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845-2024</t>
        </is>
      </c>
      <c r="B55" t="inlineStr">
        <is>
          <t>avverkningsanmälan</t>
        </is>
      </c>
      <c r="C55" t="inlineStr">
        <is>
          <t>Föryngringsavverkning</t>
        </is>
      </c>
      <c r="D55" s="1" t="n">
        <v>45300</v>
      </c>
      <c r="E55" s="1" t="n">
        <v>46296</v>
      </c>
      <c r="F55" t="inlineStr">
        <is>
          <t>STOCKHOLMS LÄN</t>
        </is>
      </c>
      <c r="G55" t="inlineStr">
        <is>
          <t>ÖSTERÅKER</t>
        </is>
      </c>
      <c r="I55" t="n">
        <v>10.1</v>
      </c>
      <c r="J55" t="n">
        <v>0</v>
      </c>
      <c r="K55" t="n">
        <v>0</v>
      </c>
      <c r="L55" t="n">
        <v>0</v>
      </c>
      <c r="M55" t="n">
        <v>0</v>
      </c>
      <c r="N55" t="n">
        <v>0</v>
      </c>
      <c r="O55" t="n">
        <v>0</v>
      </c>
      <c r="P55" t="n">
        <v>0</v>
      </c>
      <c r="Q55" t="n">
        <v>0</v>
      </c>
      <c r="R55" t="n">
        <v>0</v>
      </c>
      <c r="S55" t="n">
        <v>0</v>
      </c>
      <c r="T55" t="n">
        <v>0</v>
      </c>
      <c r="U55" t="n">
        <v>0</v>
      </c>
      <c r="V55" s="2" t="inlineStr"/>
    </row>
    <row r="56" ht="15" customHeight="1">
      <c r="A56" t="inlineStr">
        <is>
          <t>A 62108-2022</t>
        </is>
      </c>
      <c r="B56" t="inlineStr">
        <is>
          <t>avverkningsanmälan</t>
        </is>
      </c>
      <c r="C56" t="inlineStr">
        <is>
          <t>Föryngringsavverkning</t>
        </is>
      </c>
      <c r="D56" s="1" t="n">
        <v>44920</v>
      </c>
      <c r="E56" s="1" t="n">
        <v>46296</v>
      </c>
      <c r="F56" t="inlineStr">
        <is>
          <t>STOCKHOLMS LÄN</t>
        </is>
      </c>
      <c r="G56" t="inlineStr">
        <is>
          <t>ÖSTERÅKER</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37037-2023</t>
        </is>
      </c>
      <c r="B57" t="inlineStr">
        <is>
          <t>avverkningsanmälan</t>
        </is>
      </c>
      <c r="C57" t="inlineStr">
        <is>
          <t>Föryngringsavverkning</t>
        </is>
      </c>
      <c r="D57" s="1" t="n">
        <v>45155</v>
      </c>
      <c r="E57" s="1" t="n">
        <v>46296</v>
      </c>
      <c r="F57" t="inlineStr">
        <is>
          <t>STOCKHOLMS LÄN</t>
        </is>
      </c>
      <c r="G57" t="inlineStr">
        <is>
          <t>ÖSTERÅKER</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28143-2024</t>
        </is>
      </c>
      <c r="B58" t="inlineStr">
        <is>
          <t>avverkningsanmälan</t>
        </is>
      </c>
      <c r="C58" t="inlineStr">
        <is>
          <t>Föryngringsavverkning</t>
        </is>
      </c>
      <c r="D58" s="1" t="n">
        <v>45476</v>
      </c>
      <c r="E58" s="1" t="n">
        <v>46296</v>
      </c>
      <c r="F58" t="inlineStr">
        <is>
          <t>STOCKHOLMS LÄN</t>
        </is>
      </c>
      <c r="G58" t="inlineStr">
        <is>
          <t>ÖSTERÅKER</t>
        </is>
      </c>
      <c r="H58" t="inlineStr">
        <is>
          <t>Övriga Aktiebolag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31134-2023</t>
        </is>
      </c>
      <c r="B59" t="inlineStr">
        <is>
          <t>avverkningsanmälan</t>
        </is>
      </c>
      <c r="C59" t="inlineStr">
        <is>
          <t>Föryngringsavverkning</t>
        </is>
      </c>
      <c r="D59" s="1" t="n">
        <v>45113</v>
      </c>
      <c r="E59" s="1" t="n">
        <v>46296</v>
      </c>
      <c r="F59" t="inlineStr">
        <is>
          <t>STOCKHOLMS LÄN</t>
        </is>
      </c>
      <c r="G59" t="inlineStr">
        <is>
          <t>ÖSTERÅKER</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3828-2023</t>
        </is>
      </c>
      <c r="B60" t="inlineStr">
        <is>
          <t>avverkningsanmälan</t>
        </is>
      </c>
      <c r="C60" t="inlineStr">
        <is>
          <t>Föryngringsavverkning</t>
        </is>
      </c>
      <c r="D60" s="1" t="n">
        <v>44951</v>
      </c>
      <c r="E60" s="1" t="n">
        <v>46296</v>
      </c>
      <c r="F60" t="inlineStr">
        <is>
          <t>STOCKHOLMS LÄN</t>
        </is>
      </c>
      <c r="G60" t="inlineStr">
        <is>
          <t>ÖSTERÅKER</t>
        </is>
      </c>
      <c r="H60" t="inlineStr">
        <is>
          <t>Kommuner</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10185-2025</t>
        </is>
      </c>
      <c r="B61" t="inlineStr">
        <is>
          <t>avverkningsanmälan</t>
        </is>
      </c>
      <c r="C61" t="inlineStr">
        <is>
          <t>Föryngringsavverkning</t>
        </is>
      </c>
      <c r="D61" s="1" t="n">
        <v>45719</v>
      </c>
      <c r="E61" s="1" t="n">
        <v>46296</v>
      </c>
      <c r="F61" t="inlineStr">
        <is>
          <t>STOCKHOLMS LÄN</t>
        </is>
      </c>
      <c r="G61" t="inlineStr">
        <is>
          <t>ÖSTERÅKER</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46296</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33158-2024</t>
        </is>
      </c>
      <c r="B63" t="inlineStr">
        <is>
          <t>avverkningsanmälan</t>
        </is>
      </c>
      <c r="C63" t="inlineStr">
        <is>
          <t>Avverkning för annat ändamål</t>
        </is>
      </c>
      <c r="D63" s="1" t="n">
        <v>45518</v>
      </c>
      <c r="E63" s="1" t="n">
        <v>46296</v>
      </c>
      <c r="F63" t="inlineStr">
        <is>
          <t>STOCKHOLMS LÄN</t>
        </is>
      </c>
      <c r="G63" t="inlineStr">
        <is>
          <t>ÖSTERÅKER</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39394-2023</t>
        </is>
      </c>
      <c r="B64" t="inlineStr">
        <is>
          <t>avverkningsanmälan</t>
        </is>
      </c>
      <c r="C64" t="inlineStr">
        <is>
          <t>Föryngringsavverkning</t>
        </is>
      </c>
      <c r="D64" s="1" t="n">
        <v>45166</v>
      </c>
      <c r="E64" s="1" t="n">
        <v>46296</v>
      </c>
      <c r="F64" t="inlineStr">
        <is>
          <t>STOCKHOLMS LÄN</t>
        </is>
      </c>
      <c r="G64" t="inlineStr">
        <is>
          <t>ÖSTERÅKER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24499-2023</t>
        </is>
      </c>
      <c r="B65" t="inlineStr">
        <is>
          <t>avverkningsanmälan</t>
        </is>
      </c>
      <c r="C65" t="inlineStr">
        <is>
          <t>Föryngringsavverkning</t>
        </is>
      </c>
      <c r="D65" s="1" t="n">
        <v>45082</v>
      </c>
      <c r="E65" s="1" t="n">
        <v>46296</v>
      </c>
      <c r="F65" t="inlineStr">
        <is>
          <t>STOCKHOLMS LÄN</t>
        </is>
      </c>
      <c r="G65" t="inlineStr">
        <is>
          <t>ÖSTERÅKER</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16803-2022</t>
        </is>
      </c>
      <c r="B66" t="inlineStr">
        <is>
          <t>avverkningsanmälan</t>
        </is>
      </c>
      <c r="C66" t="inlineStr">
        <is>
          <t>Föryngringsavverkning</t>
        </is>
      </c>
      <c r="D66" s="1" t="n">
        <v>44673</v>
      </c>
      <c r="E66" s="1" t="n">
        <v>46296</v>
      </c>
      <c r="F66" t="inlineStr">
        <is>
          <t>STOCKHOLMS LÄN</t>
        </is>
      </c>
      <c r="G66" t="inlineStr">
        <is>
          <t>ÖSTERÅKER</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470-2022</t>
        </is>
      </c>
      <c r="B67" t="inlineStr">
        <is>
          <t>avverkningsanmälan</t>
        </is>
      </c>
      <c r="C67" t="inlineStr">
        <is>
          <t>Föryngringsavverkning</t>
        </is>
      </c>
      <c r="D67" s="1" t="n">
        <v>44565</v>
      </c>
      <c r="E67" s="1" t="n">
        <v>46296</v>
      </c>
      <c r="F67" t="inlineStr">
        <is>
          <t>STOCKHOLMS LÄN</t>
        </is>
      </c>
      <c r="G67" t="inlineStr">
        <is>
          <t>ÖSTERÅKER</t>
        </is>
      </c>
      <c r="H67" t="inlineStr">
        <is>
          <t>Övriga Aktiebolag</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28146-2024</t>
        </is>
      </c>
      <c r="B68" t="inlineStr">
        <is>
          <t>avverkningsanmälan</t>
        </is>
      </c>
      <c r="C68" t="inlineStr">
        <is>
          <t>Föryngringsavverkning</t>
        </is>
      </c>
      <c r="D68" s="1" t="n">
        <v>45476</v>
      </c>
      <c r="E68" s="1" t="n">
        <v>46296</v>
      </c>
      <c r="F68" t="inlineStr">
        <is>
          <t>STOCKHOLMS LÄN</t>
        </is>
      </c>
      <c r="G68" t="inlineStr">
        <is>
          <t>ÖSTERÅKER</t>
        </is>
      </c>
      <c r="H68" t="inlineStr">
        <is>
          <t>Övriga Aktiebolag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57048-2024</t>
        </is>
      </c>
      <c r="B69" t="inlineStr">
        <is>
          <t>avverkningsanmälan</t>
        </is>
      </c>
      <c r="C69" t="inlineStr">
        <is>
          <t>Föryngringsavverkning</t>
        </is>
      </c>
      <c r="D69" s="1" t="n">
        <v>45629</v>
      </c>
      <c r="E69" s="1" t="n">
        <v>46296</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5286-2025</t>
        </is>
      </c>
      <c r="B70" t="inlineStr">
        <is>
          <t>avverkningsanmälan</t>
        </is>
      </c>
      <c r="C70" t="inlineStr">
        <is>
          <t>Föryngringsavverkning</t>
        </is>
      </c>
      <c r="D70" s="1" t="n">
        <v>45692</v>
      </c>
      <c r="E70" s="1" t="n">
        <v>46296</v>
      </c>
      <c r="F70" t="inlineStr">
        <is>
          <t>STOCKHOLMS LÄN</t>
        </is>
      </c>
      <c r="G70" t="inlineStr">
        <is>
          <t>ÖSTERÅKER</t>
        </is>
      </c>
      <c r="I70" t="n">
        <v>11.2</v>
      </c>
      <c r="J70" t="n">
        <v>0</v>
      </c>
      <c r="K70" t="n">
        <v>0</v>
      </c>
      <c r="L70" t="n">
        <v>0</v>
      </c>
      <c r="M70" t="n">
        <v>0</v>
      </c>
      <c r="N70" t="n">
        <v>0</v>
      </c>
      <c r="O70" t="n">
        <v>0</v>
      </c>
      <c r="P70" t="n">
        <v>0</v>
      </c>
      <c r="Q70" t="n">
        <v>0</v>
      </c>
      <c r="R70" t="n">
        <v>0</v>
      </c>
      <c r="S70" t="n">
        <v>0</v>
      </c>
      <c r="T70" t="n">
        <v>0</v>
      </c>
      <c r="U70" t="n">
        <v>0</v>
      </c>
      <c r="V70" s="2" t="inlineStr"/>
    </row>
    <row r="71" ht="15" customHeight="1">
      <c r="A71" t="inlineStr">
        <is>
          <t>A 3817-2023</t>
        </is>
      </c>
      <c r="B71" t="inlineStr">
        <is>
          <t>avverkningsanmälan</t>
        </is>
      </c>
      <c r="C71" t="inlineStr">
        <is>
          <t>Föryngringsavverkning</t>
        </is>
      </c>
      <c r="D71" s="1" t="n">
        <v>44951</v>
      </c>
      <c r="E71" s="1" t="n">
        <v>46296</v>
      </c>
      <c r="F71" t="inlineStr">
        <is>
          <t>STOCKHOLMS LÄN</t>
        </is>
      </c>
      <c r="G71" t="inlineStr">
        <is>
          <t>ÖSTERÅKER</t>
        </is>
      </c>
      <c r="H71" t="inlineStr">
        <is>
          <t>Kommuner</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544-2023</t>
        </is>
      </c>
      <c r="B72" t="inlineStr">
        <is>
          <t>avverkningsanmälan</t>
        </is>
      </c>
      <c r="C72" t="inlineStr">
        <is>
          <t>Avverkning för annat ändamål</t>
        </is>
      </c>
      <c r="D72" s="1" t="n">
        <v>44924</v>
      </c>
      <c r="E72" s="1" t="n">
        <v>46296</v>
      </c>
      <c r="F72" t="inlineStr">
        <is>
          <t>STOCKHOLMS LÄN</t>
        </is>
      </c>
      <c r="G72" t="inlineStr">
        <is>
          <t>ÖSTERÅKER</t>
        </is>
      </c>
      <c r="H72" t="inlineStr">
        <is>
          <t>Övriga Aktiebolag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3326-2022</t>
        </is>
      </c>
      <c r="B73" t="inlineStr">
        <is>
          <t>avverkningsanmälan</t>
        </is>
      </c>
      <c r="C73" t="inlineStr">
        <is>
          <t>Föryngringsavverkning</t>
        </is>
      </c>
      <c r="D73" s="1" t="n">
        <v>44583</v>
      </c>
      <c r="E73" s="1" t="n">
        <v>46296</v>
      </c>
      <c r="F73" t="inlineStr">
        <is>
          <t>STOCKHOLMS LÄN</t>
        </is>
      </c>
      <c r="G73" t="inlineStr">
        <is>
          <t>ÖSTERÅKER</t>
        </is>
      </c>
      <c r="H73" t="inlineStr">
        <is>
          <t>Övriga Aktiebolag</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27137-2025</t>
        </is>
      </c>
      <c r="B74" t="inlineStr">
        <is>
          <t>avverkningsanmälan</t>
        </is>
      </c>
      <c r="C74" t="inlineStr">
        <is>
          <t>Föryngringsavverkning</t>
        </is>
      </c>
      <c r="D74" s="1" t="n">
        <v>45811</v>
      </c>
      <c r="E74" s="1" t="n">
        <v>46296</v>
      </c>
      <c r="F74" t="inlineStr">
        <is>
          <t>STOCKHOLMS LÄN</t>
        </is>
      </c>
      <c r="G74" t="inlineStr">
        <is>
          <t>ÖSTERÅKER</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13366-2024</t>
        </is>
      </c>
      <c r="B75" t="inlineStr">
        <is>
          <t>avverkningsanmälan</t>
        </is>
      </c>
      <c r="C75" t="inlineStr">
        <is>
          <t>Föryngringsavverkning</t>
        </is>
      </c>
      <c r="D75" s="1" t="n">
        <v>45387</v>
      </c>
      <c r="E75" s="1" t="n">
        <v>46296</v>
      </c>
      <c r="F75" t="inlineStr">
        <is>
          <t>STOCKHOLMS LÄN</t>
        </is>
      </c>
      <c r="G75" t="inlineStr">
        <is>
          <t>ÖSTERÅKER</t>
        </is>
      </c>
      <c r="I75" t="n">
        <v>13.7</v>
      </c>
      <c r="J75" t="n">
        <v>0</v>
      </c>
      <c r="K75" t="n">
        <v>0</v>
      </c>
      <c r="L75" t="n">
        <v>0</v>
      </c>
      <c r="M75" t="n">
        <v>0</v>
      </c>
      <c r="N75" t="n">
        <v>0</v>
      </c>
      <c r="O75" t="n">
        <v>0</v>
      </c>
      <c r="P75" t="n">
        <v>0</v>
      </c>
      <c r="Q75" t="n">
        <v>0</v>
      </c>
      <c r="R75" t="n">
        <v>0</v>
      </c>
      <c r="S75" t="n">
        <v>0</v>
      </c>
      <c r="T75" t="n">
        <v>0</v>
      </c>
      <c r="U75" t="n">
        <v>0</v>
      </c>
      <c r="V75" s="2" t="inlineStr"/>
    </row>
    <row r="76" ht="15" customHeight="1">
      <c r="A76" t="inlineStr">
        <is>
          <t>A 57055-2024</t>
        </is>
      </c>
      <c r="B76" t="inlineStr">
        <is>
          <t>avverkningsanmälan</t>
        </is>
      </c>
      <c r="C76" t="inlineStr">
        <is>
          <t>Föryngringsavverkning</t>
        </is>
      </c>
      <c r="D76" s="1" t="n">
        <v>45629</v>
      </c>
      <c r="E76" s="1" t="n">
        <v>46296</v>
      </c>
      <c r="F76" t="inlineStr">
        <is>
          <t>STOCKHOLMS LÄN</t>
        </is>
      </c>
      <c r="G76" t="inlineStr">
        <is>
          <t>ÖSTERÅKER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59379-2022</t>
        </is>
      </c>
      <c r="B77" t="inlineStr">
        <is>
          <t>avverkningsanmälan</t>
        </is>
      </c>
      <c r="C77" t="inlineStr">
        <is>
          <t>Föryngringsavverkning</t>
        </is>
      </c>
      <c r="D77" s="1" t="n">
        <v>44905</v>
      </c>
      <c r="E77" s="1" t="n">
        <v>46296</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46688-2022</t>
        </is>
      </c>
      <c r="B78" t="inlineStr">
        <is>
          <t>avverkningsanmälan</t>
        </is>
      </c>
      <c r="C78" t="inlineStr">
        <is>
          <t>Föryngringsavverkning</t>
        </is>
      </c>
      <c r="D78" s="1" t="n">
        <v>44851</v>
      </c>
      <c r="E78" s="1" t="n">
        <v>46296</v>
      </c>
      <c r="F78" t="inlineStr">
        <is>
          <t>STOCKHOLMS LÄN</t>
        </is>
      </c>
      <c r="G78" t="inlineStr">
        <is>
          <t>ÖSTERÅKER</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16738-2022</t>
        </is>
      </c>
      <c r="B79" t="inlineStr">
        <is>
          <t>avverkningsanmälan</t>
        </is>
      </c>
      <c r="C79" t="inlineStr">
        <is>
          <t>Avverkning för annat ändamål</t>
        </is>
      </c>
      <c r="D79" s="1" t="n">
        <v>44673</v>
      </c>
      <c r="E79" s="1" t="n">
        <v>46296</v>
      </c>
      <c r="F79" t="inlineStr">
        <is>
          <t>STOCKHOLMS LÄN</t>
        </is>
      </c>
      <c r="G79" t="inlineStr">
        <is>
          <t>ÖSTERÅKER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6655-2023</t>
        </is>
      </c>
      <c r="B80" t="inlineStr">
        <is>
          <t>avverkningsanmälan</t>
        </is>
      </c>
      <c r="C80" t="inlineStr">
        <is>
          <t>Föryngringsavverkning</t>
        </is>
      </c>
      <c r="D80" s="1" t="n">
        <v>44966</v>
      </c>
      <c r="E80" s="1" t="n">
        <v>46296</v>
      </c>
      <c r="F80" t="inlineStr">
        <is>
          <t>STOCKHOLMS LÄN</t>
        </is>
      </c>
      <c r="G80" t="inlineStr">
        <is>
          <t>ÖSTERÅKER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34034-2025</t>
        </is>
      </c>
      <c r="B81" t="inlineStr">
        <is>
          <t>avverkningsanmälan</t>
        </is>
      </c>
      <c r="C81" t="inlineStr">
        <is>
          <t>Föryngringsavverkning</t>
        </is>
      </c>
      <c r="D81" s="1" t="n">
        <v>45842</v>
      </c>
      <c r="E81" s="1" t="n">
        <v>46296</v>
      </c>
      <c r="F81" t="inlineStr">
        <is>
          <t>STOCKHOLMS LÄN</t>
        </is>
      </c>
      <c r="G81" t="inlineStr">
        <is>
          <t>ÖSTERÅKER</t>
        </is>
      </c>
      <c r="H81" t="inlineStr">
        <is>
          <t>Övriga Aktiebolag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35819-2025</t>
        </is>
      </c>
      <c r="B82" t="inlineStr">
        <is>
          <t>avverkningsanmälan</t>
        </is>
      </c>
      <c r="C82" t="inlineStr">
        <is>
          <t>Föryngringsavverkning</t>
        </is>
      </c>
      <c r="D82" s="1" t="n">
        <v>45861</v>
      </c>
      <c r="E82" s="1" t="n">
        <v>46296</v>
      </c>
      <c r="F82" t="inlineStr">
        <is>
          <t>STOCKHOLMS LÄN</t>
        </is>
      </c>
      <c r="G82" t="inlineStr">
        <is>
          <t>ÖSTERÅKER</t>
        </is>
      </c>
      <c r="H82" t="inlineStr">
        <is>
          <t>Övriga Aktiebolag</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17353-2025</t>
        </is>
      </c>
      <c r="B83" t="inlineStr">
        <is>
          <t>avverkningsanmälan</t>
        </is>
      </c>
      <c r="C83" t="inlineStr">
        <is>
          <t>Föryngringsavverkning</t>
        </is>
      </c>
      <c r="D83" s="1" t="n">
        <v>45756</v>
      </c>
      <c r="E83" s="1" t="n">
        <v>46296</v>
      </c>
      <c r="F83" t="inlineStr">
        <is>
          <t>STOCKHOLMS LÄN</t>
        </is>
      </c>
      <c r="G83" t="inlineStr">
        <is>
          <t>ÖSTERÅKER</t>
        </is>
      </c>
      <c r="H83" t="inlineStr">
        <is>
          <t>Övriga Aktiebolag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61360-2022</t>
        </is>
      </c>
      <c r="B84" t="inlineStr">
        <is>
          <t>avverkningsanmälan</t>
        </is>
      </c>
      <c r="C84" t="inlineStr">
        <is>
          <t>Föryngringsavverkning</t>
        </is>
      </c>
      <c r="D84" s="1" t="n">
        <v>44915</v>
      </c>
      <c r="E84" s="1" t="n">
        <v>46296</v>
      </c>
      <c r="F84" t="inlineStr">
        <is>
          <t>STOCKHOLMS LÄN</t>
        </is>
      </c>
      <c r="G84" t="inlineStr">
        <is>
          <t>ÖSTERÅKER</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52220-2025</t>
        </is>
      </c>
      <c r="B85" t="inlineStr">
        <is>
          <t>avverkningsanmälan</t>
        </is>
      </c>
      <c r="C85" t="inlineStr">
        <is>
          <t>Avverkning för annat ändamål</t>
        </is>
      </c>
      <c r="D85" s="1" t="n">
        <v>45953</v>
      </c>
      <c r="E85" s="1" t="n">
        <v>46296</v>
      </c>
      <c r="F85" t="inlineStr">
        <is>
          <t>STOCKHOLMS LÄN</t>
        </is>
      </c>
      <c r="G85" t="inlineStr">
        <is>
          <t>ÖSTERÅKER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5038-2026</t>
        </is>
      </c>
      <c r="B86" t="inlineStr">
        <is>
          <t>avverkningsanmälan</t>
        </is>
      </c>
      <c r="C86" t="inlineStr">
        <is>
          <t>Föryngringsavverkning</t>
        </is>
      </c>
      <c r="D86" s="1" t="n">
        <v>46049</v>
      </c>
      <c r="E86" s="1" t="n">
        <v>46296</v>
      </c>
      <c r="F86" t="inlineStr">
        <is>
          <t>STOCKHOLMS LÄN</t>
        </is>
      </c>
      <c r="G86" t="inlineStr">
        <is>
          <t>ÖSTERÅKER</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12345-2026</t>
        </is>
      </c>
      <c r="B87" t="inlineStr">
        <is>
          <t>avverkningsanmälan</t>
        </is>
      </c>
      <c r="C87" t="inlineStr">
        <is>
          <t>Föryngringsavverkning</t>
        </is>
      </c>
      <c r="D87" s="1" t="n">
        <v>46087</v>
      </c>
      <c r="E87" s="1" t="n">
        <v>46296</v>
      </c>
      <c r="F87" t="inlineStr">
        <is>
          <t>STOCKHOLMS LÄN</t>
        </is>
      </c>
      <c r="G87" t="inlineStr">
        <is>
          <t>ÖSTERÅKER</t>
        </is>
      </c>
      <c r="H87" t="inlineStr">
        <is>
          <t>Övriga Aktiebolag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34713-2025</t>
        </is>
      </c>
      <c r="B88" t="inlineStr">
        <is>
          <t>avverkningsanmälan</t>
        </is>
      </c>
      <c r="C88" t="inlineStr">
        <is>
          <t>Föryngringsavverkning</t>
        </is>
      </c>
      <c r="D88" s="1" t="n">
        <v>45848</v>
      </c>
      <c r="E88" s="1" t="n">
        <v>46296</v>
      </c>
      <c r="F88" t="inlineStr">
        <is>
          <t>STOCKHOLMS LÄN</t>
        </is>
      </c>
      <c r="G88" t="inlineStr">
        <is>
          <t>ÖSTERÅKER</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60482-2025</t>
        </is>
      </c>
      <c r="B89" t="inlineStr">
        <is>
          <t>avverkningsanmälan</t>
        </is>
      </c>
      <c r="C89" t="inlineStr">
        <is>
          <t>Föryngringsavverkning</t>
        </is>
      </c>
      <c r="D89" s="1" t="n">
        <v>45995</v>
      </c>
      <c r="E89" s="1" t="n">
        <v>46296</v>
      </c>
      <c r="F89" t="inlineStr">
        <is>
          <t>STOCKHOLMS LÄN</t>
        </is>
      </c>
      <c r="G89" t="inlineStr">
        <is>
          <t>ÖSTERÅKER</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21796-2025</t>
        </is>
      </c>
      <c r="B90" t="inlineStr">
        <is>
          <t>avverkningsanmälan</t>
        </is>
      </c>
      <c r="C90" t="inlineStr">
        <is>
          <t>Föryngringsavverkning</t>
        </is>
      </c>
      <c r="D90" s="1" t="n">
        <v>45783</v>
      </c>
      <c r="E90" s="1" t="n">
        <v>46296</v>
      </c>
      <c r="F90" t="inlineStr">
        <is>
          <t>STOCKHOLMS LÄN</t>
        </is>
      </c>
      <c r="G90" t="inlineStr">
        <is>
          <t>ÖSTERÅKER</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18711-2023</t>
        </is>
      </c>
      <c r="B91" t="inlineStr">
        <is>
          <t>avverkningsanmälan</t>
        </is>
      </c>
      <c r="C91" t="inlineStr">
        <is>
          <t>Föryngringsavverkning</t>
        </is>
      </c>
      <c r="D91" s="1" t="n">
        <v>45043</v>
      </c>
      <c r="E91" s="1" t="n">
        <v>46296</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23144-2024</t>
        </is>
      </c>
      <c r="B92" t="inlineStr">
        <is>
          <t>avverkningsanmälan</t>
        </is>
      </c>
      <c r="C92" t="inlineStr">
        <is>
          <t>Föryngringsavverkning</t>
        </is>
      </c>
      <c r="D92" s="1" t="n">
        <v>45450</v>
      </c>
      <c r="E92" s="1" t="n">
        <v>46296</v>
      </c>
      <c r="F92" t="inlineStr">
        <is>
          <t>STOCKHOLMS LÄN</t>
        </is>
      </c>
      <c r="G92" t="inlineStr">
        <is>
          <t>ÖSTERÅKER</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17263-2022</t>
        </is>
      </c>
      <c r="B93" t="inlineStr">
        <is>
          <t>avverkningsanmälan</t>
        </is>
      </c>
      <c r="C93" t="inlineStr">
        <is>
          <t>Föryngringsavverkning</t>
        </is>
      </c>
      <c r="D93" s="1" t="n">
        <v>44678</v>
      </c>
      <c r="E93" s="1" t="n">
        <v>46296</v>
      </c>
      <c r="F93" t="inlineStr">
        <is>
          <t>STOCKHOLMS LÄN</t>
        </is>
      </c>
      <c r="G93" t="inlineStr">
        <is>
          <t>ÖSTERÅKER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34038-2025</t>
        </is>
      </c>
      <c r="B94" t="inlineStr">
        <is>
          <t>avverkningsanmälan</t>
        </is>
      </c>
      <c r="C94" t="inlineStr">
        <is>
          <t>Föryngringsavverkning</t>
        </is>
      </c>
      <c r="D94" s="1" t="n">
        <v>45842</v>
      </c>
      <c r="E94" s="1" t="n">
        <v>46296</v>
      </c>
      <c r="F94" t="inlineStr">
        <is>
          <t>STOCKHOLMS LÄN</t>
        </is>
      </c>
      <c r="G94" t="inlineStr">
        <is>
          <t>ÖSTERÅKER</t>
        </is>
      </c>
      <c r="H94" t="inlineStr">
        <is>
          <t>Övriga Aktiebolag</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23198-2026</t>
        </is>
      </c>
      <c r="B95" t="inlineStr">
        <is>
          <t>avverkningsanmälan</t>
        </is>
      </c>
      <c r="C95" t="inlineStr">
        <is>
          <t>Avverkning för annat ändamål</t>
        </is>
      </c>
      <c r="D95" s="1" t="n">
        <v>46161</v>
      </c>
      <c r="E95" s="1" t="n">
        <v>46296</v>
      </c>
      <c r="F95" t="inlineStr">
        <is>
          <t>STOCKHOLMS LÄN</t>
        </is>
      </c>
      <c r="G95" t="inlineStr">
        <is>
          <t>ÖSTERÅKER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9865-2025</t>
        </is>
      </c>
      <c r="B96" t="inlineStr">
        <is>
          <t>avverkningsanmälan</t>
        </is>
      </c>
      <c r="C96" t="inlineStr">
        <is>
          <t>Föryngringsavverkning</t>
        </is>
      </c>
      <c r="D96" s="1" t="n">
        <v>45716</v>
      </c>
      <c r="E96" s="1" t="n">
        <v>46296</v>
      </c>
      <c r="F96" t="inlineStr">
        <is>
          <t>STOCKHOLMS LÄN</t>
        </is>
      </c>
      <c r="G96" t="inlineStr">
        <is>
          <t>ÖSTERÅKER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26249-2026</t>
        </is>
      </c>
      <c r="B97" t="inlineStr">
        <is>
          <t>avverkningsanmälan</t>
        </is>
      </c>
      <c r="C97" t="inlineStr">
        <is>
          <t>Avverkning för annat ändamål</t>
        </is>
      </c>
      <c r="D97" s="1" t="n">
        <v>46182</v>
      </c>
      <c r="E97" s="1" t="n">
        <v>46296</v>
      </c>
      <c r="F97" t="inlineStr">
        <is>
          <t>STOCKHOLMS LÄN</t>
        </is>
      </c>
      <c r="G97" t="inlineStr">
        <is>
          <t>ÖSTERÅKER</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29443-2026</t>
        </is>
      </c>
      <c r="B98" t="inlineStr">
        <is>
          <t>avverkningsanmälan</t>
        </is>
      </c>
      <c r="C98" t="inlineStr">
        <is>
          <t>Föryngringsavverkning</t>
        </is>
      </c>
      <c r="D98" s="1" t="n">
        <v>46203</v>
      </c>
      <c r="E98" s="1" t="n">
        <v>46296</v>
      </c>
      <c r="F98" t="inlineStr">
        <is>
          <t>STOCKHOLMS LÄN</t>
        </is>
      </c>
      <c r="G98" t="inlineStr">
        <is>
          <t>ÖSTERÅKER</t>
        </is>
      </c>
      <c r="I98" t="n">
        <v>13.8</v>
      </c>
      <c r="J98" t="n">
        <v>0</v>
      </c>
      <c r="K98" t="n">
        <v>0</v>
      </c>
      <c r="L98" t="n">
        <v>0</v>
      </c>
      <c r="M98" t="n">
        <v>0</v>
      </c>
      <c r="N98" t="n">
        <v>0</v>
      </c>
      <c r="O98" t="n">
        <v>0</v>
      </c>
      <c r="P98" t="n">
        <v>0</v>
      </c>
      <c r="Q98" t="n">
        <v>0</v>
      </c>
      <c r="R98" t="n">
        <v>0</v>
      </c>
      <c r="S98" t="n">
        <v>0</v>
      </c>
      <c r="T98" t="n">
        <v>0</v>
      </c>
      <c r="U98" t="n">
        <v>0</v>
      </c>
      <c r="V98" s="2" t="inlineStr"/>
    </row>
    <row r="99" ht="15" customHeight="1">
      <c r="A99" t="inlineStr">
        <is>
          <t>A 30599-2026</t>
        </is>
      </c>
      <c r="B99" t="inlineStr">
        <is>
          <t>avverkningsanmälan</t>
        </is>
      </c>
      <c r="C99" t="inlineStr">
        <is>
          <t>Föryngringsavverkning</t>
        </is>
      </c>
      <c r="D99" s="1" t="n">
        <v>46210</v>
      </c>
      <c r="E99" s="1" t="n">
        <v>46296</v>
      </c>
      <c r="F99" t="inlineStr">
        <is>
          <t>STOCKHOLMS LÄN</t>
        </is>
      </c>
      <c r="G99" t="inlineStr">
        <is>
          <t>ÖSTERÅKER</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31154-2026</t>
        </is>
      </c>
      <c r="B100" t="inlineStr">
        <is>
          <t>avverkningsanmälan</t>
        </is>
      </c>
      <c r="C100" t="inlineStr">
        <is>
          <t>Föryngringsavverkning</t>
        </is>
      </c>
      <c r="D100" s="1" t="n">
        <v>46216</v>
      </c>
      <c r="E100" s="1" t="n">
        <v>46296</v>
      </c>
      <c r="F100" t="inlineStr">
        <is>
          <t>STOCKHOLMS LÄN</t>
        </is>
      </c>
      <c r="G100" t="inlineStr">
        <is>
          <t>ÖSTERÅKER</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31146-2026</t>
        </is>
      </c>
      <c r="B101" t="inlineStr">
        <is>
          <t>avverkningsanmälan</t>
        </is>
      </c>
      <c r="C101" t="inlineStr">
        <is>
          <t>Föryngringsavverkning</t>
        </is>
      </c>
      <c r="D101" s="1" t="n">
        <v>46216</v>
      </c>
      <c r="E101" s="1" t="n">
        <v>46296</v>
      </c>
      <c r="F101" t="inlineStr">
        <is>
          <t>STOCKHOLMS LÄN</t>
        </is>
      </c>
      <c r="G101" t="inlineStr">
        <is>
          <t>ÖSTERÅKER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31149-2026</t>
        </is>
      </c>
      <c r="B102" t="inlineStr">
        <is>
          <t>avverkningsanmälan</t>
        </is>
      </c>
      <c r="C102" t="inlineStr">
        <is>
          <t>Föryngringsavverkning</t>
        </is>
      </c>
      <c r="D102" s="1" t="n">
        <v>46216</v>
      </c>
      <c r="E102" s="1" t="n">
        <v>46296</v>
      </c>
      <c r="F102" t="inlineStr">
        <is>
          <t>STOCKHOLMS LÄN</t>
        </is>
      </c>
      <c r="G102" t="inlineStr">
        <is>
          <t>ÖSTERÅKER</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31156-2026</t>
        </is>
      </c>
      <c r="B103" t="inlineStr">
        <is>
          <t>avverkningsanmälan</t>
        </is>
      </c>
      <c r="C103" t="inlineStr">
        <is>
          <t>Föryngringsavverkning</t>
        </is>
      </c>
      <c r="D103" s="1" t="n">
        <v>46216</v>
      </c>
      <c r="E103" s="1" t="n">
        <v>46296</v>
      </c>
      <c r="F103" t="inlineStr">
        <is>
          <t>STOCKHOLMS LÄN</t>
        </is>
      </c>
      <c r="G103" t="inlineStr">
        <is>
          <t>ÖSTERÅKER</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40142-2026</t>
        </is>
      </c>
      <c r="B104" t="inlineStr">
        <is>
          <t>avverkningsanmälan</t>
        </is>
      </c>
      <c r="C104" t="inlineStr">
        <is>
          <t>Föryngringsavverkning</t>
        </is>
      </c>
      <c r="D104" s="1" t="n">
        <v>46293</v>
      </c>
      <c r="E104" s="1" t="n">
        <v>46296</v>
      </c>
      <c r="F104" t="inlineStr">
        <is>
          <t>STOCKHOLMS LÄN</t>
        </is>
      </c>
      <c r="G104" t="inlineStr">
        <is>
          <t>ÖSTERÅKER</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104-2024</t>
        </is>
      </c>
      <c r="B105" t="inlineStr">
        <is>
          <t>samrådsanmälan</t>
        </is>
      </c>
      <c r="C105" t="inlineStr">
        <is>
          <t>Annan skogsbruksåtgärd</t>
        </is>
      </c>
      <c r="D105" s="1" t="n">
        <v>45302</v>
      </c>
      <c r="E105" s="1" t="n">
        <v>46296</v>
      </c>
      <c r="F105" t="inlineStr">
        <is>
          <t>STOCKHOLMS LÄN</t>
        </is>
      </c>
      <c r="G105" t="inlineStr">
        <is>
          <t>ÖSTERÅKER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S 156-2024</t>
        </is>
      </c>
      <c r="B106" t="inlineStr">
        <is>
          <t>samrådsanmälan</t>
        </is>
      </c>
      <c r="C106" t="inlineStr">
        <is>
          <t>Annan skogsbruksåtgärd</t>
        </is>
      </c>
      <c r="D106" s="1" t="n">
        <v>45309</v>
      </c>
      <c r="E106" s="1" t="n">
        <v>46296</v>
      </c>
      <c r="F106" t="inlineStr">
        <is>
          <t>STOCKHOLMS LÄN</t>
        </is>
      </c>
      <c r="G106" t="inlineStr">
        <is>
          <t>ÖSTERÅKER</t>
        </is>
      </c>
      <c r="I106" t="n">
        <v>7.2</v>
      </c>
      <c r="J106" t="n">
        <v>0</v>
      </c>
      <c r="K106" t="n">
        <v>0</v>
      </c>
      <c r="L106" t="n">
        <v>0</v>
      </c>
      <c r="M106" t="n">
        <v>0</v>
      </c>
      <c r="N106" t="n">
        <v>0</v>
      </c>
      <c r="O106" t="n">
        <v>0</v>
      </c>
      <c r="P106" t="n">
        <v>0</v>
      </c>
      <c r="Q106" t="n">
        <v>0</v>
      </c>
      <c r="R106" t="n">
        <v>0</v>
      </c>
      <c r="S106" t="n">
        <v>0</v>
      </c>
      <c r="T106" t="n">
        <v>0</v>
      </c>
      <c r="U106" t="n">
        <v>0</v>
      </c>
      <c r="V106" s="2" t="inlineStr"/>
    </row>
    <row r="107">
      <c r="A107" t="inlineStr">
        <is>
          <t>S 2021-2026</t>
        </is>
      </c>
      <c r="B107" t="inlineStr">
        <is>
          <t>samrådsanmälan</t>
        </is>
      </c>
      <c r="C107" t="inlineStr">
        <is>
          <t>Annan skogsbruksåtgärd</t>
        </is>
      </c>
      <c r="D107" s="1" t="n">
        <v>46210</v>
      </c>
      <c r="E107" s="1" t="n">
        <v>46296</v>
      </c>
      <c r="F107" t="inlineStr">
        <is>
          <t>STOCKHOLMS LÄN</t>
        </is>
      </c>
      <c r="G107" t="inlineStr">
        <is>
          <t>ÖSTERÅKER</t>
        </is>
      </c>
      <c r="I107" t="n">
        <v>2.6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2026-10-01T02:01:02Z</dcterms:created>
  <dcterms:modified xmlns:dcterms="http://purl.org/dc/terms/" xmlns:xsi="http://www.w3.org/2001/XMLSchema-instance" xsi:type="dcterms:W3CDTF">2026-10-01T02:01:02Z</dcterms:modified>
</cp:coreProperties>
</file>