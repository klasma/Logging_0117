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46012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46012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46012</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31015-2024</t>
        </is>
      </c>
      <c r="B5" s="1" t="n">
        <v>45499</v>
      </c>
      <c r="C5" s="1" t="n">
        <v>46012</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153-2025</t>
        </is>
      </c>
      <c r="B6" s="1" t="n">
        <v>45659.61650462963</v>
      </c>
      <c r="C6" s="1" t="n">
        <v>46012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34717-2025</t>
        </is>
      </c>
      <c r="B7" s="1" t="n">
        <v>45848</v>
      </c>
      <c r="C7" s="1" t="n">
        <v>46012</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12620-2022</t>
        </is>
      </c>
      <c r="B8" s="1" t="n">
        <v>44638</v>
      </c>
      <c r="C8" s="1" t="n">
        <v>46012</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46012</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61275-2021</t>
        </is>
      </c>
      <c r="B10" s="1" t="n">
        <v>44498</v>
      </c>
      <c r="C10" s="1" t="n">
        <v>46012</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34721-2025</t>
        </is>
      </c>
      <c r="B11" s="1" t="n">
        <v>45848</v>
      </c>
      <c r="C11" s="1" t="n">
        <v>46012</v>
      </c>
      <c r="D11" t="inlineStr">
        <is>
          <t>STOCKHOLMS LÄN</t>
        </is>
      </c>
      <c r="E11" t="inlineStr">
        <is>
          <t>ÖSTERÅKER</t>
        </is>
      </c>
      <c r="G11" t="n">
        <v>2.6</v>
      </c>
      <c r="H11" t="n">
        <v>0</v>
      </c>
      <c r="I11" t="n">
        <v>2</v>
      </c>
      <c r="J11" t="n">
        <v>0</v>
      </c>
      <c r="K11" t="n">
        <v>0</v>
      </c>
      <c r="L11" t="n">
        <v>0</v>
      </c>
      <c r="M11" t="n">
        <v>0</v>
      </c>
      <c r="N11" t="n">
        <v>0</v>
      </c>
      <c r="O11" t="n">
        <v>0</v>
      </c>
      <c r="P11" t="n">
        <v>0</v>
      </c>
      <c r="Q11" t="n">
        <v>2</v>
      </c>
      <c r="R11" s="2" t="inlineStr">
        <is>
          <t>Skuggblåslav
Västlig hakmossa</t>
        </is>
      </c>
      <c r="S11">
        <f>HYPERLINK("https://klasma.github.io/Logging_0117/artfynd/A 34721-2025 artfynd.xlsx", "A 34721-2025")</f>
        <v/>
      </c>
      <c r="T11">
        <f>HYPERLINK("https://klasma.github.io/Logging_0117/kartor/A 34721-2025 karta.png", "A 34721-2025")</f>
        <v/>
      </c>
      <c r="V11">
        <f>HYPERLINK("https://klasma.github.io/Logging_0117/klagomål/A 34721-2025 FSC-klagomål.docx", "A 34721-2025")</f>
        <v/>
      </c>
      <c r="W11">
        <f>HYPERLINK("https://klasma.github.io/Logging_0117/klagomålsmail/A 34721-2025 FSC-klagomål mail.docx", "A 34721-2025")</f>
        <v/>
      </c>
      <c r="X11">
        <f>HYPERLINK("https://klasma.github.io/Logging_0117/tillsyn/A 34721-2025 tillsynsbegäran.docx", "A 34721-2025")</f>
        <v/>
      </c>
      <c r="Y11">
        <f>HYPERLINK("https://klasma.github.io/Logging_0117/tillsynsmail/A 34721-2025 tillsynsbegäran mail.docx", "A 34721-2025")</f>
        <v/>
      </c>
    </row>
    <row r="12" ht="15" customHeight="1">
      <c r="A12" t="inlineStr">
        <is>
          <t>A 36366-2025</t>
        </is>
      </c>
      <c r="B12" s="1" t="n">
        <v>45868</v>
      </c>
      <c r="C12" s="1" t="n">
        <v>46012</v>
      </c>
      <c r="D12" t="inlineStr">
        <is>
          <t>STOCKHOLMS LÄN</t>
        </is>
      </c>
      <c r="E12" t="inlineStr">
        <is>
          <t>ÖSTERÅKER</t>
        </is>
      </c>
      <c r="G12" t="n">
        <v>7.2</v>
      </c>
      <c r="H12" t="n">
        <v>0</v>
      </c>
      <c r="I12" t="n">
        <v>1</v>
      </c>
      <c r="J12" t="n">
        <v>1</v>
      </c>
      <c r="K12" t="n">
        <v>0</v>
      </c>
      <c r="L12" t="n">
        <v>0</v>
      </c>
      <c r="M12" t="n">
        <v>0</v>
      </c>
      <c r="N12" t="n">
        <v>0</v>
      </c>
      <c r="O12" t="n">
        <v>1</v>
      </c>
      <c r="P12" t="n">
        <v>0</v>
      </c>
      <c r="Q12" t="n">
        <v>2</v>
      </c>
      <c r="R12" s="2" t="inlineStr">
        <is>
          <t>Garnlav
Björksplintborre</t>
        </is>
      </c>
      <c r="S12">
        <f>HYPERLINK("https://klasma.github.io/Logging_0117/artfynd/A 36366-2025 artfynd.xlsx", "A 36366-2025")</f>
        <v/>
      </c>
      <c r="T12">
        <f>HYPERLINK("https://klasma.github.io/Logging_0117/kartor/A 36366-2025 karta.png", "A 36366-2025")</f>
        <v/>
      </c>
      <c r="V12">
        <f>HYPERLINK("https://klasma.github.io/Logging_0117/klagomål/A 36366-2025 FSC-klagomål.docx", "A 36366-2025")</f>
        <v/>
      </c>
      <c r="W12">
        <f>HYPERLINK("https://klasma.github.io/Logging_0117/klagomålsmail/A 36366-2025 FSC-klagomål mail.docx", "A 36366-2025")</f>
        <v/>
      </c>
      <c r="X12">
        <f>HYPERLINK("https://klasma.github.io/Logging_0117/tillsyn/A 36366-2025 tillsynsbegäran.docx", "A 36366-2025")</f>
        <v/>
      </c>
      <c r="Y12">
        <f>HYPERLINK("https://klasma.github.io/Logging_0117/tillsynsmail/A 36366-2025 tillsynsbegäran mail.docx", "A 36366-2025")</f>
        <v/>
      </c>
    </row>
    <row r="13" ht="15" customHeight="1">
      <c r="A13" t="inlineStr">
        <is>
          <t>A 31523-2022</t>
        </is>
      </c>
      <c r="B13" s="1" t="n">
        <v>44775.22490740741</v>
      </c>
      <c r="C13" s="1" t="n">
        <v>46012</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43308-2024</t>
        </is>
      </c>
      <c r="B14" s="1" t="n">
        <v>45568</v>
      </c>
      <c r="C14" s="1" t="n">
        <v>46012</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62642-2025</t>
        </is>
      </c>
      <c r="B15" s="1" t="n">
        <v>46008.37217592593</v>
      </c>
      <c r="C15" s="1" t="n">
        <v>46012</v>
      </c>
      <c r="D15" t="inlineStr">
        <is>
          <t>STOCKHOLMS LÄN</t>
        </is>
      </c>
      <c r="E15" t="inlineStr">
        <is>
          <t>ÖSTERÅKER</t>
        </is>
      </c>
      <c r="G15" t="n">
        <v>2.7</v>
      </c>
      <c r="H15" t="n">
        <v>0</v>
      </c>
      <c r="I15" t="n">
        <v>2</v>
      </c>
      <c r="J15" t="n">
        <v>0</v>
      </c>
      <c r="K15" t="n">
        <v>0</v>
      </c>
      <c r="L15" t="n">
        <v>0</v>
      </c>
      <c r="M15" t="n">
        <v>0</v>
      </c>
      <c r="N15" t="n">
        <v>0</v>
      </c>
      <c r="O15" t="n">
        <v>0</v>
      </c>
      <c r="P15" t="n">
        <v>0</v>
      </c>
      <c r="Q15" t="n">
        <v>2</v>
      </c>
      <c r="R15" s="2" t="inlineStr">
        <is>
          <t>Björksplintborre
Bronshjon</t>
        </is>
      </c>
      <c r="S15">
        <f>HYPERLINK("https://klasma.github.io/Logging_0117/artfynd/A 62642-2025 artfynd.xlsx", "A 62642-2025")</f>
        <v/>
      </c>
      <c r="T15">
        <f>HYPERLINK("https://klasma.github.io/Logging_0117/kartor/A 62642-2025 karta.png", "A 62642-2025")</f>
        <v/>
      </c>
      <c r="V15">
        <f>HYPERLINK("https://klasma.github.io/Logging_0117/klagomål/A 62642-2025 FSC-klagomål.docx", "A 62642-2025")</f>
        <v/>
      </c>
      <c r="W15">
        <f>HYPERLINK("https://klasma.github.io/Logging_0117/klagomålsmail/A 62642-2025 FSC-klagomål mail.docx", "A 62642-2025")</f>
        <v/>
      </c>
      <c r="X15">
        <f>HYPERLINK("https://klasma.github.io/Logging_0117/tillsyn/A 62642-2025 tillsynsbegäran.docx", "A 62642-2025")</f>
        <v/>
      </c>
      <c r="Y15">
        <f>HYPERLINK("https://klasma.github.io/Logging_0117/tillsynsmail/A 62642-2025 tillsynsbegäran mail.docx", "A 62642-2025")</f>
        <v/>
      </c>
    </row>
    <row r="16" ht="15" customHeight="1">
      <c r="A16" t="inlineStr">
        <is>
          <t>A 62578-2025</t>
        </is>
      </c>
      <c r="B16" s="1" t="n">
        <v>46007.76833333333</v>
      </c>
      <c r="C16" s="1" t="n">
        <v>46012</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46012</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46012</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46012</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46012</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27921-2025</t>
        </is>
      </c>
      <c r="B21" s="1" t="n">
        <v>45817.4846875</v>
      </c>
      <c r="C21" s="1" t="n">
        <v>46012</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46012</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3919-2023</t>
        </is>
      </c>
      <c r="B23" s="1" t="n">
        <v>44952</v>
      </c>
      <c r="C23" s="1" t="n">
        <v>46012</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13942-2021</t>
        </is>
      </c>
      <c r="B24" s="1" t="n">
        <v>44277</v>
      </c>
      <c r="C24" s="1" t="n">
        <v>46012</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46012</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46012</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46012</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46012</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46012</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46012</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46012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46012</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46012</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46012</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46012</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46012</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46012</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46012</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46012</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46012</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46012</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46012</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46012</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46012</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46012</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46012</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46012</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46012</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46012</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46012</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46012</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46012</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28146-2024</t>
        </is>
      </c>
      <c r="B53" s="1" t="n">
        <v>45476</v>
      </c>
      <c r="C53" s="1" t="n">
        <v>46012</v>
      </c>
      <c r="D53" t="inlineStr">
        <is>
          <t>STOCKHOLMS LÄN</t>
        </is>
      </c>
      <c r="E53" t="inlineStr">
        <is>
          <t>ÖSTERÅKER</t>
        </is>
      </c>
      <c r="F53" t="inlineStr">
        <is>
          <t>Övriga Aktiebolag</t>
        </is>
      </c>
      <c r="G53" t="n">
        <v>2.7</v>
      </c>
      <c r="H53" t="n">
        <v>0</v>
      </c>
      <c r="I53" t="n">
        <v>0</v>
      </c>
      <c r="J53" t="n">
        <v>0</v>
      </c>
      <c r="K53" t="n">
        <v>0</v>
      </c>
      <c r="L53" t="n">
        <v>0</v>
      </c>
      <c r="M53" t="n">
        <v>0</v>
      </c>
      <c r="N53" t="n">
        <v>0</v>
      </c>
      <c r="O53" t="n">
        <v>0</v>
      </c>
      <c r="P53" t="n">
        <v>0</v>
      </c>
      <c r="Q53" t="n">
        <v>0</v>
      </c>
      <c r="R53" s="2" t="inlineStr"/>
    </row>
    <row r="54" ht="15" customHeight="1">
      <c r="A54" t="inlineStr">
        <is>
          <t>A 22528-2024</t>
        </is>
      </c>
      <c r="B54" s="1" t="n">
        <v>45447.44967592593</v>
      </c>
      <c r="C54" s="1" t="n">
        <v>46012</v>
      </c>
      <c r="D54" t="inlineStr">
        <is>
          <t>STOCKHOLMS LÄN</t>
        </is>
      </c>
      <c r="E54" t="inlineStr">
        <is>
          <t>ÖSTERÅKER</t>
        </is>
      </c>
      <c r="F54" t="inlineStr">
        <is>
          <t>Övriga Aktiebolag</t>
        </is>
      </c>
      <c r="G54" t="n">
        <v>1.4</v>
      </c>
      <c r="H54" t="n">
        <v>0</v>
      </c>
      <c r="I54" t="n">
        <v>0</v>
      </c>
      <c r="J54" t="n">
        <v>0</v>
      </c>
      <c r="K54" t="n">
        <v>0</v>
      </c>
      <c r="L54" t="n">
        <v>0</v>
      </c>
      <c r="M54" t="n">
        <v>0</v>
      </c>
      <c r="N54" t="n">
        <v>0</v>
      </c>
      <c r="O54" t="n">
        <v>0</v>
      </c>
      <c r="P54" t="n">
        <v>0</v>
      </c>
      <c r="Q54" t="n">
        <v>0</v>
      </c>
      <c r="R54" s="2" t="inlineStr"/>
    </row>
    <row r="55" ht="15" customHeight="1">
      <c r="A55" t="inlineStr">
        <is>
          <t>A 16803-2022</t>
        </is>
      </c>
      <c r="B55" s="1" t="n">
        <v>44673</v>
      </c>
      <c r="C55" s="1" t="n">
        <v>46012</v>
      </c>
      <c r="D55" t="inlineStr">
        <is>
          <t>STOCKHOLMS LÄN</t>
        </is>
      </c>
      <c r="E55" t="inlineStr">
        <is>
          <t>ÖSTERÅKER</t>
        </is>
      </c>
      <c r="G55" t="n">
        <v>1.9</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46012</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46012</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61710-2022</t>
        </is>
      </c>
      <c r="B58" s="1" t="n">
        <v>44917</v>
      </c>
      <c r="C58" s="1" t="n">
        <v>46012</v>
      </c>
      <c r="D58" t="inlineStr">
        <is>
          <t>STOCKHOLMS LÄN</t>
        </is>
      </c>
      <c r="E58" t="inlineStr">
        <is>
          <t>ÖSTERÅKER</t>
        </is>
      </c>
      <c r="G58" t="n">
        <v>6.2</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46012</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46012</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17353-2025</t>
        </is>
      </c>
      <c r="B61" s="1" t="n">
        <v>45756</v>
      </c>
      <c r="C61" s="1" t="n">
        <v>46012</v>
      </c>
      <c r="D61" t="inlineStr">
        <is>
          <t>STOCKHOLMS LÄN</t>
        </is>
      </c>
      <c r="E61" t="inlineStr">
        <is>
          <t>ÖSTERÅKER</t>
        </is>
      </c>
      <c r="F61" t="inlineStr">
        <is>
          <t>Övriga Aktiebolag</t>
        </is>
      </c>
      <c r="G61" t="n">
        <v>5.5</v>
      </c>
      <c r="H61" t="n">
        <v>0</v>
      </c>
      <c r="I61" t="n">
        <v>0</v>
      </c>
      <c r="J61" t="n">
        <v>0</v>
      </c>
      <c r="K61" t="n">
        <v>0</v>
      </c>
      <c r="L61" t="n">
        <v>0</v>
      </c>
      <c r="M61" t="n">
        <v>0</v>
      </c>
      <c r="N61" t="n">
        <v>0</v>
      </c>
      <c r="O61" t="n">
        <v>0</v>
      </c>
      <c r="P61" t="n">
        <v>0</v>
      </c>
      <c r="Q61" t="n">
        <v>0</v>
      </c>
      <c r="R61" s="2" t="inlineStr"/>
    </row>
    <row r="62" ht="15" customHeight="1">
      <c r="A62" t="inlineStr">
        <is>
          <t>A 34034-2025</t>
        </is>
      </c>
      <c r="B62" s="1" t="n">
        <v>45842</v>
      </c>
      <c r="C62" s="1" t="n">
        <v>46012</v>
      </c>
      <c r="D62" t="inlineStr">
        <is>
          <t>STOCKHOLMS LÄN</t>
        </is>
      </c>
      <c r="E62" t="inlineStr">
        <is>
          <t>ÖSTERÅKER</t>
        </is>
      </c>
      <c r="F62" t="inlineStr">
        <is>
          <t>Övriga Aktiebolag</t>
        </is>
      </c>
      <c r="G62" t="n">
        <v>3.9</v>
      </c>
      <c r="H62" t="n">
        <v>0</v>
      </c>
      <c r="I62" t="n">
        <v>0</v>
      </c>
      <c r="J62" t="n">
        <v>0</v>
      </c>
      <c r="K62" t="n">
        <v>0</v>
      </c>
      <c r="L62" t="n">
        <v>0</v>
      </c>
      <c r="M62" t="n">
        <v>0</v>
      </c>
      <c r="N62" t="n">
        <v>0</v>
      </c>
      <c r="O62" t="n">
        <v>0</v>
      </c>
      <c r="P62" t="n">
        <v>0</v>
      </c>
      <c r="Q62" t="n">
        <v>0</v>
      </c>
      <c r="R62" s="2" t="inlineStr"/>
    </row>
    <row r="63" ht="15" customHeight="1">
      <c r="A63" t="inlineStr">
        <is>
          <t>A 34038-2025</t>
        </is>
      </c>
      <c r="B63" s="1" t="n">
        <v>45842</v>
      </c>
      <c r="C63" s="1" t="n">
        <v>46012</v>
      </c>
      <c r="D63" t="inlineStr">
        <is>
          <t>STOCKHOLMS LÄN</t>
        </is>
      </c>
      <c r="E63" t="inlineStr">
        <is>
          <t>ÖSTERÅKER</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46012</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3917-2023</t>
        </is>
      </c>
      <c r="B65" s="1" t="n">
        <v>44952</v>
      </c>
      <c r="C65" s="1" t="n">
        <v>46012</v>
      </c>
      <c r="D65" t="inlineStr">
        <is>
          <t>STOCKHOLMS LÄN</t>
        </is>
      </c>
      <c r="E65" t="inlineStr">
        <is>
          <t>ÖSTERÅKER</t>
        </is>
      </c>
      <c r="F65" t="inlineStr">
        <is>
          <t>Kommuner</t>
        </is>
      </c>
      <c r="G65" t="n">
        <v>2.8</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46012</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46012</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46012</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46012</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46012</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46012</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60482-2025</t>
        </is>
      </c>
      <c r="B72" s="1" t="n">
        <v>45995.59832175926</v>
      </c>
      <c r="C72" s="1" t="n">
        <v>46012</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46012</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470-2022</t>
        </is>
      </c>
      <c r="B74" s="1" t="n">
        <v>44565</v>
      </c>
      <c r="C74" s="1" t="n">
        <v>46012</v>
      </c>
      <c r="D74" t="inlineStr">
        <is>
          <t>STOCKHOLMS LÄN</t>
        </is>
      </c>
      <c r="E74" t="inlineStr">
        <is>
          <t>ÖSTERÅKER</t>
        </is>
      </c>
      <c r="F74" t="inlineStr">
        <is>
          <t>Övriga Aktiebolag</t>
        </is>
      </c>
      <c r="G74" t="n">
        <v>4.6</v>
      </c>
      <c r="H74" t="n">
        <v>0</v>
      </c>
      <c r="I74" t="n">
        <v>0</v>
      </c>
      <c r="J74" t="n">
        <v>0</v>
      </c>
      <c r="K74" t="n">
        <v>0</v>
      </c>
      <c r="L74" t="n">
        <v>0</v>
      </c>
      <c r="M74" t="n">
        <v>0</v>
      </c>
      <c r="N74" t="n">
        <v>0</v>
      </c>
      <c r="O74" t="n">
        <v>0</v>
      </c>
      <c r="P74" t="n">
        <v>0</v>
      </c>
      <c r="Q74" t="n">
        <v>0</v>
      </c>
      <c r="R74" s="2" t="inlineStr"/>
    </row>
    <row r="75" ht="15" customHeight="1">
      <c r="A75" t="inlineStr">
        <is>
          <t>A 31575-2022</t>
        </is>
      </c>
      <c r="B75" s="1" t="n">
        <v>44775.45063657407</v>
      </c>
      <c r="C75" s="1" t="n">
        <v>46012</v>
      </c>
      <c r="D75" t="inlineStr">
        <is>
          <t>STOCKHOLMS LÄN</t>
        </is>
      </c>
      <c r="E75" t="inlineStr">
        <is>
          <t>ÖSTERÅKER</t>
        </is>
      </c>
      <c r="G75" t="n">
        <v>5</v>
      </c>
      <c r="H75" t="n">
        <v>0</v>
      </c>
      <c r="I75" t="n">
        <v>0</v>
      </c>
      <c r="J75" t="n">
        <v>0</v>
      </c>
      <c r="K75" t="n">
        <v>0</v>
      </c>
      <c r="L75" t="n">
        <v>0</v>
      </c>
      <c r="M75" t="n">
        <v>0</v>
      </c>
      <c r="N75" t="n">
        <v>0</v>
      </c>
      <c r="O75" t="n">
        <v>0</v>
      </c>
      <c r="P75" t="n">
        <v>0</v>
      </c>
      <c r="Q75" t="n">
        <v>0</v>
      </c>
      <c r="R75" s="2" t="inlineStr"/>
    </row>
    <row r="76" ht="15" customHeight="1">
      <c r="A76" t="inlineStr">
        <is>
          <t>A 33158-2024</t>
        </is>
      </c>
      <c r="B76" s="1" t="n">
        <v>45518</v>
      </c>
      <c r="C76" s="1" t="n">
        <v>46012</v>
      </c>
      <c r="D76" t="inlineStr">
        <is>
          <t>STOCKHOLMS LÄN</t>
        </is>
      </c>
      <c r="E76" t="inlineStr">
        <is>
          <t>ÖSTERÅKER</t>
        </is>
      </c>
      <c r="G76" t="n">
        <v>1.6</v>
      </c>
      <c r="H76" t="n">
        <v>0</v>
      </c>
      <c r="I76" t="n">
        <v>0</v>
      </c>
      <c r="J76" t="n">
        <v>0</v>
      </c>
      <c r="K76" t="n">
        <v>0</v>
      </c>
      <c r="L76" t="n">
        <v>0</v>
      </c>
      <c r="M76" t="n">
        <v>0</v>
      </c>
      <c r="N76" t="n">
        <v>0</v>
      </c>
      <c r="O76" t="n">
        <v>0</v>
      </c>
      <c r="P76" t="n">
        <v>0</v>
      </c>
      <c r="Q76" t="n">
        <v>0</v>
      </c>
      <c r="R76" s="2" t="inlineStr"/>
    </row>
    <row r="77" ht="15" customHeight="1">
      <c r="A77" t="inlineStr">
        <is>
          <t>A 13366-2024</t>
        </is>
      </c>
      <c r="B77" s="1" t="n">
        <v>45387</v>
      </c>
      <c r="C77" s="1" t="n">
        <v>46012</v>
      </c>
      <c r="D77" t="inlineStr">
        <is>
          <t>STOCKHOLMS LÄN</t>
        </is>
      </c>
      <c r="E77" t="inlineStr">
        <is>
          <t>ÖSTERÅKER</t>
        </is>
      </c>
      <c r="G77" t="n">
        <v>13.7</v>
      </c>
      <c r="H77" t="n">
        <v>0</v>
      </c>
      <c r="I77" t="n">
        <v>0</v>
      </c>
      <c r="J77" t="n">
        <v>0</v>
      </c>
      <c r="K77" t="n">
        <v>0</v>
      </c>
      <c r="L77" t="n">
        <v>0</v>
      </c>
      <c r="M77" t="n">
        <v>0</v>
      </c>
      <c r="N77" t="n">
        <v>0</v>
      </c>
      <c r="O77" t="n">
        <v>0</v>
      </c>
      <c r="P77" t="n">
        <v>0</v>
      </c>
      <c r="Q77" t="n">
        <v>0</v>
      </c>
      <c r="R77" s="2" t="inlineStr"/>
    </row>
    <row r="78" ht="15" customHeight="1">
      <c r="A78" t="inlineStr">
        <is>
          <t>A 61360-2022</t>
        </is>
      </c>
      <c r="B78" s="1" t="n">
        <v>44915</v>
      </c>
      <c r="C78" s="1" t="n">
        <v>46012</v>
      </c>
      <c r="D78" t="inlineStr">
        <is>
          <t>STOCKHOLMS LÄN</t>
        </is>
      </c>
      <c r="E78" t="inlineStr">
        <is>
          <t>ÖSTERÅKER</t>
        </is>
      </c>
      <c r="G78" t="n">
        <v>2.3</v>
      </c>
      <c r="H78" t="n">
        <v>0</v>
      </c>
      <c r="I78" t="n">
        <v>0</v>
      </c>
      <c r="J78" t="n">
        <v>0</v>
      </c>
      <c r="K78" t="n">
        <v>0</v>
      </c>
      <c r="L78" t="n">
        <v>0</v>
      </c>
      <c r="M78" t="n">
        <v>0</v>
      </c>
      <c r="N78" t="n">
        <v>0</v>
      </c>
      <c r="O78" t="n">
        <v>0</v>
      </c>
      <c r="P78" t="n">
        <v>0</v>
      </c>
      <c r="Q78" t="n">
        <v>0</v>
      </c>
      <c r="R78" s="2" t="inlineStr"/>
    </row>
    <row r="79" ht="15" customHeight="1">
      <c r="A79" t="inlineStr">
        <is>
          <t>A 62831-2025</t>
        </is>
      </c>
      <c r="B79" s="1" t="n">
        <v>46008.67471064815</v>
      </c>
      <c r="C79" s="1" t="n">
        <v>46012</v>
      </c>
      <c r="D79" t="inlineStr">
        <is>
          <t>STOCKHOLMS LÄN</t>
        </is>
      </c>
      <c r="E79" t="inlineStr">
        <is>
          <t>ÖSTERÅKER</t>
        </is>
      </c>
      <c r="G79" t="n">
        <v>1.6</v>
      </c>
      <c r="H79" t="n">
        <v>0</v>
      </c>
      <c r="I79" t="n">
        <v>0</v>
      </c>
      <c r="J79" t="n">
        <v>0</v>
      </c>
      <c r="K79" t="n">
        <v>0</v>
      </c>
      <c r="L79" t="n">
        <v>0</v>
      </c>
      <c r="M79" t="n">
        <v>0</v>
      </c>
      <c r="N79" t="n">
        <v>0</v>
      </c>
      <c r="O79" t="n">
        <v>0</v>
      </c>
      <c r="P79" t="n">
        <v>0</v>
      </c>
      <c r="Q79" t="n">
        <v>0</v>
      </c>
      <c r="R79" s="2" t="inlineStr"/>
    </row>
    <row r="80" ht="15" customHeight="1">
      <c r="A80" t="inlineStr">
        <is>
          <t>A 62839-2025</t>
        </is>
      </c>
      <c r="B80" s="1" t="n">
        <v>46008.68847222222</v>
      </c>
      <c r="C80" s="1" t="n">
        <v>46012</v>
      </c>
      <c r="D80" t="inlineStr">
        <is>
          <t>STOCKHOLMS LÄN</t>
        </is>
      </c>
      <c r="E80" t="inlineStr">
        <is>
          <t>ÖSTERÅKER</t>
        </is>
      </c>
      <c r="G80" t="n">
        <v>1.4</v>
      </c>
      <c r="H80" t="n">
        <v>0</v>
      </c>
      <c r="I80" t="n">
        <v>0</v>
      </c>
      <c r="J80" t="n">
        <v>0</v>
      </c>
      <c r="K80" t="n">
        <v>0</v>
      </c>
      <c r="L80" t="n">
        <v>0</v>
      </c>
      <c r="M80" t="n">
        <v>0</v>
      </c>
      <c r="N80" t="n">
        <v>0</v>
      </c>
      <c r="O80" t="n">
        <v>0</v>
      </c>
      <c r="P80" t="n">
        <v>0</v>
      </c>
      <c r="Q80" t="n">
        <v>0</v>
      </c>
      <c r="R80" s="2" t="inlineStr"/>
    </row>
    <row r="81" ht="15" customHeight="1">
      <c r="A81" t="inlineStr">
        <is>
          <t>A 61781-2025</t>
        </is>
      </c>
      <c r="B81" s="1" t="n">
        <v>46002</v>
      </c>
      <c r="C81" s="1" t="n">
        <v>46012</v>
      </c>
      <c r="D81" t="inlineStr">
        <is>
          <t>STOCKHOLMS LÄN</t>
        </is>
      </c>
      <c r="E81" t="inlineStr">
        <is>
          <t>ÖSTERÅKER</t>
        </is>
      </c>
      <c r="G81" t="n">
        <v>4.9</v>
      </c>
      <c r="H81" t="n">
        <v>0</v>
      </c>
      <c r="I81" t="n">
        <v>0</v>
      </c>
      <c r="J81" t="n">
        <v>0</v>
      </c>
      <c r="K81" t="n">
        <v>0</v>
      </c>
      <c r="L81" t="n">
        <v>0</v>
      </c>
      <c r="M81" t="n">
        <v>0</v>
      </c>
      <c r="N81" t="n">
        <v>0</v>
      </c>
      <c r="O81" t="n">
        <v>0</v>
      </c>
      <c r="P81" t="n">
        <v>0</v>
      </c>
      <c r="Q81" t="n">
        <v>0</v>
      </c>
      <c r="R81" s="2" t="inlineStr"/>
    </row>
    <row r="82" ht="15" customHeight="1">
      <c r="A82" t="inlineStr">
        <is>
          <t>A 62108-2022</t>
        </is>
      </c>
      <c r="B82" s="1" t="n">
        <v>44920</v>
      </c>
      <c r="C82" s="1" t="n">
        <v>46012</v>
      </c>
      <c r="D82" t="inlineStr">
        <is>
          <t>STOCKHOLMS LÄN</t>
        </is>
      </c>
      <c r="E82" t="inlineStr">
        <is>
          <t>ÖSTERÅKER</t>
        </is>
      </c>
      <c r="G82" t="n">
        <v>1.5</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46012</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31134-2023</t>
        </is>
      </c>
      <c r="B84" s="1" t="n">
        <v>45113</v>
      </c>
      <c r="C84" s="1" t="n">
        <v>46012</v>
      </c>
      <c r="D84" t="inlineStr">
        <is>
          <t>STOCKHOLMS LÄN</t>
        </is>
      </c>
      <c r="E84" t="inlineStr">
        <is>
          <t>ÖSTERÅKER</t>
        </is>
      </c>
      <c r="G84" t="n">
        <v>2.1</v>
      </c>
      <c r="H84" t="n">
        <v>0</v>
      </c>
      <c r="I84" t="n">
        <v>0</v>
      </c>
      <c r="J84" t="n">
        <v>0</v>
      </c>
      <c r="K84" t="n">
        <v>0</v>
      </c>
      <c r="L84" t="n">
        <v>0</v>
      </c>
      <c r="M84" t="n">
        <v>0</v>
      </c>
      <c r="N84" t="n">
        <v>0</v>
      </c>
      <c r="O84" t="n">
        <v>0</v>
      </c>
      <c r="P84" t="n">
        <v>0</v>
      </c>
      <c r="Q84" t="n">
        <v>0</v>
      </c>
      <c r="R84" s="2" t="inlineStr"/>
    </row>
    <row r="85" ht="15" customHeight="1">
      <c r="A85" t="inlineStr">
        <is>
          <t>A 57048-2024</t>
        </is>
      </c>
      <c r="B85" s="1" t="n">
        <v>45629.33938657407</v>
      </c>
      <c r="C85" s="1" t="n">
        <v>46012</v>
      </c>
      <c r="D85" t="inlineStr">
        <is>
          <t>STOCKHOLMS LÄN</t>
        </is>
      </c>
      <c r="E85" t="inlineStr">
        <is>
          <t>ÖSTERÅKER</t>
        </is>
      </c>
      <c r="G85" t="n">
        <v>3</v>
      </c>
      <c r="H85" t="n">
        <v>0</v>
      </c>
      <c r="I85" t="n">
        <v>0</v>
      </c>
      <c r="J85" t="n">
        <v>0</v>
      </c>
      <c r="K85" t="n">
        <v>0</v>
      </c>
      <c r="L85" t="n">
        <v>0</v>
      </c>
      <c r="M85" t="n">
        <v>0</v>
      </c>
      <c r="N85" t="n">
        <v>0</v>
      </c>
      <c r="O85" t="n">
        <v>0</v>
      </c>
      <c r="P85" t="n">
        <v>0</v>
      </c>
      <c r="Q85" t="n">
        <v>0</v>
      </c>
      <c r="R85" s="2" t="inlineStr"/>
    </row>
    <row r="86" ht="15" customHeight="1">
      <c r="A86" t="inlineStr">
        <is>
          <t>A 57055-2024</t>
        </is>
      </c>
      <c r="B86" s="1" t="n">
        <v>45629.34627314815</v>
      </c>
      <c r="C86" s="1" t="n">
        <v>46012</v>
      </c>
      <c r="D86" t="inlineStr">
        <is>
          <t>STOCKHOLMS LÄN</t>
        </is>
      </c>
      <c r="E86" t="inlineStr">
        <is>
          <t>ÖSTERÅKER</t>
        </is>
      </c>
      <c r="G86" t="n">
        <v>0.5</v>
      </c>
      <c r="H86" t="n">
        <v>0</v>
      </c>
      <c r="I86" t="n">
        <v>0</v>
      </c>
      <c r="J86" t="n">
        <v>0</v>
      </c>
      <c r="K86" t="n">
        <v>0</v>
      </c>
      <c r="L86" t="n">
        <v>0</v>
      </c>
      <c r="M86" t="n">
        <v>0</v>
      </c>
      <c r="N86" t="n">
        <v>0</v>
      </c>
      <c r="O86" t="n">
        <v>0</v>
      </c>
      <c r="P86" t="n">
        <v>0</v>
      </c>
      <c r="Q86" t="n">
        <v>0</v>
      </c>
      <c r="R86" s="2" t="inlineStr"/>
    </row>
    <row r="87" ht="15" customHeight="1">
      <c r="A87" t="inlineStr">
        <is>
          <t>A 23144-2024</t>
        </is>
      </c>
      <c r="B87" s="1" t="n">
        <v>45450.63202546296</v>
      </c>
      <c r="C87" s="1" t="n">
        <v>46012</v>
      </c>
      <c r="D87" t="inlineStr">
        <is>
          <t>STOCKHOLMS LÄN</t>
        </is>
      </c>
      <c r="E87" t="inlineStr">
        <is>
          <t>ÖSTERÅKER</t>
        </is>
      </c>
      <c r="F87" t="inlineStr">
        <is>
          <t>Övriga Aktiebolag</t>
        </is>
      </c>
      <c r="G87" t="n">
        <v>4.7</v>
      </c>
      <c r="H87" t="n">
        <v>0</v>
      </c>
      <c r="I87" t="n">
        <v>0</v>
      </c>
      <c r="J87" t="n">
        <v>0</v>
      </c>
      <c r="K87" t="n">
        <v>0</v>
      </c>
      <c r="L87" t="n">
        <v>0</v>
      </c>
      <c r="M87" t="n">
        <v>0</v>
      </c>
      <c r="N87" t="n">
        <v>0</v>
      </c>
      <c r="O87" t="n">
        <v>0</v>
      </c>
      <c r="P87" t="n">
        <v>0</v>
      </c>
      <c r="Q87" t="n">
        <v>0</v>
      </c>
      <c r="R87" s="2" t="inlineStr"/>
    </row>
    <row r="88" ht="15" customHeight="1">
      <c r="A88" t="inlineStr">
        <is>
          <t>A 3326-2022</t>
        </is>
      </c>
      <c r="B88" s="1" t="n">
        <v>44583</v>
      </c>
      <c r="C88" s="1" t="n">
        <v>46012</v>
      </c>
      <c r="D88" t="inlineStr">
        <is>
          <t>STOCKHOLMS LÄN</t>
        </is>
      </c>
      <c r="E88" t="inlineStr">
        <is>
          <t>ÖSTERÅKER</t>
        </is>
      </c>
      <c r="F88" t="inlineStr">
        <is>
          <t>Övriga Aktiebolag</t>
        </is>
      </c>
      <c r="G88" t="n">
        <v>2.7</v>
      </c>
      <c r="H88" t="n">
        <v>0</v>
      </c>
      <c r="I88" t="n">
        <v>0</v>
      </c>
      <c r="J88" t="n">
        <v>0</v>
      </c>
      <c r="K88" t="n">
        <v>0</v>
      </c>
      <c r="L88" t="n">
        <v>0</v>
      </c>
      <c r="M88" t="n">
        <v>0</v>
      </c>
      <c r="N88" t="n">
        <v>0</v>
      </c>
      <c r="O88" t="n">
        <v>0</v>
      </c>
      <c r="P88" t="n">
        <v>0</v>
      </c>
      <c r="Q88" t="n">
        <v>0</v>
      </c>
      <c r="R88" s="2" t="inlineStr"/>
    </row>
    <row r="89" ht="15" customHeight="1">
      <c r="A89" t="inlineStr">
        <is>
          <t>A 9842-2025</t>
        </is>
      </c>
      <c r="B89" s="1" t="n">
        <v>45716</v>
      </c>
      <c r="C89" s="1" t="n">
        <v>46012</v>
      </c>
      <c r="D89" t="inlineStr">
        <is>
          <t>STOCKHOLMS LÄN</t>
        </is>
      </c>
      <c r="E89" t="inlineStr">
        <is>
          <t>ÖSTERÅKER</t>
        </is>
      </c>
      <c r="G89" t="n">
        <v>4.8</v>
      </c>
      <c r="H89" t="n">
        <v>0</v>
      </c>
      <c r="I89" t="n">
        <v>0</v>
      </c>
      <c r="J89" t="n">
        <v>0</v>
      </c>
      <c r="K89" t="n">
        <v>0</v>
      </c>
      <c r="L89" t="n">
        <v>0</v>
      </c>
      <c r="M89" t="n">
        <v>0</v>
      </c>
      <c r="N89" t="n">
        <v>0</v>
      </c>
      <c r="O89" t="n">
        <v>0</v>
      </c>
      <c r="P89" t="n">
        <v>0</v>
      </c>
      <c r="Q89" t="n">
        <v>0</v>
      </c>
      <c r="R89" s="2" t="inlineStr"/>
    </row>
    <row r="90" ht="15" customHeight="1">
      <c r="A90" t="inlineStr">
        <is>
          <t>A 56909-2024</t>
        </is>
      </c>
      <c r="B90" s="1" t="n">
        <v>45628.59060185185</v>
      </c>
      <c r="C90" s="1" t="n">
        <v>46012</v>
      </c>
      <c r="D90" t="inlineStr">
        <is>
          <t>STOCKHOLMS LÄN</t>
        </is>
      </c>
      <c r="E90" t="inlineStr">
        <is>
          <t>ÖSTERÅKER</t>
        </is>
      </c>
      <c r="G90" t="n">
        <v>1</v>
      </c>
      <c r="H90" t="n">
        <v>0</v>
      </c>
      <c r="I90" t="n">
        <v>0</v>
      </c>
      <c r="J90" t="n">
        <v>0</v>
      </c>
      <c r="K90" t="n">
        <v>0</v>
      </c>
      <c r="L90" t="n">
        <v>0</v>
      </c>
      <c r="M90" t="n">
        <v>0</v>
      </c>
      <c r="N90" t="n">
        <v>0</v>
      </c>
      <c r="O90" t="n">
        <v>0</v>
      </c>
      <c r="P90" t="n">
        <v>0</v>
      </c>
      <c r="Q90" t="n">
        <v>0</v>
      </c>
      <c r="R90" s="2" t="inlineStr"/>
    </row>
    <row r="91" ht="15" customHeight="1">
      <c r="A91" t="inlineStr">
        <is>
          <t>A 16738-2022</t>
        </is>
      </c>
      <c r="B91" s="1" t="n">
        <v>44673</v>
      </c>
      <c r="C91" s="1" t="n">
        <v>46012</v>
      </c>
      <c r="D91" t="inlineStr">
        <is>
          <t>STOCKHOLMS LÄN</t>
        </is>
      </c>
      <c r="E91" t="inlineStr">
        <is>
          <t>ÖSTERÅKER</t>
        </is>
      </c>
      <c r="G91" t="n">
        <v>1.1</v>
      </c>
      <c r="H91" t="n">
        <v>0</v>
      </c>
      <c r="I91" t="n">
        <v>0</v>
      </c>
      <c r="J91" t="n">
        <v>0</v>
      </c>
      <c r="K91" t="n">
        <v>0</v>
      </c>
      <c r="L91" t="n">
        <v>0</v>
      </c>
      <c r="M91" t="n">
        <v>0</v>
      </c>
      <c r="N91" t="n">
        <v>0</v>
      </c>
      <c r="O91" t="n">
        <v>0</v>
      </c>
      <c r="P91" t="n">
        <v>0</v>
      </c>
      <c r="Q91" t="n">
        <v>0</v>
      </c>
      <c r="R91" s="2" t="inlineStr"/>
    </row>
    <row r="92" ht="15" customHeight="1">
      <c r="A92" t="inlineStr">
        <is>
          <t>A 59379-2022</t>
        </is>
      </c>
      <c r="B92" s="1" t="n">
        <v>44905</v>
      </c>
      <c r="C92" s="1" t="n">
        <v>46012</v>
      </c>
      <c r="D92" t="inlineStr">
        <is>
          <t>STOCKHOLMS LÄN</t>
        </is>
      </c>
      <c r="E92" t="inlineStr">
        <is>
          <t>ÖSTERÅKER</t>
        </is>
      </c>
      <c r="F92" t="inlineStr">
        <is>
          <t>Kommuner</t>
        </is>
      </c>
      <c r="G92" t="n">
        <v>4.7</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46012</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16728-2022</t>
        </is>
      </c>
      <c r="B94" s="1" t="n">
        <v>44673</v>
      </c>
      <c r="C94" s="1" t="n">
        <v>46012</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46012</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61370-2022</t>
        </is>
      </c>
      <c r="B96" s="1" t="n">
        <v>44915</v>
      </c>
      <c r="C96" s="1" t="n">
        <v>46012</v>
      </c>
      <c r="D96" t="inlineStr">
        <is>
          <t>STOCKHOLMS LÄN</t>
        </is>
      </c>
      <c r="E96" t="inlineStr">
        <is>
          <t>ÖSTERÅKER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46012</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46012</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46012</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17196-2022</t>
        </is>
      </c>
      <c r="B100" s="1" t="n">
        <v>44677</v>
      </c>
      <c r="C100" s="1" t="n">
        <v>46012</v>
      </c>
      <c r="D100" t="inlineStr">
        <is>
          <t>STOCKHOLMS LÄN</t>
        </is>
      </c>
      <c r="E100" t="inlineStr">
        <is>
          <t>ÖSTERÅKER</t>
        </is>
      </c>
      <c r="G100" t="n">
        <v>5.9</v>
      </c>
      <c r="H100" t="n">
        <v>0</v>
      </c>
      <c r="I100" t="n">
        <v>0</v>
      </c>
      <c r="J100" t="n">
        <v>0</v>
      </c>
      <c r="K100" t="n">
        <v>0</v>
      </c>
      <c r="L100" t="n">
        <v>0</v>
      </c>
      <c r="M100" t="n">
        <v>0</v>
      </c>
      <c r="N100" t="n">
        <v>0</v>
      </c>
      <c r="O100" t="n">
        <v>0</v>
      </c>
      <c r="P100" t="n">
        <v>0</v>
      </c>
      <c r="Q100" t="n">
        <v>0</v>
      </c>
      <c r="R100" s="2" t="inlineStr"/>
    </row>
    <row r="101" ht="15" customHeight="1">
      <c r="A101" t="inlineStr">
        <is>
          <t>A 1603-2023</t>
        </is>
      </c>
      <c r="B101" s="1" t="n">
        <v>44937.68086805556</v>
      </c>
      <c r="C101" s="1" t="n">
        <v>46012</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1605-2023</t>
        </is>
      </c>
      <c r="B102" s="1" t="n">
        <v>44937.68299768519</v>
      </c>
      <c r="C102" s="1" t="n">
        <v>46012</v>
      </c>
      <c r="D102" t="inlineStr">
        <is>
          <t>STOCKHOLMS LÄN</t>
        </is>
      </c>
      <c r="E102" t="inlineStr">
        <is>
          <t>ÖSTERÅKER</t>
        </is>
      </c>
      <c r="G102" t="n">
        <v>2.9</v>
      </c>
      <c r="H102" t="n">
        <v>0</v>
      </c>
      <c r="I102" t="n">
        <v>0</v>
      </c>
      <c r="J102" t="n">
        <v>0</v>
      </c>
      <c r="K102" t="n">
        <v>0</v>
      </c>
      <c r="L102" t="n">
        <v>0</v>
      </c>
      <c r="M102" t="n">
        <v>0</v>
      </c>
      <c r="N102" t="n">
        <v>0</v>
      </c>
      <c r="O102" t="n">
        <v>0</v>
      </c>
      <c r="P102" t="n">
        <v>0</v>
      </c>
      <c r="Q102" t="n">
        <v>0</v>
      </c>
      <c r="R102" s="2" t="inlineStr"/>
    </row>
    <row r="103" ht="15" customHeight="1">
      <c r="A103" t="inlineStr">
        <is>
          <t>A 67265-2021</t>
        </is>
      </c>
      <c r="B103" s="1" t="n">
        <v>44523.59277777778</v>
      </c>
      <c r="C103" s="1" t="n">
        <v>46012</v>
      </c>
      <c r="D103" t="inlineStr">
        <is>
          <t>STOCKHOLMS LÄN</t>
        </is>
      </c>
      <c r="E103" t="inlineStr">
        <is>
          <t>ÖSTERÅKER</t>
        </is>
      </c>
      <c r="F103" t="inlineStr">
        <is>
          <t>Kommuner</t>
        </is>
      </c>
      <c r="G103" t="n">
        <v>2.6</v>
      </c>
      <c r="H103" t="n">
        <v>0</v>
      </c>
      <c r="I103" t="n">
        <v>0</v>
      </c>
      <c r="J103" t="n">
        <v>0</v>
      </c>
      <c r="K103" t="n">
        <v>0</v>
      </c>
      <c r="L103" t="n">
        <v>0</v>
      </c>
      <c r="M103" t="n">
        <v>0</v>
      </c>
      <c r="N103" t="n">
        <v>0</v>
      </c>
      <c r="O103" t="n">
        <v>0</v>
      </c>
      <c r="P103" t="n">
        <v>0</v>
      </c>
      <c r="Q103" t="n">
        <v>0</v>
      </c>
      <c r="R103" s="2" t="inlineStr"/>
    </row>
    <row r="104" ht="15" customHeight="1">
      <c r="A104" t="inlineStr">
        <is>
          <t>A 5286-2025</t>
        </is>
      </c>
      <c r="B104" s="1" t="n">
        <v>45692.44144675926</v>
      </c>
      <c r="C104" s="1" t="n">
        <v>46012</v>
      </c>
      <c r="D104" t="inlineStr">
        <is>
          <t>STOCKHOLMS LÄN</t>
        </is>
      </c>
      <c r="E104" t="inlineStr">
        <is>
          <t>ÖSTERÅKER</t>
        </is>
      </c>
      <c r="G104" t="n">
        <v>11.2</v>
      </c>
      <c r="H104" t="n">
        <v>0</v>
      </c>
      <c r="I104" t="n">
        <v>0</v>
      </c>
      <c r="J104" t="n">
        <v>0</v>
      </c>
      <c r="K104" t="n">
        <v>0</v>
      </c>
      <c r="L104" t="n">
        <v>0</v>
      </c>
      <c r="M104" t="n">
        <v>0</v>
      </c>
      <c r="N104" t="n">
        <v>0</v>
      </c>
      <c r="O104" t="n">
        <v>0</v>
      </c>
      <c r="P104" t="n">
        <v>0</v>
      </c>
      <c r="Q104" t="n">
        <v>0</v>
      </c>
      <c r="R104" s="2" t="inlineStr"/>
    </row>
    <row r="105" ht="15" customHeight="1">
      <c r="A105" t="inlineStr">
        <is>
          <t>A 18711-2023</t>
        </is>
      </c>
      <c r="B105" s="1" t="n">
        <v>45043.6433912037</v>
      </c>
      <c r="C105" s="1" t="n">
        <v>46012</v>
      </c>
      <c r="D105" t="inlineStr">
        <is>
          <t>STOCKHOLMS LÄN</t>
        </is>
      </c>
      <c r="E105" t="inlineStr">
        <is>
          <t>ÖSTERÅKER</t>
        </is>
      </c>
      <c r="G105" t="n">
        <v>3</v>
      </c>
      <c r="H105" t="n">
        <v>0</v>
      </c>
      <c r="I105" t="n">
        <v>0</v>
      </c>
      <c r="J105" t="n">
        <v>0</v>
      </c>
      <c r="K105" t="n">
        <v>0</v>
      </c>
      <c r="L105" t="n">
        <v>0</v>
      </c>
      <c r="M105" t="n">
        <v>0</v>
      </c>
      <c r="N105" t="n">
        <v>0</v>
      </c>
      <c r="O105" t="n">
        <v>0</v>
      </c>
      <c r="P105" t="n">
        <v>0</v>
      </c>
      <c r="Q105" t="n">
        <v>0</v>
      </c>
      <c r="R105" s="2" t="inlineStr"/>
    </row>
    <row r="106" ht="15" customHeight="1">
      <c r="A106" t="inlineStr">
        <is>
          <t>A 1136-2023</t>
        </is>
      </c>
      <c r="B106" s="1" t="n">
        <v>44935</v>
      </c>
      <c r="C106" s="1" t="n">
        <v>46012</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39394-2023</t>
        </is>
      </c>
      <c r="B107" s="1" t="n">
        <v>45166</v>
      </c>
      <c r="C107" s="1" t="n">
        <v>46012</v>
      </c>
      <c r="D107" t="inlineStr">
        <is>
          <t>STOCKHOLMS LÄN</t>
        </is>
      </c>
      <c r="E107" t="inlineStr">
        <is>
          <t>ÖSTERÅKER</t>
        </is>
      </c>
      <c r="G107" t="n">
        <v>0.4</v>
      </c>
      <c r="H107" t="n">
        <v>0</v>
      </c>
      <c r="I107" t="n">
        <v>0</v>
      </c>
      <c r="J107" t="n">
        <v>0</v>
      </c>
      <c r="K107" t="n">
        <v>0</v>
      </c>
      <c r="L107" t="n">
        <v>0</v>
      </c>
      <c r="M107" t="n">
        <v>0</v>
      </c>
      <c r="N107" t="n">
        <v>0</v>
      </c>
      <c r="O107" t="n">
        <v>0</v>
      </c>
      <c r="P107" t="n">
        <v>0</v>
      </c>
      <c r="Q107" t="n">
        <v>0</v>
      </c>
      <c r="R107" s="2" t="inlineStr"/>
    </row>
    <row r="108" ht="15" customHeight="1">
      <c r="A108" t="inlineStr">
        <is>
          <t>A 30949-2024</t>
        </is>
      </c>
      <c r="B108" s="1" t="n">
        <v>45499</v>
      </c>
      <c r="C108" s="1" t="n">
        <v>46012</v>
      </c>
      <c r="D108" t="inlineStr">
        <is>
          <t>STOCKHOLMS LÄN</t>
        </is>
      </c>
      <c r="E108" t="inlineStr">
        <is>
          <t>ÖSTERÅKER</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845-2024</t>
        </is>
      </c>
      <c r="B109" s="1" t="n">
        <v>45300.91423611111</v>
      </c>
      <c r="C109" s="1" t="n">
        <v>46012</v>
      </c>
      <c r="D109" t="inlineStr">
        <is>
          <t>STOCKHOLMS LÄN</t>
        </is>
      </c>
      <c r="E109" t="inlineStr">
        <is>
          <t>ÖSTERÅKER</t>
        </is>
      </c>
      <c r="G109" t="n">
        <v>10.1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46012</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19404-2024</t>
        </is>
      </c>
      <c r="B111" s="1" t="n">
        <v>45428</v>
      </c>
      <c r="C111" s="1" t="n">
        <v>46012</v>
      </c>
      <c r="D111" t="inlineStr">
        <is>
          <t>STOCKHOLMS LÄN</t>
        </is>
      </c>
      <c r="E111" t="inlineStr">
        <is>
          <t>ÖSTERÅKER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46012</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46012</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c r="A114" t="inlineStr">
        <is>
          <t>A 21796-2025</t>
        </is>
      </c>
      <c r="B114" s="1" t="n">
        <v>45783.68135416666</v>
      </c>
      <c r="C114" s="1" t="n">
        <v>46012</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2025-12-21T10:37:35Z</dcterms:created>
  <dcterms:modified xmlns:dcterms="http://purl.org/dc/terms/" xmlns:xsi="http://www.w3.org/2001/XMLSchema-instance" xsi:type="dcterms:W3CDTF">2025-12-21T10:37:35Z</dcterms:modified>
</cp:coreProperties>
</file>