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46651-2024</t>
        </is>
      </c>
      <c r="B2" t="inlineStr">
        <is>
          <t>avverkningsanmälan</t>
        </is>
      </c>
      <c r="C2" t="inlineStr">
        <is>
          <t>Föryngringsavverkning</t>
        </is>
      </c>
      <c r="D2" s="1" t="n">
        <v>45583</v>
      </c>
      <c r="E2" s="1" t="n">
        <v>46281</v>
      </c>
      <c r="F2" t="inlineStr">
        <is>
          <t>STOCKHOLMS LÄN</t>
        </is>
      </c>
      <c r="G2" t="inlineStr">
        <is>
          <t>ÖSTERÅKER</t>
        </is>
      </c>
      <c r="I2" t="n">
        <v>8.1</v>
      </c>
      <c r="J2" t="n">
        <v>5</v>
      </c>
      <c r="K2" t="n">
        <v>15</v>
      </c>
      <c r="L2" t="n">
        <v>6</v>
      </c>
      <c r="M2" t="n">
        <v>4</v>
      </c>
      <c r="N2" t="n">
        <v>1</v>
      </c>
      <c r="O2" t="n">
        <v>0</v>
      </c>
      <c r="P2" t="n">
        <v>0</v>
      </c>
      <c r="Q2" t="n">
        <v>11</v>
      </c>
      <c r="R2" t="n">
        <v>5</v>
      </c>
      <c r="S2" t="n">
        <v>29</v>
      </c>
      <c r="T2" t="n">
        <v>98</v>
      </c>
      <c r="U2" t="n">
        <v>58</v>
      </c>
      <c r="V2"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
        <f>HYPERLINK("https://klasma.github.io/Logging_0117/artfynd/A 46651-2024 artfynd.xlsx", "A 46651-2024")</f>
        <v/>
      </c>
      <c r="X2">
        <f>HYPERLINK("https://klasma.github.io/Logging_0117/kartor/A 46651-2024 karta.png", "A 46651-2024")</f>
        <v/>
      </c>
      <c r="Y2">
        <f>HYPERLINK("https://klasma.github.io/Logging_0117/kartor_geotiff/A 46651-2024 georefererad karta.tif", "A 46651-2024")</f>
        <v/>
      </c>
      <c r="Z2">
        <f>HYPERLINK("https://klasma.github.io/Logging_0117/knärot/A 46651-2024 karta knärot.png", "A 46651-2024")</f>
        <v/>
      </c>
      <c r="AA2">
        <f>HYPERLINK("https://klasma.github.io/Logging_0117/klagomål/A 46651-2024 FSC-klagomål.docx", "A 46651-2024")</f>
        <v/>
      </c>
      <c r="AB2">
        <f>HYPERLINK("https://klasma.github.io/Logging_0117/klagomålsmail/A 46651-2024 FSC-klagomål mail.docx", "A 46651-2024")</f>
        <v/>
      </c>
      <c r="AC2">
        <f>HYPERLINK("https://klasma.github.io/Logging_0117/tillsyn/A 46651-2024 tillsynsbegäran.docx", "A 46651-2024")</f>
        <v/>
      </c>
      <c r="AD2">
        <f>HYPERLINK("https://klasma.github.io/Logging_0117/tillsynsmail/A 46651-2024 tillsynsbegäran mail.docx", "A 46651-2024")</f>
        <v/>
      </c>
      <c r="AE2">
        <f>HYPERLINK("https://klasma.github.io/Logging_0117/fåglar/A 46651-2024 prioriterade fågelarter.docx", "A 46651-2024")</f>
        <v/>
      </c>
    </row>
    <row r="3" ht="15" customHeight="1">
      <c r="A3" t="inlineStr">
        <is>
          <t>A 3919-2023</t>
        </is>
      </c>
      <c r="B3" t="inlineStr">
        <is>
          <t>avverkningsanmälan</t>
        </is>
      </c>
      <c r="C3" t="inlineStr">
        <is>
          <t>Föryngringsavverkning</t>
        </is>
      </c>
      <c r="D3" s="1" t="n">
        <v>44952</v>
      </c>
      <c r="E3" s="1" t="n">
        <v>46281</v>
      </c>
      <c r="F3" t="inlineStr">
        <is>
          <t>STOCKHOLMS LÄN</t>
        </is>
      </c>
      <c r="G3" t="inlineStr">
        <is>
          <t>ÖSTERÅKER</t>
        </is>
      </c>
      <c r="H3" t="inlineStr">
        <is>
          <t>Kommuner</t>
        </is>
      </c>
      <c r="I3" t="n">
        <v>4.9</v>
      </c>
      <c r="J3" t="n">
        <v>13</v>
      </c>
      <c r="K3" t="n">
        <v>0</v>
      </c>
      <c r="L3" t="n">
        <v>4</v>
      </c>
      <c r="M3" t="n">
        <v>2</v>
      </c>
      <c r="N3" t="n">
        <v>0</v>
      </c>
      <c r="O3" t="n">
        <v>0</v>
      </c>
      <c r="P3" t="n">
        <v>0</v>
      </c>
      <c r="Q3" t="n">
        <v>6</v>
      </c>
      <c r="R3" t="n">
        <v>2</v>
      </c>
      <c r="S3" t="n">
        <v>14</v>
      </c>
      <c r="T3" t="n">
        <v>62</v>
      </c>
      <c r="U3" t="n">
        <v>61</v>
      </c>
      <c r="V3" s="2" t="inlineStr">
        <is>
          <t>Grönfink
Stare
Brunlångöra
Grönsångare
Nordfladdermus
Tallticka
Tofsmes
Dvärgpipistrell
Grönsiska
Kråka
Kungsfågel
Större brunfladdermus
Svartvit flugsnappare
Trädlärka</t>
        </is>
      </c>
      <c r="W3">
        <f>HYPERLINK("https://klasma.github.io/Logging_0117/artfynd/A 3919-2023 artfynd.xlsx", "A 3919-2023")</f>
        <v/>
      </c>
      <c r="X3">
        <f>HYPERLINK("https://klasma.github.io/Logging_0117/kartor/A 3919-2023 karta.png", "A 3919-2023")</f>
        <v/>
      </c>
      <c r="Y3">
        <f>HYPERLINK("https://klasma.github.io/Logging_0117/kartor_geotiff/A 3919-2023 georefererad karta.tif", "A 3919-2023")</f>
        <v/>
      </c>
      <c r="AA3">
        <f>HYPERLINK("https://klasma.github.io/Logging_0117/klagomål/A 3919-2023 FSC-klagomål.docx", "A 3919-2023")</f>
        <v/>
      </c>
      <c r="AB3">
        <f>HYPERLINK("https://klasma.github.io/Logging_0117/klagomålsmail/A 3919-2023 FSC-klagomål mail.docx", "A 3919-2023")</f>
        <v/>
      </c>
      <c r="AC3">
        <f>HYPERLINK("https://klasma.github.io/Logging_0117/tillsyn/A 3919-2023 tillsynsbegäran.docx", "A 3919-2023")</f>
        <v/>
      </c>
      <c r="AD3">
        <f>HYPERLINK("https://klasma.github.io/Logging_0117/tillsynsmail/A 3919-2023 tillsynsbegäran mail.docx", "A 3919-2023")</f>
        <v/>
      </c>
      <c r="AE3">
        <f>HYPERLINK("https://klasma.github.io/Logging_0117/fåglar/A 3919-2023 prioriterade fågelarter.docx", "A 3919-2023")</f>
        <v/>
      </c>
    </row>
    <row r="4" ht="15" customHeight="1">
      <c r="A4" t="inlineStr">
        <is>
          <t>A 31459-2025</t>
        </is>
      </c>
      <c r="B4" t="inlineStr">
        <is>
          <t>avverkningsanmälan</t>
        </is>
      </c>
      <c r="C4" t="inlineStr">
        <is>
          <t>Föryngringsavverkning</t>
        </is>
      </c>
      <c r="D4" s="1" t="n">
        <v>45833</v>
      </c>
      <c r="E4" s="1" t="n">
        <v>46281</v>
      </c>
      <c r="F4" t="inlineStr">
        <is>
          <t>STOCKHOLMS LÄN</t>
        </is>
      </c>
      <c r="G4" t="inlineStr">
        <is>
          <t>ÖSTERÅKER</t>
        </is>
      </c>
      <c r="I4" t="n">
        <v>5.7</v>
      </c>
      <c r="J4" t="n">
        <v>5</v>
      </c>
      <c r="K4" t="n">
        <v>4</v>
      </c>
      <c r="L4" t="n">
        <v>5</v>
      </c>
      <c r="M4" t="n">
        <v>1</v>
      </c>
      <c r="N4" t="n">
        <v>0</v>
      </c>
      <c r="O4" t="n">
        <v>0</v>
      </c>
      <c r="P4" t="n">
        <v>0</v>
      </c>
      <c r="Q4" t="n">
        <v>6</v>
      </c>
      <c r="R4" t="n">
        <v>1</v>
      </c>
      <c r="S4" t="n">
        <v>14</v>
      </c>
      <c r="T4" t="n">
        <v>17</v>
      </c>
      <c r="U4" t="n">
        <v>9</v>
      </c>
      <c r="V4" s="2" t="inlineStr">
        <is>
          <t>Garnlav
Sårläka
Tallticka
Talltita
Ullticka
Älg
Björksplintborre
Mörk husmossa
Thomsons trägnagare
Tibast
Blåsippa
Spillkråka
Sångsvan
Nattviol</t>
        </is>
      </c>
      <c r="W4">
        <f>HYPERLINK("https://klasma.github.io/Logging_0117/artfynd/A 31459-2025 artfynd.xlsx", "A 31459-2025")</f>
        <v/>
      </c>
      <c r="X4">
        <f>HYPERLINK("https://klasma.github.io/Logging_0117/kartor/A 31459-2025 karta.png", "A 31459-2025")</f>
        <v/>
      </c>
      <c r="Y4">
        <f>HYPERLINK("https://klasma.github.io/Logging_0117/kartor_geotiff/A 31459-2025 georefererad karta.tif", "A 31459-2025")</f>
        <v/>
      </c>
      <c r="AA4">
        <f>HYPERLINK("https://klasma.github.io/Logging_0117/klagomål/A 31459-2025 FSC-klagomål.docx", "A 31459-2025")</f>
        <v/>
      </c>
      <c r="AB4">
        <f>HYPERLINK("https://klasma.github.io/Logging_0117/klagomålsmail/A 31459-2025 FSC-klagomål mail.docx", "A 31459-2025")</f>
        <v/>
      </c>
      <c r="AC4">
        <f>HYPERLINK("https://klasma.github.io/Logging_0117/tillsyn/A 31459-2025 tillsynsbegäran.docx", "A 31459-2025")</f>
        <v/>
      </c>
      <c r="AD4">
        <f>HYPERLINK("https://klasma.github.io/Logging_0117/tillsynsmail/A 31459-2025 tillsynsbegäran mail.docx", "A 31459-2025")</f>
        <v/>
      </c>
      <c r="AE4">
        <f>HYPERLINK("https://klasma.github.io/Logging_0117/fåglar/A 31459-2025 prioriterade fågelarter.docx", "A 31459-2025")</f>
        <v/>
      </c>
    </row>
    <row r="5" ht="15" customHeight="1">
      <c r="A5" t="inlineStr">
        <is>
          <t>A 25888-2026</t>
        </is>
      </c>
      <c r="B5" t="inlineStr">
        <is>
          <t>avverkningsanmälan</t>
        </is>
      </c>
      <c r="C5" t="inlineStr">
        <is>
          <t>Föryngringsavverkning</t>
        </is>
      </c>
      <c r="D5" s="1" t="n">
        <v>46178</v>
      </c>
      <c r="E5" s="1" t="n">
        <v>46281</v>
      </c>
      <c r="F5" t="inlineStr">
        <is>
          <t>STOCKHOLMS LÄN</t>
        </is>
      </c>
      <c r="G5" t="inlineStr">
        <is>
          <t>ÖSTERÅKER</t>
        </is>
      </c>
      <c r="I5" t="n">
        <v>3</v>
      </c>
      <c r="J5" t="n">
        <v>4</v>
      </c>
      <c r="K5" t="n">
        <v>4</v>
      </c>
      <c r="L5" t="n">
        <v>3</v>
      </c>
      <c r="M5" t="n">
        <v>1</v>
      </c>
      <c r="N5" t="n">
        <v>0</v>
      </c>
      <c r="O5" t="n">
        <v>0</v>
      </c>
      <c r="P5" t="n">
        <v>0</v>
      </c>
      <c r="Q5" t="n">
        <v>4</v>
      </c>
      <c r="R5" t="n">
        <v>1</v>
      </c>
      <c r="S5" t="n">
        <v>10</v>
      </c>
      <c r="T5" t="n">
        <v>21</v>
      </c>
      <c r="U5" t="n">
        <v>0</v>
      </c>
      <c r="V5" s="2" t="inlineStr">
        <is>
          <t>Knärot
Mindre hackspett
Ullticka
Vedskivlav
Björksplintborre
Jättesvampmal
Stubbspretmossa
Vedticka
Kungsfågel
Revlummer</t>
        </is>
      </c>
      <c r="W5">
        <f>HYPERLINK("https://klasma.github.io/Logging_0117/artfynd/A 25888-2026 artfynd.xlsx", "A 25888-2026")</f>
        <v/>
      </c>
      <c r="X5">
        <f>HYPERLINK("https://klasma.github.io/Logging_0117/kartor/A 25888-2026 karta.png", "A 25888-2026")</f>
        <v/>
      </c>
      <c r="Y5">
        <f>HYPERLINK("https://klasma.github.io/Logging_0117/kartor_geotiff/A 25888-2026 georefererad karta.tif", "A 25888-2026")</f>
        <v/>
      </c>
      <c r="Z5">
        <f>HYPERLINK("https://klasma.github.io/Logging_0117/knärot/A 25888-2026 karta knärot.png", "A 25888-2026")</f>
        <v/>
      </c>
      <c r="AA5">
        <f>HYPERLINK("https://klasma.github.io/Logging_0117/klagomål/A 25888-2026 FSC-klagomål.docx", "A 25888-2026")</f>
        <v/>
      </c>
      <c r="AB5">
        <f>HYPERLINK("https://klasma.github.io/Logging_0117/klagomålsmail/A 25888-2026 FSC-klagomål mail.docx", "A 25888-2026")</f>
        <v/>
      </c>
      <c r="AC5">
        <f>HYPERLINK("https://klasma.github.io/Logging_0117/tillsyn/A 25888-2026 tillsynsbegäran.docx", "A 25888-2026")</f>
        <v/>
      </c>
      <c r="AD5">
        <f>HYPERLINK("https://klasma.github.io/Logging_0117/tillsynsmail/A 25888-2026 tillsynsbegäran mail.docx", "A 25888-2026")</f>
        <v/>
      </c>
      <c r="AE5">
        <f>HYPERLINK("https://klasma.github.io/Logging_0117/fåglar/A 25888-2026 prioriterade fågelarter.docx", "A 25888-2026")</f>
        <v/>
      </c>
    </row>
    <row r="6" ht="15" customHeight="1">
      <c r="A6" t="inlineStr">
        <is>
          <t>A 31015-2024</t>
        </is>
      </c>
      <c r="B6" t="inlineStr">
        <is>
          <t>avverkningsanmälan</t>
        </is>
      </c>
      <c r="C6" t="inlineStr">
        <is>
          <t>Föryngringsavverkning</t>
        </is>
      </c>
      <c r="D6" s="1" t="n">
        <v>45499</v>
      </c>
      <c r="E6" s="1" t="n">
        <v>46281</v>
      </c>
      <c r="F6" t="inlineStr">
        <is>
          <t>STOCKHOLMS LÄN</t>
        </is>
      </c>
      <c r="G6" t="inlineStr">
        <is>
          <t>ÖSTERÅKER</t>
        </is>
      </c>
      <c r="H6" t="inlineStr">
        <is>
          <t>Övriga Aktiebolag</t>
        </is>
      </c>
      <c r="I6" t="n">
        <v>5.3</v>
      </c>
      <c r="J6" t="n">
        <v>1</v>
      </c>
      <c r="K6" t="n">
        <v>5</v>
      </c>
      <c r="L6" t="n">
        <v>3</v>
      </c>
      <c r="M6" t="n">
        <v>0</v>
      </c>
      <c r="N6" t="n">
        <v>0</v>
      </c>
      <c r="O6" t="n">
        <v>0</v>
      </c>
      <c r="P6" t="n">
        <v>0</v>
      </c>
      <c r="Q6" t="n">
        <v>3</v>
      </c>
      <c r="R6" t="n">
        <v>0</v>
      </c>
      <c r="S6" t="n">
        <v>9</v>
      </c>
      <c r="T6" t="n">
        <v>11</v>
      </c>
      <c r="U6" t="n">
        <v>11</v>
      </c>
      <c r="V6" s="2" t="inlineStr">
        <is>
          <t>Motaggsvamp
Tallticka
Ullticka
Blodticka
Bronshjon
Jättesvampmal
Mindre märgborre
Vågbandad barkbock
Spillkråka</t>
        </is>
      </c>
      <c r="W6">
        <f>HYPERLINK("https://klasma.github.io/Logging_0117/artfynd/A 31015-2024 artfynd.xlsx", "A 31015-2024")</f>
        <v/>
      </c>
      <c r="X6">
        <f>HYPERLINK("https://klasma.github.io/Logging_0117/kartor/A 31015-2024 karta.png", "A 31015-2024")</f>
        <v/>
      </c>
      <c r="Y6">
        <f>HYPERLINK("https://klasma.github.io/Logging_0117/kartor_geotiff/A 31015-2024 georefererad karta.tif", "A 31015-2024")</f>
        <v/>
      </c>
      <c r="AA6">
        <f>HYPERLINK("https://klasma.github.io/Logging_0117/klagomål/A 31015-2024 FSC-klagomål.docx", "A 31015-2024")</f>
        <v/>
      </c>
      <c r="AB6">
        <f>HYPERLINK("https://klasma.github.io/Logging_0117/klagomålsmail/A 31015-2024 FSC-klagomål mail.docx", "A 31015-2024")</f>
        <v/>
      </c>
      <c r="AC6">
        <f>HYPERLINK("https://klasma.github.io/Logging_0117/tillsyn/A 31015-2024 tillsynsbegäran.docx", "A 31015-2024")</f>
        <v/>
      </c>
      <c r="AD6">
        <f>HYPERLINK("https://klasma.github.io/Logging_0117/tillsynsmail/A 31015-2024 tillsynsbegäran mail.docx", "A 31015-2024")</f>
        <v/>
      </c>
      <c r="AE6">
        <f>HYPERLINK("https://klasma.github.io/Logging_0117/fåglar/A 31015-2024 prioriterade fågelarter.docx", "A 31015-2024")</f>
        <v/>
      </c>
    </row>
    <row r="7" ht="15" customHeight="1">
      <c r="A7" t="inlineStr">
        <is>
          <t>A 153-2025</t>
        </is>
      </c>
      <c r="B7" t="inlineStr">
        <is>
          <t>avverkningsanmälan</t>
        </is>
      </c>
      <c r="C7" t="inlineStr">
        <is>
          <t>Avverkning för annat ändamål</t>
        </is>
      </c>
      <c r="D7" s="1" t="n">
        <v>45659</v>
      </c>
      <c r="E7" s="1" t="n">
        <v>46281</v>
      </c>
      <c r="F7" t="inlineStr">
        <is>
          <t>STOCKHOLMS LÄN</t>
        </is>
      </c>
      <c r="G7" t="inlineStr">
        <is>
          <t>ÖSTERÅKER</t>
        </is>
      </c>
      <c r="H7" t="inlineStr">
        <is>
          <t>Kommuner</t>
        </is>
      </c>
      <c r="I7" t="n">
        <v>5.3</v>
      </c>
      <c r="J7" t="n">
        <v>7</v>
      </c>
      <c r="K7" t="n">
        <v>0</v>
      </c>
      <c r="L7" t="n">
        <v>0</v>
      </c>
      <c r="M7" t="n">
        <v>2</v>
      </c>
      <c r="N7" t="n">
        <v>0</v>
      </c>
      <c r="O7" t="n">
        <v>0</v>
      </c>
      <c r="P7" t="n">
        <v>0</v>
      </c>
      <c r="Q7" t="n">
        <v>2</v>
      </c>
      <c r="R7" t="n">
        <v>2</v>
      </c>
      <c r="S7" t="n">
        <v>7</v>
      </c>
      <c r="T7" t="n">
        <v>10</v>
      </c>
      <c r="U7" t="n">
        <v>0</v>
      </c>
      <c r="V7" s="2" t="inlineStr">
        <is>
          <t>Grönfink
Stare
Tallbit
Grönsiska
Kråka
Kungsfågel
Svartvit flugsnappare</t>
        </is>
      </c>
      <c r="W7">
        <f>HYPERLINK("https://klasma.github.io/Logging_0117/artfynd/A 153-2025 artfynd.xlsx", "A 153-2025")</f>
        <v/>
      </c>
      <c r="X7">
        <f>HYPERLINK("https://klasma.github.io/Logging_0117/kartor/A 153-2025 karta.png", "A 153-2025")</f>
        <v/>
      </c>
      <c r="Y7">
        <f>HYPERLINK("https://klasma.github.io/Logging_0117/kartor_geotiff/A 153-2025 georefererad karta.tif", "A 153-2025")</f>
        <v/>
      </c>
      <c r="AA7">
        <f>HYPERLINK("https://klasma.github.io/Logging_0117/klagomål/A 153-2025 FSC-klagomål.docx", "A 153-2025")</f>
        <v/>
      </c>
      <c r="AB7">
        <f>HYPERLINK("https://klasma.github.io/Logging_0117/klagomålsmail/A 153-2025 FSC-klagomål mail.docx", "A 153-2025")</f>
        <v/>
      </c>
      <c r="AC7">
        <f>HYPERLINK("https://klasma.github.io/Logging_0117/tillsyn/A 153-2025 tillsynsbegäran.docx", "A 153-2025")</f>
        <v/>
      </c>
      <c r="AD7">
        <f>HYPERLINK("https://klasma.github.io/Logging_0117/tillsynsmail/A 153-2025 tillsynsbegäran mail.docx", "A 153-2025")</f>
        <v/>
      </c>
      <c r="AE7">
        <f>HYPERLINK("https://klasma.github.io/Logging_0117/fåglar/A 153-2025 prioriterade fågelarter.docx", "A 153-2025")</f>
        <v/>
      </c>
    </row>
    <row r="8" ht="15" customHeight="1">
      <c r="A8" t="inlineStr">
        <is>
          <t>S 7486-2021</t>
        </is>
      </c>
      <c r="B8" t="inlineStr">
        <is>
          <t>samrådsanmälan</t>
        </is>
      </c>
      <c r="C8" t="inlineStr">
        <is>
          <t>Annan skogsbruksåtgärd</t>
        </is>
      </c>
      <c r="D8" s="1" t="n">
        <v>44474</v>
      </c>
      <c r="E8" s="1" t="n">
        <v>46281</v>
      </c>
      <c r="F8" t="inlineStr">
        <is>
          <t>STOCKHOLMS LÄN</t>
        </is>
      </c>
      <c r="G8" t="inlineStr">
        <is>
          <t>ÖSTERÅKER</t>
        </is>
      </c>
      <c r="H8" t="inlineStr">
        <is>
          <t>Kommuner</t>
        </is>
      </c>
      <c r="I8" t="n">
        <v>11.3</v>
      </c>
      <c r="J8" t="n">
        <v>1</v>
      </c>
      <c r="K8" t="n">
        <v>2</v>
      </c>
      <c r="L8" t="n">
        <v>4</v>
      </c>
      <c r="M8" t="n">
        <v>0</v>
      </c>
      <c r="N8" t="n">
        <v>0</v>
      </c>
      <c r="O8" t="n">
        <v>0</v>
      </c>
      <c r="P8" t="n">
        <v>0</v>
      </c>
      <c r="Q8" t="n">
        <v>4</v>
      </c>
      <c r="R8" t="n">
        <v>0</v>
      </c>
      <c r="S8" t="n">
        <v>7</v>
      </c>
      <c r="T8" t="n">
        <v>15</v>
      </c>
      <c r="U8" t="n">
        <v>6</v>
      </c>
      <c r="V8" s="2" t="inlineStr">
        <is>
          <t>Ekticka
Lunglav
Oxtungssvamp
Veckticka
Hasselticka
Stubbspretmossa
Blåsippa</t>
        </is>
      </c>
      <c r="W8">
        <f>HYPERLINK("https://klasma.github.io/Logging_0117/artfynd/S 7486-2021 artfynd.xlsx", "S 7486-2021")</f>
        <v/>
      </c>
      <c r="X8">
        <f>HYPERLINK("https://klasma.github.io/Logging_0117/kartor/S 7486-2021 karta.png", "S 7486-2021")</f>
        <v/>
      </c>
      <c r="Y8">
        <f>HYPERLINK("https://klasma.github.io/Logging_0117/kartor_geotiff/S 7486-2021 georefererad karta.tif", "S 7486-2021")</f>
        <v/>
      </c>
      <c r="AA8">
        <f>HYPERLINK("https://klasma.github.io/Logging_0117/klagomål/S 7486-2021 FSC-klagomål.docx", "S 7486-2021")</f>
        <v/>
      </c>
      <c r="AB8">
        <f>HYPERLINK("https://klasma.github.io/Logging_0117/klagomålsmail/S 7486-2021 FSC-klagomål mail.docx", "S 7486-2021")</f>
        <v/>
      </c>
      <c r="AC8">
        <f>HYPERLINK("https://klasma.github.io/Logging_0117/tillsyn/S 7486-2021 tillsynsbegäran.docx", "S 7486-2021")</f>
        <v/>
      </c>
      <c r="AD8">
        <f>HYPERLINK("https://klasma.github.io/Logging_0117/tillsynsmail/S 7486-2021 tillsynsbegäran mail.docx", "S 7486-2021")</f>
        <v/>
      </c>
    </row>
    <row r="9" ht="15" customHeight="1">
      <c r="A9" t="inlineStr">
        <is>
          <t>A 22172-2022</t>
        </is>
      </c>
      <c r="B9" t="inlineStr">
        <is>
          <t>avverkningsanmälan</t>
        </is>
      </c>
      <c r="C9" t="inlineStr">
        <is>
          <t>Avverkning för annat ändamål</t>
        </is>
      </c>
      <c r="D9" s="1" t="n">
        <v>44712</v>
      </c>
      <c r="E9" s="1" t="n">
        <v>46281</v>
      </c>
      <c r="F9" t="inlineStr">
        <is>
          <t>STOCKHOLMS LÄN</t>
        </is>
      </c>
      <c r="G9" t="inlineStr">
        <is>
          <t>ÖSTERÅKER</t>
        </is>
      </c>
      <c r="I9" t="n">
        <v>3.7</v>
      </c>
      <c r="J9" t="n">
        <v>5</v>
      </c>
      <c r="K9" t="n">
        <v>0</v>
      </c>
      <c r="L9" t="n">
        <v>3</v>
      </c>
      <c r="M9" t="n">
        <v>0</v>
      </c>
      <c r="N9" t="n">
        <v>0</v>
      </c>
      <c r="O9" t="n">
        <v>0</v>
      </c>
      <c r="P9" t="n">
        <v>0</v>
      </c>
      <c r="Q9" t="n">
        <v>3</v>
      </c>
      <c r="R9" t="n">
        <v>0</v>
      </c>
      <c r="S9" t="n">
        <v>6</v>
      </c>
      <c r="T9" t="n">
        <v>76</v>
      </c>
      <c r="U9" t="n">
        <v>76</v>
      </c>
      <c r="V9" s="2" t="inlineStr">
        <is>
          <t>Brunlångöra
Gullpudra
Nordfladdermus
Dvärgpipistrell
Större brunfladdermus
Vattenfladdermus</t>
        </is>
      </c>
      <c r="W9">
        <f>HYPERLINK("https://klasma.github.io/Logging_0117/artfynd/A 22172-2022 artfynd.xlsx", "A 22172-2022")</f>
        <v/>
      </c>
      <c r="X9">
        <f>HYPERLINK("https://klasma.github.io/Logging_0117/kartor/A 22172-2022 karta.png", "A 22172-2022")</f>
        <v/>
      </c>
      <c r="Y9">
        <f>HYPERLINK("https://klasma.github.io/Logging_0117/kartor_geotiff/A 22172-2022 georefererad karta.tif", "A 22172-2022")</f>
        <v/>
      </c>
      <c r="AA9">
        <f>HYPERLINK("https://klasma.github.io/Logging_0117/klagomål/A 22172-2022 FSC-klagomål.docx", "A 22172-2022")</f>
        <v/>
      </c>
      <c r="AB9">
        <f>HYPERLINK("https://klasma.github.io/Logging_0117/klagomålsmail/A 22172-2022 FSC-klagomål mail.docx", "A 22172-2022")</f>
        <v/>
      </c>
      <c r="AC9">
        <f>HYPERLINK("https://klasma.github.io/Logging_0117/tillsyn/A 22172-2022 tillsynsbegäran.docx", "A 22172-2022")</f>
        <v/>
      </c>
      <c r="AD9">
        <f>HYPERLINK("https://klasma.github.io/Logging_0117/tillsynsmail/A 22172-2022 tillsynsbegäran mail.docx", "A 22172-2022")</f>
        <v/>
      </c>
    </row>
    <row r="10" ht="15" customHeight="1">
      <c r="A10" t="inlineStr">
        <is>
          <t>A 31523-2022</t>
        </is>
      </c>
      <c r="B10" t="inlineStr">
        <is>
          <t>avverkningsanmälan</t>
        </is>
      </c>
      <c r="C10" t="inlineStr">
        <is>
          <t>Föryngringsavverkning</t>
        </is>
      </c>
      <c r="D10" s="1" t="n">
        <v>44775</v>
      </c>
      <c r="E10" s="1" t="n">
        <v>46281</v>
      </c>
      <c r="F10" t="inlineStr">
        <is>
          <t>STOCKHOLMS LÄN</t>
        </is>
      </c>
      <c r="G10" t="inlineStr">
        <is>
          <t>ÖSTERÅKER</t>
        </is>
      </c>
      <c r="I10" t="n">
        <v>9</v>
      </c>
      <c r="J10" t="n">
        <v>1</v>
      </c>
      <c r="K10" t="n">
        <v>0</v>
      </c>
      <c r="L10" t="n">
        <v>1</v>
      </c>
      <c r="M10" t="n">
        <v>2</v>
      </c>
      <c r="N10" t="n">
        <v>0</v>
      </c>
      <c r="O10" t="n">
        <v>0</v>
      </c>
      <c r="P10" t="n">
        <v>0</v>
      </c>
      <c r="Q10" t="n">
        <v>3</v>
      </c>
      <c r="R10" t="n">
        <v>2</v>
      </c>
      <c r="S10" t="n">
        <v>4</v>
      </c>
      <c r="T10" t="n">
        <v>5</v>
      </c>
      <c r="U10" t="n">
        <v>5</v>
      </c>
      <c r="V10" s="2" t="inlineStr">
        <is>
          <t>Aspgelélav
Garnlav
Tallticka
Tjäder</t>
        </is>
      </c>
      <c r="W10">
        <f>HYPERLINK("https://klasma.github.io/Logging_0117/artfynd/A 31523-2022 artfynd.xlsx", "A 31523-2022")</f>
        <v/>
      </c>
      <c r="X10">
        <f>HYPERLINK("https://klasma.github.io/Logging_0117/kartor/A 31523-2022 karta.png", "A 31523-2022")</f>
        <v/>
      </c>
      <c r="Y10">
        <f>HYPERLINK("https://klasma.github.io/Logging_0117/kartor_geotiff/A 31523-2022 georefererad karta.tif", "A 31523-2022")</f>
        <v/>
      </c>
      <c r="AA10">
        <f>HYPERLINK("https://klasma.github.io/Logging_0117/klagomål/A 31523-2022 FSC-klagomål.docx", "A 31523-2022")</f>
        <v/>
      </c>
      <c r="AB10">
        <f>HYPERLINK("https://klasma.github.io/Logging_0117/klagomålsmail/A 31523-2022 FSC-klagomål mail.docx", "A 31523-2022")</f>
        <v/>
      </c>
      <c r="AC10">
        <f>HYPERLINK("https://klasma.github.io/Logging_0117/tillsyn/A 31523-2022 tillsynsbegäran.docx", "A 31523-2022")</f>
        <v/>
      </c>
      <c r="AD10">
        <f>HYPERLINK("https://klasma.github.io/Logging_0117/tillsynsmail/A 31523-2022 tillsynsbegäran mail.docx", "A 31523-2022")</f>
        <v/>
      </c>
      <c r="AE10">
        <f>HYPERLINK("https://klasma.github.io/Logging_0117/fåglar/A 31523-2022 prioriterade fågelarter.docx", "A 31523-2022")</f>
        <v/>
      </c>
    </row>
    <row r="11" ht="15" customHeight="1">
      <c r="A11" t="inlineStr">
        <is>
          <t>A 3914-2023</t>
        </is>
      </c>
      <c r="B11" t="inlineStr">
        <is>
          <t>avverkningsanmälan</t>
        </is>
      </c>
      <c r="C11" t="inlineStr">
        <is>
          <t>Föryngringsavverkning</t>
        </is>
      </c>
      <c r="D11" s="1" t="n">
        <v>44952</v>
      </c>
      <c r="E11" s="1" t="n">
        <v>46281</v>
      </c>
      <c r="F11" t="inlineStr">
        <is>
          <t>STOCKHOLMS LÄN</t>
        </is>
      </c>
      <c r="G11" t="inlineStr">
        <is>
          <t>ÖSTERÅKER</t>
        </is>
      </c>
      <c r="H11" t="inlineStr">
        <is>
          <t>Kommuner</t>
        </is>
      </c>
      <c r="I11" t="n">
        <v>15.3</v>
      </c>
      <c r="J11" t="n">
        <v>4</v>
      </c>
      <c r="K11" t="n">
        <v>0</v>
      </c>
      <c r="L11" t="n">
        <v>1</v>
      </c>
      <c r="M11" t="n">
        <v>0</v>
      </c>
      <c r="N11" t="n">
        <v>0</v>
      </c>
      <c r="O11" t="n">
        <v>0</v>
      </c>
      <c r="P11" t="n">
        <v>0</v>
      </c>
      <c r="Q11" t="n">
        <v>1</v>
      </c>
      <c r="R11" t="n">
        <v>0</v>
      </c>
      <c r="S11" t="n">
        <v>4</v>
      </c>
      <c r="T11" t="n">
        <v>7</v>
      </c>
      <c r="U11" t="n">
        <v>1</v>
      </c>
      <c r="V11" s="2" t="inlineStr">
        <is>
          <t>Järnsparv
Gröngöling
Kråka
Kungsfågel</t>
        </is>
      </c>
      <c r="W11">
        <f>HYPERLINK("https://klasma.github.io/Logging_0117/artfynd/A 3914-2023 artfynd.xlsx", "A 3914-2023")</f>
        <v/>
      </c>
      <c r="X11">
        <f>HYPERLINK("https://klasma.github.io/Logging_0117/kartor/A 3914-2023 karta.png", "A 3914-2023")</f>
        <v/>
      </c>
      <c r="Y11">
        <f>HYPERLINK("https://klasma.github.io/Logging_0117/kartor_geotiff/A 3914-2023 georefererad karta.tif", "A 3914-2023")</f>
        <v/>
      </c>
      <c r="AA11">
        <f>HYPERLINK("https://klasma.github.io/Logging_0117/klagomål/A 3914-2023 FSC-klagomål.docx", "A 3914-2023")</f>
        <v/>
      </c>
      <c r="AB11">
        <f>HYPERLINK("https://klasma.github.io/Logging_0117/klagomålsmail/A 3914-2023 FSC-klagomål mail.docx", "A 3914-2023")</f>
        <v/>
      </c>
      <c r="AC11">
        <f>HYPERLINK("https://klasma.github.io/Logging_0117/tillsyn/A 3914-2023 tillsynsbegäran.docx", "A 3914-2023")</f>
        <v/>
      </c>
      <c r="AD11">
        <f>HYPERLINK("https://klasma.github.io/Logging_0117/tillsynsmail/A 3914-2023 tillsynsbegäran mail.docx", "A 3914-2023")</f>
        <v/>
      </c>
      <c r="AE11">
        <f>HYPERLINK("https://klasma.github.io/Logging_0117/fåglar/A 3914-2023 prioriterade fågelarter.docx", "A 3914-2023")</f>
        <v/>
      </c>
    </row>
    <row r="12" ht="15" customHeight="1">
      <c r="A12" t="inlineStr">
        <is>
          <t>A 37244-2024</t>
        </is>
      </c>
      <c r="B12" t="inlineStr">
        <is>
          <t>avverkningsanmälan</t>
        </is>
      </c>
      <c r="C12" t="inlineStr">
        <is>
          <t>Föryngringsavverkning</t>
        </is>
      </c>
      <c r="D12" s="1" t="n">
        <v>45540</v>
      </c>
      <c r="E12" s="1" t="n">
        <v>46281</v>
      </c>
      <c r="F12" t="inlineStr">
        <is>
          <t>STOCKHOLMS LÄN</t>
        </is>
      </c>
      <c r="G12" t="inlineStr">
        <is>
          <t>ÖSTERÅKER</t>
        </is>
      </c>
      <c r="I12" t="n">
        <v>2.6</v>
      </c>
      <c r="J12" t="n">
        <v>1</v>
      </c>
      <c r="K12" t="n">
        <v>1</v>
      </c>
      <c r="L12" t="n">
        <v>3</v>
      </c>
      <c r="M12" t="n">
        <v>0</v>
      </c>
      <c r="N12" t="n">
        <v>0</v>
      </c>
      <c r="O12" t="n">
        <v>0</v>
      </c>
      <c r="P12" t="n">
        <v>0</v>
      </c>
      <c r="Q12" t="n">
        <v>3</v>
      </c>
      <c r="R12" t="n">
        <v>0</v>
      </c>
      <c r="S12" t="n">
        <v>4</v>
      </c>
      <c r="T12" t="n">
        <v>5</v>
      </c>
      <c r="U12" t="n">
        <v>1</v>
      </c>
      <c r="V12" s="2" t="inlineStr">
        <is>
          <t>Tallticka
Talltita
Vedskivlav
Grovticka</t>
        </is>
      </c>
      <c r="W12">
        <f>HYPERLINK("https://klasma.github.io/Logging_0117/artfynd/A 37244-2024 artfynd.xlsx", "A 37244-2024")</f>
        <v/>
      </c>
      <c r="X12">
        <f>HYPERLINK("https://klasma.github.io/Logging_0117/kartor/A 37244-2024 karta.png", "A 37244-2024")</f>
        <v/>
      </c>
      <c r="Y12">
        <f>HYPERLINK("https://klasma.github.io/Logging_0117/kartor_geotiff/A 37244-2024 georefererad karta.tif", "A 37244-2024")</f>
        <v/>
      </c>
      <c r="AA12">
        <f>HYPERLINK("https://klasma.github.io/Logging_0117/klagomål/A 37244-2024 FSC-klagomål.docx", "A 37244-2024")</f>
        <v/>
      </c>
      <c r="AB12">
        <f>HYPERLINK("https://klasma.github.io/Logging_0117/klagomålsmail/A 37244-2024 FSC-klagomål mail.docx", "A 37244-2024")</f>
        <v/>
      </c>
      <c r="AC12">
        <f>HYPERLINK("https://klasma.github.io/Logging_0117/tillsyn/A 37244-2024 tillsynsbegäran.docx", "A 37244-2024")</f>
        <v/>
      </c>
      <c r="AD12">
        <f>HYPERLINK("https://klasma.github.io/Logging_0117/tillsynsmail/A 37244-2024 tillsynsbegäran mail.docx", "A 37244-2024")</f>
        <v/>
      </c>
      <c r="AE12">
        <f>HYPERLINK("https://klasma.github.io/Logging_0117/fåglar/A 37244-2024 prioriterade fågelarter.docx", "A 37244-2024")</f>
        <v/>
      </c>
    </row>
    <row r="13" ht="15" customHeight="1">
      <c r="A13" t="inlineStr">
        <is>
          <t>A 54703-2024</t>
        </is>
      </c>
      <c r="B13" t="inlineStr">
        <is>
          <t>avverkningsanmälan</t>
        </is>
      </c>
      <c r="C13" t="inlineStr">
        <is>
          <t>Avverkning för annat ändamål</t>
        </is>
      </c>
      <c r="D13" s="1" t="n">
        <v>45618</v>
      </c>
      <c r="E13" s="1" t="n">
        <v>46281</v>
      </c>
      <c r="F13" t="inlineStr">
        <is>
          <t>STOCKHOLMS LÄN</t>
        </is>
      </c>
      <c r="G13" t="inlineStr">
        <is>
          <t>ÖSTERÅKER</t>
        </is>
      </c>
      <c r="I13" t="n">
        <v>7.7</v>
      </c>
      <c r="J13" t="n">
        <v>2</v>
      </c>
      <c r="K13" t="n">
        <v>0</v>
      </c>
      <c r="L13" t="n">
        <v>1</v>
      </c>
      <c r="M13" t="n">
        <v>0</v>
      </c>
      <c r="N13" t="n">
        <v>0</v>
      </c>
      <c r="O13" t="n">
        <v>0</v>
      </c>
      <c r="P13" t="n">
        <v>0</v>
      </c>
      <c r="Q13" t="n">
        <v>1</v>
      </c>
      <c r="R13" t="n">
        <v>0</v>
      </c>
      <c r="S13" t="n">
        <v>3</v>
      </c>
      <c r="T13" t="n">
        <v>6</v>
      </c>
      <c r="U13" t="n">
        <v>0</v>
      </c>
      <c r="V13" s="2" t="inlineStr">
        <is>
          <t>Tallticka
Spillkråka
Kungsfågel</t>
        </is>
      </c>
      <c r="W13">
        <f>HYPERLINK("https://klasma.github.io/Logging_0117/artfynd/A 54703-2024 artfynd.xlsx", "A 54703-2024")</f>
        <v/>
      </c>
      <c r="X13">
        <f>HYPERLINK("https://klasma.github.io/Logging_0117/kartor/A 54703-2024 karta.png", "A 54703-2024")</f>
        <v/>
      </c>
      <c r="Y13">
        <f>HYPERLINK("https://klasma.github.io/Logging_0117/kartor_geotiff/A 54703-2024 georefererad karta.tif", "A 54703-2024")</f>
        <v/>
      </c>
      <c r="AA13">
        <f>HYPERLINK("https://klasma.github.io/Logging_0117/klagomål/A 54703-2024 FSC-klagomål.docx", "A 54703-2024")</f>
        <v/>
      </c>
      <c r="AB13">
        <f>HYPERLINK("https://klasma.github.io/Logging_0117/klagomålsmail/A 54703-2024 FSC-klagomål mail.docx", "A 54703-2024")</f>
        <v/>
      </c>
      <c r="AC13">
        <f>HYPERLINK("https://klasma.github.io/Logging_0117/tillsyn/A 54703-2024 tillsynsbegäran.docx", "A 54703-2024")</f>
        <v/>
      </c>
      <c r="AD13">
        <f>HYPERLINK("https://klasma.github.io/Logging_0117/tillsynsmail/A 54703-2024 tillsynsbegäran mail.docx", "A 54703-2024")</f>
        <v/>
      </c>
      <c r="AE13">
        <f>HYPERLINK("https://klasma.github.io/Logging_0117/fåglar/A 54703-2024 prioriterade fågelarter.docx", "A 54703-2024")</f>
        <v/>
      </c>
    </row>
    <row r="14" ht="15" customHeight="1">
      <c r="A14" t="inlineStr">
        <is>
          <t>A 61363-2022</t>
        </is>
      </c>
      <c r="B14" t="inlineStr">
        <is>
          <t>avverkningsanmälan</t>
        </is>
      </c>
      <c r="C14" t="inlineStr">
        <is>
          <t>Föryngringsavverkning</t>
        </is>
      </c>
      <c r="D14" s="1" t="n">
        <v>44915</v>
      </c>
      <c r="E14" s="1" t="n">
        <v>46281</v>
      </c>
      <c r="F14" t="inlineStr">
        <is>
          <t>STOCKHOLMS LÄN</t>
        </is>
      </c>
      <c r="G14" t="inlineStr">
        <is>
          <t>ÖSTERÅKER</t>
        </is>
      </c>
      <c r="I14" t="n">
        <v>5.3</v>
      </c>
      <c r="J14" t="n">
        <v>1</v>
      </c>
      <c r="K14" t="n">
        <v>0</v>
      </c>
      <c r="L14" t="n">
        <v>2</v>
      </c>
      <c r="M14" t="n">
        <v>0</v>
      </c>
      <c r="N14" t="n">
        <v>0</v>
      </c>
      <c r="O14" t="n">
        <v>0</v>
      </c>
      <c r="P14" t="n">
        <v>0</v>
      </c>
      <c r="Q14" t="n">
        <v>2</v>
      </c>
      <c r="R14" t="n">
        <v>0</v>
      </c>
      <c r="S14" t="n">
        <v>3</v>
      </c>
      <c r="T14" t="n">
        <v>3</v>
      </c>
      <c r="U14" t="n">
        <v>3</v>
      </c>
      <c r="V14" s="2" t="inlineStr">
        <is>
          <t>Motaggsvamp
Skuggblåslav
Tjäder</t>
        </is>
      </c>
      <c r="W14">
        <f>HYPERLINK("https://klasma.github.io/Logging_0117/artfynd/A 61363-2022 artfynd.xlsx", "A 61363-2022")</f>
        <v/>
      </c>
      <c r="X14">
        <f>HYPERLINK("https://klasma.github.io/Logging_0117/kartor/A 61363-2022 karta.png", "A 61363-2022")</f>
        <v/>
      </c>
      <c r="Y14">
        <f>HYPERLINK("https://klasma.github.io/Logging_0117/kartor_geotiff/A 61363-2022 georefererad karta.tif", "A 61363-2022")</f>
        <v/>
      </c>
      <c r="AA14">
        <f>HYPERLINK("https://klasma.github.io/Logging_0117/klagomål/A 61363-2022 FSC-klagomål.docx", "A 61363-2022")</f>
        <v/>
      </c>
      <c r="AB14">
        <f>HYPERLINK("https://klasma.github.io/Logging_0117/klagomålsmail/A 61363-2022 FSC-klagomål mail.docx", "A 61363-2022")</f>
        <v/>
      </c>
      <c r="AC14">
        <f>HYPERLINK("https://klasma.github.io/Logging_0117/tillsyn/A 61363-2022 tillsynsbegäran.docx", "A 61363-2022")</f>
        <v/>
      </c>
      <c r="AD14">
        <f>HYPERLINK("https://klasma.github.io/Logging_0117/tillsynsmail/A 61363-2022 tillsynsbegäran mail.docx", "A 61363-2022")</f>
        <v/>
      </c>
      <c r="AE14">
        <f>HYPERLINK("https://klasma.github.io/Logging_0117/fåglar/A 61363-2022 prioriterade fågelarter.docx", "A 61363-2022")</f>
        <v/>
      </c>
    </row>
    <row r="15" ht="15" customHeight="1">
      <c r="A15" t="inlineStr">
        <is>
          <t>A 62578-2025</t>
        </is>
      </c>
      <c r="B15" t="inlineStr">
        <is>
          <t>avverkningsanmälan</t>
        </is>
      </c>
      <c r="C15" t="inlineStr">
        <is>
          <t>Föryngringsavverkning</t>
        </is>
      </c>
      <c r="D15" s="1" t="n">
        <v>46007</v>
      </c>
      <c r="E15" s="1" t="n">
        <v>46281</v>
      </c>
      <c r="F15" t="inlineStr">
        <is>
          <t>STOCKHOLMS LÄN</t>
        </is>
      </c>
      <c r="G15" t="inlineStr">
        <is>
          <t>ÖSTERÅKER</t>
        </is>
      </c>
      <c r="I15" t="n">
        <v>3.4</v>
      </c>
      <c r="J15" t="n">
        <v>0</v>
      </c>
      <c r="K15" t="n">
        <v>3</v>
      </c>
      <c r="L15" t="n">
        <v>0</v>
      </c>
      <c r="M15" t="n">
        <v>0</v>
      </c>
      <c r="N15" t="n">
        <v>0</v>
      </c>
      <c r="O15" t="n">
        <v>0</v>
      </c>
      <c r="P15" t="n">
        <v>0</v>
      </c>
      <c r="Q15" t="n">
        <v>0</v>
      </c>
      <c r="R15" t="n">
        <v>0</v>
      </c>
      <c r="S15" t="n">
        <v>3</v>
      </c>
      <c r="T15" t="n">
        <v>4</v>
      </c>
      <c r="U15" t="n">
        <v>0</v>
      </c>
      <c r="V15" s="2" t="inlineStr">
        <is>
          <t>Fällmossa
Mindre märgborre
Vedticka</t>
        </is>
      </c>
      <c r="W15">
        <f>HYPERLINK("https://klasma.github.io/Logging_0117/artfynd/A 62578-2025 artfynd.xlsx", "A 62578-2025")</f>
        <v/>
      </c>
      <c r="X15">
        <f>HYPERLINK("https://klasma.github.io/Logging_0117/kartor/A 62578-2025 karta.png", "A 62578-2025")</f>
        <v/>
      </c>
      <c r="Y15">
        <f>HYPERLINK("https://klasma.github.io/Logging_0117/kartor_geotiff/A 62578-2025 georefererad karta.tif", "A 62578-2025")</f>
        <v/>
      </c>
      <c r="AA15">
        <f>HYPERLINK("https://klasma.github.io/Logging_0117/klagomål/A 62578-2025 FSC-klagomål.docx", "A 62578-2025")</f>
        <v/>
      </c>
      <c r="AB15">
        <f>HYPERLINK("https://klasma.github.io/Logging_0117/klagomålsmail/A 62578-2025 FSC-klagomål mail.docx", "A 62578-2025")</f>
        <v/>
      </c>
      <c r="AC15">
        <f>HYPERLINK("https://klasma.github.io/Logging_0117/tillsyn/A 62578-2025 tillsynsbegäran.docx", "A 62578-2025")</f>
        <v/>
      </c>
      <c r="AD15">
        <f>HYPERLINK("https://klasma.github.io/Logging_0117/tillsynsmail/A 62578-2025 tillsynsbegäran mail.docx", "A 62578-2025")</f>
        <v/>
      </c>
    </row>
    <row r="16" ht="15" customHeight="1">
      <c r="A16" t="inlineStr">
        <is>
          <t>A 12620-2022</t>
        </is>
      </c>
      <c r="B16" t="inlineStr">
        <is>
          <t>avverkningsanmälan</t>
        </is>
      </c>
      <c r="C16" t="inlineStr">
        <is>
          <t>Föryngringsavverkning</t>
        </is>
      </c>
      <c r="D16" s="1" t="n">
        <v>44638</v>
      </c>
      <c r="E16" s="1" t="n">
        <v>46281</v>
      </c>
      <c r="F16" t="inlineStr">
        <is>
          <t>STOCKHOLMS LÄN</t>
        </is>
      </c>
      <c r="G16" t="inlineStr">
        <is>
          <t>ÖSTERÅKER</t>
        </is>
      </c>
      <c r="I16" t="n">
        <v>9.4</v>
      </c>
      <c r="J16" t="n">
        <v>1</v>
      </c>
      <c r="K16" t="n">
        <v>1</v>
      </c>
      <c r="L16" t="n">
        <v>0</v>
      </c>
      <c r="M16" t="n">
        <v>1</v>
      </c>
      <c r="N16" t="n">
        <v>0</v>
      </c>
      <c r="O16" t="n">
        <v>0</v>
      </c>
      <c r="P16" t="n">
        <v>0</v>
      </c>
      <c r="Q16" t="n">
        <v>1</v>
      </c>
      <c r="R16" t="n">
        <v>1</v>
      </c>
      <c r="S16" t="n">
        <v>3</v>
      </c>
      <c r="T16" t="n">
        <v>3</v>
      </c>
      <c r="U16" t="n">
        <v>3</v>
      </c>
      <c r="V16" s="2" t="inlineStr">
        <is>
          <t>Taggfingersvamp
Fällmossa
Blåsippa</t>
        </is>
      </c>
      <c r="W16">
        <f>HYPERLINK("https://klasma.github.io/Logging_0117/artfynd/A 12620-2022 artfynd.xlsx", "A 12620-2022")</f>
        <v/>
      </c>
      <c r="X16">
        <f>HYPERLINK("https://klasma.github.io/Logging_0117/kartor/A 12620-2022 karta.png", "A 12620-2022")</f>
        <v/>
      </c>
      <c r="Y16">
        <f>HYPERLINK("https://klasma.github.io/Logging_0117/kartor_geotiff/A 12620-2022 georefererad karta.tif", "A 12620-2022")</f>
        <v/>
      </c>
      <c r="AA16">
        <f>HYPERLINK("https://klasma.github.io/Logging_0117/klagomål/A 12620-2022 FSC-klagomål.docx", "A 12620-2022")</f>
        <v/>
      </c>
      <c r="AB16">
        <f>HYPERLINK("https://klasma.github.io/Logging_0117/klagomålsmail/A 12620-2022 FSC-klagomål mail.docx", "A 12620-2022")</f>
        <v/>
      </c>
      <c r="AC16">
        <f>HYPERLINK("https://klasma.github.io/Logging_0117/tillsyn/A 12620-2022 tillsynsbegäran.docx", "A 12620-2022")</f>
        <v/>
      </c>
      <c r="AD16">
        <f>HYPERLINK("https://klasma.github.io/Logging_0117/tillsynsmail/A 12620-2022 tillsynsbegäran mail.docx", "A 12620-2022")</f>
        <v/>
      </c>
    </row>
    <row r="17" ht="15" customHeight="1">
      <c r="A17" t="inlineStr">
        <is>
          <t>A 27948-2025</t>
        </is>
      </c>
      <c r="B17" t="inlineStr">
        <is>
          <t>avverkningsanmälan</t>
        </is>
      </c>
      <c r="C17" t="inlineStr">
        <is>
          <t>Föryngringsavverkning</t>
        </is>
      </c>
      <c r="D17" s="1" t="n">
        <v>45817</v>
      </c>
      <c r="E17" s="1" t="n">
        <v>46281</v>
      </c>
      <c r="F17" t="inlineStr">
        <is>
          <t>STOCKHOLMS LÄN</t>
        </is>
      </c>
      <c r="G17" t="inlineStr">
        <is>
          <t>ÖSTERÅKER</t>
        </is>
      </c>
      <c r="I17" t="n">
        <v>5.6</v>
      </c>
      <c r="J17" t="n">
        <v>3</v>
      </c>
      <c r="K17" t="n">
        <v>0</v>
      </c>
      <c r="L17" t="n">
        <v>1</v>
      </c>
      <c r="M17" t="n">
        <v>1</v>
      </c>
      <c r="N17" t="n">
        <v>0</v>
      </c>
      <c r="O17" t="n">
        <v>0</v>
      </c>
      <c r="P17" t="n">
        <v>0</v>
      </c>
      <c r="Q17" t="n">
        <v>2</v>
      </c>
      <c r="R17" t="n">
        <v>1</v>
      </c>
      <c r="S17" t="n">
        <v>3</v>
      </c>
      <c r="T17" t="n">
        <v>3</v>
      </c>
      <c r="U17" t="n">
        <v>0</v>
      </c>
      <c r="V17" s="2" t="inlineStr">
        <is>
          <t>Tornseglare
Ladusvala
Törnskata</t>
        </is>
      </c>
      <c r="W17">
        <f>HYPERLINK("https://klasma.github.io/Logging_0117/artfynd/A 27948-2025 artfynd.xlsx", "A 27948-2025")</f>
        <v/>
      </c>
      <c r="X17">
        <f>HYPERLINK("https://klasma.github.io/Logging_0117/kartor/A 27948-2025 karta.png", "A 27948-2025")</f>
        <v/>
      </c>
      <c r="Y17">
        <f>HYPERLINK("https://klasma.github.io/Logging_0117/kartor_geotiff/A 27948-2025 georefererad karta.tif", "A 27948-2025")</f>
        <v/>
      </c>
      <c r="AA17">
        <f>HYPERLINK("https://klasma.github.io/Logging_0117/klagomål/A 27948-2025 FSC-klagomål.docx", "A 27948-2025")</f>
        <v/>
      </c>
      <c r="AB17">
        <f>HYPERLINK("https://klasma.github.io/Logging_0117/klagomålsmail/A 27948-2025 FSC-klagomål mail.docx", "A 27948-2025")</f>
        <v/>
      </c>
      <c r="AC17">
        <f>HYPERLINK("https://klasma.github.io/Logging_0117/tillsyn/A 27948-2025 tillsynsbegäran.docx", "A 27948-2025")</f>
        <v/>
      </c>
      <c r="AD17">
        <f>HYPERLINK("https://klasma.github.io/Logging_0117/tillsynsmail/A 27948-2025 tillsynsbegäran mail.docx", "A 27948-2025")</f>
        <v/>
      </c>
      <c r="AE17">
        <f>HYPERLINK("https://klasma.github.io/Logging_0117/fåglar/A 27948-2025 prioriterade fågelarter.docx", "A 27948-2025")</f>
        <v/>
      </c>
    </row>
    <row r="18" ht="15" customHeight="1">
      <c r="A18" t="inlineStr">
        <is>
          <t>A 67244-2021</t>
        </is>
      </c>
      <c r="B18" t="inlineStr">
        <is>
          <t>avverkningsanmälan</t>
        </is>
      </c>
      <c r="C18" t="inlineStr">
        <is>
          <t>Avverkning för annat ändamål</t>
        </is>
      </c>
      <c r="D18" s="1" t="n">
        <v>44523</v>
      </c>
      <c r="E18" s="1" t="n">
        <v>46281</v>
      </c>
      <c r="F18" t="inlineStr">
        <is>
          <t>STOCKHOLMS LÄN</t>
        </is>
      </c>
      <c r="G18" t="inlineStr">
        <is>
          <t>ÖSTERÅKER</t>
        </is>
      </c>
      <c r="H18" t="inlineStr">
        <is>
          <t>Kommuner</t>
        </is>
      </c>
      <c r="I18" t="n">
        <v>5.3</v>
      </c>
      <c r="J18" t="n">
        <v>0</v>
      </c>
      <c r="K18" t="n">
        <v>0</v>
      </c>
      <c r="L18" t="n">
        <v>0</v>
      </c>
      <c r="M18" t="n">
        <v>1</v>
      </c>
      <c r="N18" t="n">
        <v>0</v>
      </c>
      <c r="O18" t="n">
        <v>0</v>
      </c>
      <c r="P18" t="n">
        <v>0</v>
      </c>
      <c r="Q18" t="n">
        <v>2</v>
      </c>
      <c r="R18" t="n">
        <v>1</v>
      </c>
      <c r="S18" t="n">
        <v>2</v>
      </c>
      <c r="T18" t="n">
        <v>2</v>
      </c>
      <c r="U18" t="n">
        <v>2</v>
      </c>
      <c r="V18" s="2" t="inlineStr">
        <is>
          <t>Igelkott
Backdvärgmal</t>
        </is>
      </c>
      <c r="W18">
        <f>HYPERLINK("https://klasma.github.io/Logging_0117/artfynd/A 67244-2021 artfynd.xlsx", "A 67244-2021")</f>
        <v/>
      </c>
      <c r="X18">
        <f>HYPERLINK("https://klasma.github.io/Logging_0117/kartor/A 67244-2021 karta.png", "A 67244-2021")</f>
        <v/>
      </c>
      <c r="Y18">
        <f>HYPERLINK("https://klasma.github.io/Logging_0117/kartor_geotiff/A 67244-2021 georefererad karta.tif", "A 67244-2021")</f>
        <v/>
      </c>
      <c r="AA18">
        <f>HYPERLINK("https://klasma.github.io/Logging_0117/klagomål/A 67244-2021 FSC-klagomål.docx", "A 67244-2021")</f>
        <v/>
      </c>
      <c r="AB18">
        <f>HYPERLINK("https://klasma.github.io/Logging_0117/klagomålsmail/A 67244-2021 FSC-klagomål mail.docx", "A 67244-2021")</f>
        <v/>
      </c>
      <c r="AC18">
        <f>HYPERLINK("https://klasma.github.io/Logging_0117/tillsyn/A 67244-2021 tillsynsbegäran.docx", "A 67244-2021")</f>
        <v/>
      </c>
      <c r="AD18">
        <f>HYPERLINK("https://klasma.github.io/Logging_0117/tillsynsmail/A 67244-2021 tillsynsbegäran mail.docx", "A 67244-2021")</f>
        <v/>
      </c>
    </row>
    <row r="19" ht="15" customHeight="1">
      <c r="A19" t="inlineStr">
        <is>
          <t>A 61275-2021</t>
        </is>
      </c>
      <c r="B19" t="inlineStr">
        <is>
          <t>avverkningsanmälan</t>
        </is>
      </c>
      <c r="C19" t="inlineStr">
        <is>
          <t>Föryngringsavverkning</t>
        </is>
      </c>
      <c r="D19" s="1" t="n">
        <v>44498</v>
      </c>
      <c r="E19" s="1" t="n">
        <v>46281</v>
      </c>
      <c r="F19" t="inlineStr">
        <is>
          <t>STOCKHOLMS LÄN</t>
        </is>
      </c>
      <c r="G19" t="inlineStr">
        <is>
          <t>ÖSTERÅKER</t>
        </is>
      </c>
      <c r="I19" t="n">
        <v>2.1</v>
      </c>
      <c r="J19" t="n">
        <v>2</v>
      </c>
      <c r="K19" t="n">
        <v>0</v>
      </c>
      <c r="L19" t="n">
        <v>0</v>
      </c>
      <c r="M19" t="n">
        <v>0</v>
      </c>
      <c r="N19" t="n">
        <v>0</v>
      </c>
      <c r="O19" t="n">
        <v>0</v>
      </c>
      <c r="P19" t="n">
        <v>0</v>
      </c>
      <c r="Q19" t="n">
        <v>0</v>
      </c>
      <c r="R19" t="n">
        <v>0</v>
      </c>
      <c r="S19" t="n">
        <v>2</v>
      </c>
      <c r="T19" t="n">
        <v>3</v>
      </c>
      <c r="U19" t="n">
        <v>0</v>
      </c>
      <c r="V19" s="2" t="inlineStr">
        <is>
          <t>Fläcknycklar
Nattviol</t>
        </is>
      </c>
      <c r="W19">
        <f>HYPERLINK("https://klasma.github.io/Logging_0117/artfynd/A 61275-2021 artfynd.xlsx", "A 61275-2021")</f>
        <v/>
      </c>
      <c r="X19">
        <f>HYPERLINK("https://klasma.github.io/Logging_0117/kartor/A 61275-2021 karta.png", "A 61275-2021")</f>
        <v/>
      </c>
      <c r="Y19">
        <f>HYPERLINK("https://klasma.github.io/Logging_0117/kartor_geotiff/A 61275-2021 georefererad karta.tif", "A 61275-2021")</f>
        <v/>
      </c>
      <c r="AA19">
        <f>HYPERLINK("https://klasma.github.io/Logging_0117/klagomål/A 61275-2021 FSC-klagomål.docx", "A 61275-2021")</f>
        <v/>
      </c>
      <c r="AB19">
        <f>HYPERLINK("https://klasma.github.io/Logging_0117/klagomålsmail/A 61275-2021 FSC-klagomål mail.docx", "A 61275-2021")</f>
        <v/>
      </c>
      <c r="AC19">
        <f>HYPERLINK("https://klasma.github.io/Logging_0117/tillsyn/A 61275-2021 tillsynsbegäran.docx", "A 61275-2021")</f>
        <v/>
      </c>
      <c r="AD19">
        <f>HYPERLINK("https://klasma.github.io/Logging_0117/tillsynsmail/A 61275-2021 tillsynsbegäran mail.docx", "A 61275-2021")</f>
        <v/>
      </c>
    </row>
    <row r="20" ht="15" customHeight="1">
      <c r="A20" t="inlineStr">
        <is>
          <t>A 43308-2024</t>
        </is>
      </c>
      <c r="B20" t="inlineStr">
        <is>
          <t>avverkningsanmälan</t>
        </is>
      </c>
      <c r="C20" t="inlineStr">
        <is>
          <t>Föryngringsavverkning</t>
        </is>
      </c>
      <c r="D20" s="1" t="n">
        <v>45568</v>
      </c>
      <c r="E20" s="1" t="n">
        <v>46281</v>
      </c>
      <c r="F20" t="inlineStr">
        <is>
          <t>STOCKHOLMS LÄN</t>
        </is>
      </c>
      <c r="G20" t="inlineStr">
        <is>
          <t>ÖSTERÅKER</t>
        </is>
      </c>
      <c r="H20" t="inlineStr">
        <is>
          <t>Kyrkan</t>
        </is>
      </c>
      <c r="I20" t="n">
        <v>3.2</v>
      </c>
      <c r="J20" t="n">
        <v>0</v>
      </c>
      <c r="K20" t="n">
        <v>0</v>
      </c>
      <c r="L20" t="n">
        <v>2</v>
      </c>
      <c r="M20" t="n">
        <v>0</v>
      </c>
      <c r="N20" t="n">
        <v>0</v>
      </c>
      <c r="O20" t="n">
        <v>0</v>
      </c>
      <c r="P20" t="n">
        <v>0</v>
      </c>
      <c r="Q20" t="n">
        <v>2</v>
      </c>
      <c r="R20" t="n">
        <v>0</v>
      </c>
      <c r="S20" t="n">
        <v>2</v>
      </c>
      <c r="T20" t="n">
        <v>2</v>
      </c>
      <c r="U20" t="n">
        <v>0</v>
      </c>
      <c r="V20" s="2" t="inlineStr">
        <is>
          <t>Dropptaggsvamp
Tallticka</t>
        </is>
      </c>
      <c r="W20">
        <f>HYPERLINK("https://klasma.github.io/Logging_0117/artfynd/A 43308-2024 artfynd.xlsx", "A 43308-2024")</f>
        <v/>
      </c>
      <c r="X20">
        <f>HYPERLINK("https://klasma.github.io/Logging_0117/kartor/A 43308-2024 karta.png", "A 43308-2024")</f>
        <v/>
      </c>
      <c r="Y20">
        <f>HYPERLINK("https://klasma.github.io/Logging_0117/kartor_geotiff/A 43308-2024 georefererad karta.tif", "A 43308-2024")</f>
        <v/>
      </c>
      <c r="AA20">
        <f>HYPERLINK("https://klasma.github.io/Logging_0117/klagomål/A 43308-2024 FSC-klagomål.docx", "A 43308-2024")</f>
        <v/>
      </c>
      <c r="AB20">
        <f>HYPERLINK("https://klasma.github.io/Logging_0117/klagomålsmail/A 43308-2024 FSC-klagomål mail.docx", "A 43308-2024")</f>
        <v/>
      </c>
      <c r="AC20">
        <f>HYPERLINK("https://klasma.github.io/Logging_0117/tillsyn/A 43308-2024 tillsynsbegäran.docx", "A 43308-2024")</f>
        <v/>
      </c>
      <c r="AD20">
        <f>HYPERLINK("https://klasma.github.io/Logging_0117/tillsynsmail/A 43308-2024 tillsynsbegäran mail.docx", "A 43308-2024")</f>
        <v/>
      </c>
    </row>
    <row r="21" ht="15" customHeight="1">
      <c r="A21" t="inlineStr">
        <is>
          <t>A 31575-2022</t>
        </is>
      </c>
      <c r="B21" t="inlineStr">
        <is>
          <t>avverkningsanmälan</t>
        </is>
      </c>
      <c r="C21" t="inlineStr">
        <is>
          <t>Föryngringsavverkning</t>
        </is>
      </c>
      <c r="D21" s="1" t="n">
        <v>44775</v>
      </c>
      <c r="E21" s="1" t="n">
        <v>46281</v>
      </c>
      <c r="F21" t="inlineStr">
        <is>
          <t>STOCKHOLMS LÄN</t>
        </is>
      </c>
      <c r="G21" t="inlineStr">
        <is>
          <t>ÖSTERÅKER</t>
        </is>
      </c>
      <c r="I21" t="n">
        <v>5</v>
      </c>
      <c r="J21" t="n">
        <v>0</v>
      </c>
      <c r="K21" t="n">
        <v>1</v>
      </c>
      <c r="L21" t="n">
        <v>0</v>
      </c>
      <c r="M21" t="n">
        <v>1</v>
      </c>
      <c r="N21" t="n">
        <v>0</v>
      </c>
      <c r="O21" t="n">
        <v>0</v>
      </c>
      <c r="P21" t="n">
        <v>0</v>
      </c>
      <c r="Q21" t="n">
        <v>1</v>
      </c>
      <c r="R21" t="n">
        <v>1</v>
      </c>
      <c r="S21" t="n">
        <v>2</v>
      </c>
      <c r="T21" t="n">
        <v>2</v>
      </c>
      <c r="U21" t="n">
        <v>2</v>
      </c>
      <c r="V21" s="2" t="inlineStr">
        <is>
          <t>Aspgelélav
Dvärgtufs</t>
        </is>
      </c>
      <c r="W21">
        <f>HYPERLINK("https://klasma.github.io/Logging_0117/artfynd/A 31575-2022 artfynd.xlsx", "A 31575-2022")</f>
        <v/>
      </c>
      <c r="X21">
        <f>HYPERLINK("https://klasma.github.io/Logging_0117/kartor/A 31575-2022 karta.png", "A 31575-2022")</f>
        <v/>
      </c>
      <c r="Y21">
        <f>HYPERLINK("https://klasma.github.io/Logging_0117/kartor_geotiff/A 31575-2022 georefererad karta.tif", "A 31575-2022")</f>
        <v/>
      </c>
      <c r="AA21">
        <f>HYPERLINK("https://klasma.github.io/Logging_0117/klagomål/A 31575-2022 FSC-klagomål.docx", "A 31575-2022")</f>
        <v/>
      </c>
      <c r="AB21">
        <f>HYPERLINK("https://klasma.github.io/Logging_0117/klagomålsmail/A 31575-2022 FSC-klagomål mail.docx", "A 31575-2022")</f>
        <v/>
      </c>
      <c r="AC21">
        <f>HYPERLINK("https://klasma.github.io/Logging_0117/tillsyn/A 31575-2022 tillsynsbegäran.docx", "A 31575-2022")</f>
        <v/>
      </c>
      <c r="AD21">
        <f>HYPERLINK("https://klasma.github.io/Logging_0117/tillsynsmail/A 31575-2022 tillsynsbegäran mail.docx", "A 31575-2022")</f>
        <v/>
      </c>
    </row>
    <row r="22" ht="15" customHeight="1">
      <c r="A22" t="inlineStr">
        <is>
          <t>A 30949-2024</t>
        </is>
      </c>
      <c r="B22" t="inlineStr">
        <is>
          <t>avverkningsanmälan</t>
        </is>
      </c>
      <c r="C22" t="inlineStr">
        <is>
          <t>Föryngringsavverkning</t>
        </is>
      </c>
      <c r="D22" s="1" t="n">
        <v>45499</v>
      </c>
      <c r="E22" s="1" t="n">
        <v>46281</v>
      </c>
      <c r="F22" t="inlineStr">
        <is>
          <t>STOCKHOLMS LÄN</t>
        </is>
      </c>
      <c r="G22" t="inlineStr">
        <is>
          <t>ÖSTERÅKER</t>
        </is>
      </c>
      <c r="H22" t="inlineStr">
        <is>
          <t>Övriga Aktiebolag</t>
        </is>
      </c>
      <c r="I22" t="n">
        <v>3.2</v>
      </c>
      <c r="J22" t="n">
        <v>0</v>
      </c>
      <c r="K22" t="n">
        <v>1</v>
      </c>
      <c r="L22" t="n">
        <v>1</v>
      </c>
      <c r="M22" t="n">
        <v>0</v>
      </c>
      <c r="N22" t="n">
        <v>0</v>
      </c>
      <c r="O22" t="n">
        <v>0</v>
      </c>
      <c r="P22" t="n">
        <v>0</v>
      </c>
      <c r="Q22" t="n">
        <v>1</v>
      </c>
      <c r="R22" t="n">
        <v>0</v>
      </c>
      <c r="S22" t="n">
        <v>2</v>
      </c>
      <c r="T22" t="n">
        <v>2</v>
      </c>
      <c r="U22" t="n">
        <v>0</v>
      </c>
      <c r="V22" s="2" t="inlineStr">
        <is>
          <t>Tallticka
Blåmossa</t>
        </is>
      </c>
      <c r="W22">
        <f>HYPERLINK("https://klasma.github.io/Logging_0117/artfynd/A 30949-2024 artfynd.xlsx", "A 30949-2024")</f>
        <v/>
      </c>
      <c r="X22">
        <f>HYPERLINK("https://klasma.github.io/Logging_0117/kartor/A 30949-2024 karta.png", "A 30949-2024")</f>
        <v/>
      </c>
      <c r="Y22">
        <f>HYPERLINK("https://klasma.github.io/Logging_0117/kartor_geotiff/A 30949-2024 georefererad karta.tif", "A 30949-2024")</f>
        <v/>
      </c>
      <c r="AA22">
        <f>HYPERLINK("https://klasma.github.io/Logging_0117/klagomål/A 30949-2024 FSC-klagomål.docx", "A 30949-2024")</f>
        <v/>
      </c>
      <c r="AB22">
        <f>HYPERLINK("https://klasma.github.io/Logging_0117/klagomålsmail/A 30949-2024 FSC-klagomål mail.docx", "A 30949-2024")</f>
        <v/>
      </c>
      <c r="AC22">
        <f>HYPERLINK("https://klasma.github.io/Logging_0117/tillsyn/A 30949-2024 tillsynsbegäran.docx", "A 30949-2024")</f>
        <v/>
      </c>
      <c r="AD22">
        <f>HYPERLINK("https://klasma.github.io/Logging_0117/tillsynsmail/A 30949-2024 tillsynsbegäran mail.docx", "A 30949-2024")</f>
        <v/>
      </c>
    </row>
    <row r="23" ht="15" customHeight="1">
      <c r="A23" t="inlineStr">
        <is>
          <t>A 61323-2022</t>
        </is>
      </c>
      <c r="B23" t="inlineStr">
        <is>
          <t>avverkningsanmälan</t>
        </is>
      </c>
      <c r="C23" t="inlineStr">
        <is>
          <t>Föryngringsavverkning</t>
        </is>
      </c>
      <c r="D23" s="1" t="n">
        <v>44915</v>
      </c>
      <c r="E23" s="1" t="n">
        <v>46281</v>
      </c>
      <c r="F23" t="inlineStr">
        <is>
          <t>STOCKHOLMS LÄN</t>
        </is>
      </c>
      <c r="G23" t="inlineStr">
        <is>
          <t>ÖSTERÅKER</t>
        </is>
      </c>
      <c r="I23" t="n">
        <v>2.7</v>
      </c>
      <c r="J23" t="n">
        <v>0</v>
      </c>
      <c r="K23" t="n">
        <v>0</v>
      </c>
      <c r="L23" t="n">
        <v>0</v>
      </c>
      <c r="M23" t="n">
        <v>1</v>
      </c>
      <c r="N23" t="n">
        <v>0</v>
      </c>
      <c r="O23" t="n">
        <v>0</v>
      </c>
      <c r="P23" t="n">
        <v>0</v>
      </c>
      <c r="Q23" t="n">
        <v>1</v>
      </c>
      <c r="R23" t="n">
        <v>1</v>
      </c>
      <c r="S23" t="n">
        <v>1</v>
      </c>
      <c r="T23" t="n">
        <v>1</v>
      </c>
      <c r="U23" t="n">
        <v>1</v>
      </c>
      <c r="V23" s="2" t="inlineStr">
        <is>
          <t>Gulvit blekspik</t>
        </is>
      </c>
      <c r="W23">
        <f>HYPERLINK("https://klasma.github.io/Logging_0117/artfynd/A 61323-2022 artfynd.xlsx", "A 61323-2022")</f>
        <v/>
      </c>
      <c r="X23">
        <f>HYPERLINK("https://klasma.github.io/Logging_0117/kartor/A 61323-2022 karta.png", "A 61323-2022")</f>
        <v/>
      </c>
      <c r="Y23">
        <f>HYPERLINK("https://klasma.github.io/Logging_0117/kartor_geotiff/A 61323-2022 georefererad karta.tif", "A 61323-2022")</f>
        <v/>
      </c>
      <c r="AA23">
        <f>HYPERLINK("https://klasma.github.io/Logging_0117/klagomål/A 61323-2022 FSC-klagomål.docx", "A 61323-2022")</f>
        <v/>
      </c>
      <c r="AB23">
        <f>HYPERLINK("https://klasma.github.io/Logging_0117/klagomålsmail/A 61323-2022 FSC-klagomål mail.docx", "A 61323-2022")</f>
        <v/>
      </c>
      <c r="AC23">
        <f>HYPERLINK("https://klasma.github.io/Logging_0117/tillsyn/A 61323-2022 tillsynsbegäran.docx", "A 61323-2022")</f>
        <v/>
      </c>
      <c r="AD23">
        <f>HYPERLINK("https://klasma.github.io/Logging_0117/tillsynsmail/A 61323-2022 tillsynsbegäran mail.docx", "A 61323-2022")</f>
        <v/>
      </c>
    </row>
    <row r="24" ht="15" customHeight="1">
      <c r="A24" t="inlineStr">
        <is>
          <t>A 62831-2025</t>
        </is>
      </c>
      <c r="B24" t="inlineStr">
        <is>
          <t>avverkningsanmälan</t>
        </is>
      </c>
      <c r="C24" t="inlineStr">
        <is>
          <t>Föryngringsavverkning</t>
        </is>
      </c>
      <c r="D24" s="1" t="n">
        <v>46008</v>
      </c>
      <c r="E24" s="1" t="n">
        <v>46281</v>
      </c>
      <c r="F24" t="inlineStr">
        <is>
          <t>STOCKHOLMS LÄN</t>
        </is>
      </c>
      <c r="G24" t="inlineStr">
        <is>
          <t>ÖSTERÅKER</t>
        </is>
      </c>
      <c r="I24" t="n">
        <v>1.2</v>
      </c>
      <c r="J24" t="n">
        <v>0</v>
      </c>
      <c r="K24" t="n">
        <v>1</v>
      </c>
      <c r="L24" t="n">
        <v>0</v>
      </c>
      <c r="M24" t="n">
        <v>0</v>
      </c>
      <c r="N24" t="n">
        <v>0</v>
      </c>
      <c r="O24" t="n">
        <v>0</v>
      </c>
      <c r="P24" t="n">
        <v>0</v>
      </c>
      <c r="Q24" t="n">
        <v>0</v>
      </c>
      <c r="R24" t="n">
        <v>0</v>
      </c>
      <c r="S24" t="n">
        <v>1</v>
      </c>
      <c r="T24" t="n">
        <v>1</v>
      </c>
      <c r="U24" t="n">
        <v>0</v>
      </c>
      <c r="V24" s="2" t="inlineStr">
        <is>
          <t>Vedticka</t>
        </is>
      </c>
      <c r="W24">
        <f>HYPERLINK("https://klasma.github.io/Logging_0117/artfynd/A 62831-2025 artfynd.xlsx", "A 62831-2025")</f>
        <v/>
      </c>
      <c r="X24">
        <f>HYPERLINK("https://klasma.github.io/Logging_0117/kartor/A 62831-2025 karta.png", "A 62831-2025")</f>
        <v/>
      </c>
      <c r="Y24">
        <f>HYPERLINK("https://klasma.github.io/Logging_0117/kartor_geotiff/A 62831-2025 georefererad karta.tif", "A 62831-2025")</f>
        <v/>
      </c>
      <c r="AA24">
        <f>HYPERLINK("https://klasma.github.io/Logging_0117/klagomål/A 62831-2025 FSC-klagomål.docx", "A 62831-2025")</f>
        <v/>
      </c>
      <c r="AB24">
        <f>HYPERLINK("https://klasma.github.io/Logging_0117/klagomålsmail/A 62831-2025 FSC-klagomål mail.docx", "A 62831-2025")</f>
        <v/>
      </c>
      <c r="AC24">
        <f>HYPERLINK("https://klasma.github.io/Logging_0117/tillsyn/A 62831-2025 tillsynsbegäran.docx", "A 62831-2025")</f>
        <v/>
      </c>
      <c r="AD24">
        <f>HYPERLINK("https://klasma.github.io/Logging_0117/tillsynsmail/A 62831-2025 tillsynsbegäran mail.docx", "A 62831-2025")</f>
        <v/>
      </c>
    </row>
    <row r="25" ht="15" customHeight="1">
      <c r="A25" t="inlineStr">
        <is>
          <t>A 62839-2025</t>
        </is>
      </c>
      <c r="B25" t="inlineStr">
        <is>
          <t>avverkningsanmälan</t>
        </is>
      </c>
      <c r="C25" t="inlineStr">
        <is>
          <t>Föryngringsavverkning</t>
        </is>
      </c>
      <c r="D25" s="1" t="n">
        <v>46008</v>
      </c>
      <c r="E25" s="1" t="n">
        <v>46281</v>
      </c>
      <c r="F25" t="inlineStr">
        <is>
          <t>STOCKHOLMS LÄN</t>
        </is>
      </c>
      <c r="G25" t="inlineStr">
        <is>
          <t>ÖSTERÅKER</t>
        </is>
      </c>
      <c r="I25" t="n">
        <v>1.4</v>
      </c>
      <c r="J25" t="n">
        <v>0</v>
      </c>
      <c r="K25" t="n">
        <v>0</v>
      </c>
      <c r="L25" t="n">
        <v>1</v>
      </c>
      <c r="M25" t="n">
        <v>0</v>
      </c>
      <c r="N25" t="n">
        <v>0</v>
      </c>
      <c r="O25" t="n">
        <v>0</v>
      </c>
      <c r="P25" t="n">
        <v>0</v>
      </c>
      <c r="Q25" t="n">
        <v>1</v>
      </c>
      <c r="R25" t="n">
        <v>0</v>
      </c>
      <c r="S25" t="n">
        <v>1</v>
      </c>
      <c r="T25" t="n">
        <v>1</v>
      </c>
      <c r="U25" t="n">
        <v>0</v>
      </c>
      <c r="V25" s="2" t="inlineStr">
        <is>
          <t>Gullpudra</t>
        </is>
      </c>
      <c r="W25">
        <f>HYPERLINK("https://klasma.github.io/Logging_0117/artfynd/A 62839-2025 artfynd.xlsx", "A 62839-2025")</f>
        <v/>
      </c>
      <c r="X25">
        <f>HYPERLINK("https://klasma.github.io/Logging_0117/kartor/A 62839-2025 karta.png", "A 62839-2025")</f>
        <v/>
      </c>
      <c r="Y25">
        <f>HYPERLINK("https://klasma.github.io/Logging_0117/kartor_geotiff/A 62839-2025 georefererad karta.tif", "A 62839-2025")</f>
        <v/>
      </c>
      <c r="AA25">
        <f>HYPERLINK("https://klasma.github.io/Logging_0117/klagomål/A 62839-2025 FSC-klagomål.docx", "A 62839-2025")</f>
        <v/>
      </c>
      <c r="AB25">
        <f>HYPERLINK("https://klasma.github.io/Logging_0117/klagomålsmail/A 62839-2025 FSC-klagomål mail.docx", "A 62839-2025")</f>
        <v/>
      </c>
      <c r="AC25">
        <f>HYPERLINK("https://klasma.github.io/Logging_0117/tillsyn/A 62839-2025 tillsynsbegäran.docx", "A 62839-2025")</f>
        <v/>
      </c>
      <c r="AD25">
        <f>HYPERLINK("https://klasma.github.io/Logging_0117/tillsynsmail/A 62839-2025 tillsynsbegäran mail.docx", "A 62839-2025")</f>
        <v/>
      </c>
    </row>
    <row r="26" ht="15" customHeight="1">
      <c r="A26" t="inlineStr">
        <is>
          <t>A 67265-2021</t>
        </is>
      </c>
      <c r="B26" t="inlineStr">
        <is>
          <t>avverkningsanmälan</t>
        </is>
      </c>
      <c r="C26" t="inlineStr">
        <is>
          <t>Föryngringsavverkning</t>
        </is>
      </c>
      <c r="D26" s="1" t="n">
        <v>44523</v>
      </c>
      <c r="E26" s="1" t="n">
        <v>46281</v>
      </c>
      <c r="F26" t="inlineStr">
        <is>
          <t>STOCKHOLMS LÄN</t>
        </is>
      </c>
      <c r="G26" t="inlineStr">
        <is>
          <t>ÖSTERÅKER</t>
        </is>
      </c>
      <c r="H26" t="inlineStr">
        <is>
          <t>Kommuner</t>
        </is>
      </c>
      <c r="I26" t="n">
        <v>2.6</v>
      </c>
      <c r="J26" t="n">
        <v>1</v>
      </c>
      <c r="K26" t="n">
        <v>0</v>
      </c>
      <c r="L26" t="n">
        <v>1</v>
      </c>
      <c r="M26" t="n">
        <v>0</v>
      </c>
      <c r="N26" t="n">
        <v>0</v>
      </c>
      <c r="O26" t="n">
        <v>0</v>
      </c>
      <c r="P26" t="n">
        <v>0</v>
      </c>
      <c r="Q26" t="n">
        <v>1</v>
      </c>
      <c r="R26" t="n">
        <v>0</v>
      </c>
      <c r="S26" t="n">
        <v>1</v>
      </c>
      <c r="T26" t="n">
        <v>1</v>
      </c>
      <c r="U26" t="n">
        <v>1</v>
      </c>
      <c r="V26" s="2" t="inlineStr">
        <is>
          <t>Mindre hackspett</t>
        </is>
      </c>
      <c r="W26">
        <f>HYPERLINK("https://klasma.github.io/Logging_0117/artfynd/A 67265-2021 artfynd.xlsx", "A 67265-2021")</f>
        <v/>
      </c>
      <c r="X26">
        <f>HYPERLINK("https://klasma.github.io/Logging_0117/kartor/A 67265-2021 karta.png", "A 67265-2021")</f>
        <v/>
      </c>
      <c r="Y26">
        <f>HYPERLINK("https://klasma.github.io/Logging_0117/kartor_geotiff/A 67265-2021 georefererad karta.tif", "A 67265-2021")</f>
        <v/>
      </c>
      <c r="AA26">
        <f>HYPERLINK("https://klasma.github.io/Logging_0117/klagomål/A 67265-2021 FSC-klagomål.docx", "A 67265-2021")</f>
        <v/>
      </c>
      <c r="AB26">
        <f>HYPERLINK("https://klasma.github.io/Logging_0117/klagomålsmail/A 67265-2021 FSC-klagomål mail.docx", "A 67265-2021")</f>
        <v/>
      </c>
      <c r="AC26">
        <f>HYPERLINK("https://klasma.github.io/Logging_0117/tillsyn/A 67265-2021 tillsynsbegäran.docx", "A 67265-2021")</f>
        <v/>
      </c>
      <c r="AD26">
        <f>HYPERLINK("https://klasma.github.io/Logging_0117/tillsynsmail/A 67265-2021 tillsynsbegäran mail.docx", "A 67265-2021")</f>
        <v/>
      </c>
      <c r="AE26">
        <f>HYPERLINK("https://klasma.github.io/Logging_0117/fåglar/A 67265-2021 prioriterade fågelarter.docx", "A 67265-2021")</f>
        <v/>
      </c>
    </row>
    <row r="27" ht="15" customHeight="1">
      <c r="A27" t="inlineStr">
        <is>
          <t>A 31716-2025</t>
        </is>
      </c>
      <c r="B27" t="inlineStr">
        <is>
          <t>avverkningsanmälan</t>
        </is>
      </c>
      <c r="C27" t="inlineStr">
        <is>
          <t>Föryngringsavverkning</t>
        </is>
      </c>
      <c r="D27" s="1" t="n">
        <v>45834</v>
      </c>
      <c r="E27" s="1" t="n">
        <v>46281</v>
      </c>
      <c r="F27" t="inlineStr">
        <is>
          <t>STOCKHOLMS LÄN</t>
        </is>
      </c>
      <c r="G27" t="inlineStr">
        <is>
          <t>ÖSTERÅKER</t>
        </is>
      </c>
      <c r="I27" t="n">
        <v>2.8</v>
      </c>
      <c r="J27" t="n">
        <v>1</v>
      </c>
      <c r="K27" t="n">
        <v>0</v>
      </c>
      <c r="L27" t="n">
        <v>0</v>
      </c>
      <c r="M27" t="n">
        <v>0</v>
      </c>
      <c r="N27" t="n">
        <v>0</v>
      </c>
      <c r="O27" t="n">
        <v>0</v>
      </c>
      <c r="P27" t="n">
        <v>0</v>
      </c>
      <c r="Q27" t="n">
        <v>0</v>
      </c>
      <c r="R27" t="n">
        <v>0</v>
      </c>
      <c r="S27" t="n">
        <v>1</v>
      </c>
      <c r="T27" t="n">
        <v>1</v>
      </c>
      <c r="U27" t="n">
        <v>0</v>
      </c>
      <c r="V27" s="2" t="inlineStr">
        <is>
          <t>Revlummer</t>
        </is>
      </c>
      <c r="W27">
        <f>HYPERLINK("https://klasma.github.io/Logging_0117/artfynd/A 31716-2025 artfynd.xlsx", "A 31716-2025")</f>
        <v/>
      </c>
      <c r="X27">
        <f>HYPERLINK("https://klasma.github.io/Logging_0117/kartor/A 31716-2025 karta.png", "A 31716-2025")</f>
        <v/>
      </c>
      <c r="Y27">
        <f>HYPERLINK("https://klasma.github.io/Logging_0117/kartor_geotiff/A 31716-2025 georefererad karta.tif", "A 31716-2025")</f>
        <v/>
      </c>
      <c r="AA27">
        <f>HYPERLINK("https://klasma.github.io/Logging_0117/klagomål/A 31716-2025 FSC-klagomål.docx", "A 31716-2025")</f>
        <v/>
      </c>
      <c r="AB27">
        <f>HYPERLINK("https://klasma.github.io/Logging_0117/klagomålsmail/A 31716-2025 FSC-klagomål mail.docx", "A 31716-2025")</f>
        <v/>
      </c>
      <c r="AC27">
        <f>HYPERLINK("https://klasma.github.io/Logging_0117/tillsyn/A 31716-2025 tillsynsbegäran.docx", "A 31716-2025")</f>
        <v/>
      </c>
      <c r="AD27">
        <f>HYPERLINK("https://klasma.github.io/Logging_0117/tillsynsmail/A 31716-2025 tillsynsbegäran mail.docx", "A 31716-2025")</f>
        <v/>
      </c>
    </row>
    <row r="28" ht="15" customHeight="1">
      <c r="A28" t="inlineStr">
        <is>
          <t>S 5861-2022</t>
        </is>
      </c>
      <c r="B28" t="inlineStr">
        <is>
          <t>samrådsanmälan</t>
        </is>
      </c>
      <c r="C28" t="inlineStr">
        <is>
          <t>Annan skogsbruksåtgärd</t>
        </is>
      </c>
      <c r="D28" s="1" t="n">
        <v>44852</v>
      </c>
      <c r="E28" s="1" t="n">
        <v>46281</v>
      </c>
      <c r="F28" t="inlineStr">
        <is>
          <t>STOCKHOLMS LÄN</t>
        </is>
      </c>
      <c r="G28" t="inlineStr">
        <is>
          <t>ÖSTERÅKER</t>
        </is>
      </c>
      <c r="I28" t="n">
        <v>4.1</v>
      </c>
      <c r="J28" t="n">
        <v>0</v>
      </c>
      <c r="K28" t="n">
        <v>0</v>
      </c>
      <c r="L28" t="n">
        <v>0</v>
      </c>
      <c r="M28" t="n">
        <v>0</v>
      </c>
      <c r="N28" t="n">
        <v>1</v>
      </c>
      <c r="O28" t="n">
        <v>0</v>
      </c>
      <c r="P28" t="n">
        <v>0</v>
      </c>
      <c r="Q28" t="n">
        <v>1</v>
      </c>
      <c r="R28" t="n">
        <v>1</v>
      </c>
      <c r="S28" t="n">
        <v>1</v>
      </c>
      <c r="T28" t="n">
        <v>2</v>
      </c>
      <c r="U28" t="n">
        <v>1</v>
      </c>
      <c r="V28" s="2" t="inlineStr">
        <is>
          <t>Ask</t>
        </is>
      </c>
      <c r="W28">
        <f>HYPERLINK("https://klasma.github.io/Logging_0117/artfynd/S 5861-2022 artfynd.xlsx", "S 5861-2022")</f>
        <v/>
      </c>
      <c r="X28">
        <f>HYPERLINK("https://klasma.github.io/Logging_0117/kartor/S 5861-2022 karta.png", "S 5861-2022")</f>
        <v/>
      </c>
      <c r="Y28">
        <f>HYPERLINK("https://klasma.github.io/Logging_0117/kartor_geotiff/S 5861-2022 georefererad karta.tif", "S 5861-2022")</f>
        <v/>
      </c>
      <c r="AA28">
        <f>HYPERLINK("https://klasma.github.io/Logging_0117/klagomål/S 5861-2022 FSC-klagomål.docx", "S 5861-2022")</f>
        <v/>
      </c>
      <c r="AB28">
        <f>HYPERLINK("https://klasma.github.io/Logging_0117/klagomålsmail/S 5861-2022 FSC-klagomål mail.docx", "S 5861-2022")</f>
        <v/>
      </c>
      <c r="AC28">
        <f>HYPERLINK("https://klasma.github.io/Logging_0117/tillsyn/S 5861-2022 tillsynsbegäran.docx", "S 5861-2022")</f>
        <v/>
      </c>
      <c r="AD28">
        <f>HYPERLINK("https://klasma.github.io/Logging_0117/tillsynsmail/S 5861-2022 tillsynsbegäran mail.docx", "S 5861-2022")</f>
        <v/>
      </c>
    </row>
    <row r="29" ht="15" customHeight="1">
      <c r="A29" t="inlineStr">
        <is>
          <t>S 15-2025</t>
        </is>
      </c>
      <c r="B29" t="inlineStr">
        <is>
          <t>samrådsanmälan</t>
        </is>
      </c>
      <c r="C29" t="inlineStr">
        <is>
          <t>Annan skogsbruksåtgärd</t>
        </is>
      </c>
      <c r="D29" s="1" t="n">
        <v>45660</v>
      </c>
      <c r="E29" s="1" t="n">
        <v>46281</v>
      </c>
      <c r="F29" t="inlineStr">
        <is>
          <t>STOCKHOLMS LÄN</t>
        </is>
      </c>
      <c r="G29" t="inlineStr">
        <is>
          <t>ÖSTERÅKER</t>
        </is>
      </c>
      <c r="H29" t="inlineStr">
        <is>
          <t>Övriga Aktiebolag</t>
        </is>
      </c>
      <c r="I29" t="n">
        <v>2.5</v>
      </c>
      <c r="J29" t="n">
        <v>0</v>
      </c>
      <c r="K29" t="n">
        <v>0</v>
      </c>
      <c r="L29" t="n">
        <v>0</v>
      </c>
      <c r="M29" t="n">
        <v>1</v>
      </c>
      <c r="N29" t="n">
        <v>0</v>
      </c>
      <c r="O29" t="n">
        <v>0</v>
      </c>
      <c r="P29" t="n">
        <v>0</v>
      </c>
      <c r="Q29" t="n">
        <v>1</v>
      </c>
      <c r="R29" t="n">
        <v>1</v>
      </c>
      <c r="S29" t="n">
        <v>1</v>
      </c>
      <c r="T29" t="n">
        <v>1</v>
      </c>
      <c r="U29" t="n">
        <v>1</v>
      </c>
      <c r="V29" s="2" t="inlineStr">
        <is>
          <t>Ädellav</t>
        </is>
      </c>
      <c r="W29">
        <f>HYPERLINK("https://klasma.github.io/Logging_0117/artfynd/S 15-2025 artfynd.xlsx", "S 15-2025")</f>
        <v/>
      </c>
      <c r="X29">
        <f>HYPERLINK("https://klasma.github.io/Logging_0117/kartor/S 15-2025 karta.png", "S 15-2025")</f>
        <v/>
      </c>
      <c r="Y29">
        <f>HYPERLINK("https://klasma.github.io/Logging_0117/kartor_geotiff/S 15-2025 georefererad karta.tif", "S 15-2025")</f>
        <v/>
      </c>
      <c r="AA29">
        <f>HYPERLINK("https://klasma.github.io/Logging_0117/klagomål/S 15-2025 FSC-klagomål.docx", "S 15-2025")</f>
        <v/>
      </c>
      <c r="AB29">
        <f>HYPERLINK("https://klasma.github.io/Logging_0117/klagomålsmail/S 15-2025 FSC-klagomål mail.docx", "S 15-2025")</f>
        <v/>
      </c>
      <c r="AC29">
        <f>HYPERLINK("https://klasma.github.io/Logging_0117/tillsyn/S 15-2025 tillsynsbegäran.docx", "S 15-2025")</f>
        <v/>
      </c>
      <c r="AD29">
        <f>HYPERLINK("https://klasma.github.io/Logging_0117/tillsynsmail/S 15-2025 tillsynsbegäran mail.docx", "S 15-2025")</f>
        <v/>
      </c>
    </row>
    <row r="30" ht="15" customHeight="1">
      <c r="A30" t="inlineStr">
        <is>
          <t>A 2148-2022</t>
        </is>
      </c>
      <c r="B30" t="inlineStr">
        <is>
          <t>avverkningsanmälan</t>
        </is>
      </c>
      <c r="C30" t="inlineStr">
        <is>
          <t>Föryngringsavverkning</t>
        </is>
      </c>
      <c r="D30" s="1" t="n">
        <v>44575</v>
      </c>
      <c r="E30" s="1" t="n">
        <v>46281</v>
      </c>
      <c r="F30" t="inlineStr">
        <is>
          <t>STOCKHOLMS LÄN</t>
        </is>
      </c>
      <c r="G30" t="inlineStr">
        <is>
          <t>ÖSTERÅKER</t>
        </is>
      </c>
      <c r="H30" t="inlineStr">
        <is>
          <t>Övriga Aktiebolag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1910-2022</t>
        </is>
      </c>
      <c r="B31" t="inlineStr">
        <is>
          <t>avverkningsanmälan</t>
        </is>
      </c>
      <c r="C31" t="inlineStr">
        <is>
          <t>Föryngringsavverkning</t>
        </is>
      </c>
      <c r="D31" s="1" t="n">
        <v>44575</v>
      </c>
      <c r="E31" s="1" t="n">
        <v>46281</v>
      </c>
      <c r="F31" t="inlineStr">
        <is>
          <t>STOCKHOLMS LÄN</t>
        </is>
      </c>
      <c r="G31" t="inlineStr">
        <is>
          <t>ÖSTERÅKER</t>
        </is>
      </c>
      <c r="H31" t="inlineStr">
        <is>
          <t>Övriga Aktiebolag</t>
        </is>
      </c>
      <c r="I31" t="n">
        <v>2.6</v>
      </c>
      <c r="J31" t="n">
        <v>0</v>
      </c>
      <c r="K31" t="n">
        <v>0</v>
      </c>
      <c r="L31" t="n">
        <v>0</v>
      </c>
      <c r="M31" t="n">
        <v>0</v>
      </c>
      <c r="N31" t="n">
        <v>0</v>
      </c>
      <c r="O31" t="n">
        <v>0</v>
      </c>
      <c r="P31" t="n">
        <v>0</v>
      </c>
      <c r="Q31" t="n">
        <v>0</v>
      </c>
      <c r="R31" t="n">
        <v>0</v>
      </c>
      <c r="S31" t="n">
        <v>0</v>
      </c>
      <c r="T31" t="n">
        <v>0</v>
      </c>
      <c r="U31" t="n">
        <v>0</v>
      </c>
      <c r="V31" s="2" t="inlineStr"/>
    </row>
    <row r="32" ht="15" customHeight="1">
      <c r="A32" t="inlineStr">
        <is>
          <t>A 72508-2021</t>
        </is>
      </c>
      <c r="B32" t="inlineStr">
        <is>
          <t>avverkningsanmälan</t>
        </is>
      </c>
      <c r="C32" t="inlineStr">
        <is>
          <t>Föryngringsavverkning</t>
        </is>
      </c>
      <c r="D32" s="1" t="n">
        <v>44544</v>
      </c>
      <c r="E32" s="1" t="n">
        <v>46281</v>
      </c>
      <c r="F32" t="inlineStr">
        <is>
          <t>STOCKHOLMS LÄN</t>
        </is>
      </c>
      <c r="G32" t="inlineStr">
        <is>
          <t>ÖSTERÅKER</t>
        </is>
      </c>
      <c r="H32" t="inlineStr">
        <is>
          <t>Övriga Aktiebolag</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15131-2022</t>
        </is>
      </c>
      <c r="B33" t="inlineStr">
        <is>
          <t>avverkningsanmälan</t>
        </is>
      </c>
      <c r="C33" t="inlineStr">
        <is>
          <t>Föryngringsavverkning</t>
        </is>
      </c>
      <c r="D33" s="1" t="n">
        <v>44658</v>
      </c>
      <c r="E33" s="1" t="n">
        <v>46281</v>
      </c>
      <c r="F33" t="inlineStr">
        <is>
          <t>STOCKHOLMS LÄN</t>
        </is>
      </c>
      <c r="G33" t="inlineStr">
        <is>
          <t>ÖSTERÅKER</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19934-2022</t>
        </is>
      </c>
      <c r="B34" t="inlineStr">
        <is>
          <t>avverkningsanmälan</t>
        </is>
      </c>
      <c r="C34" t="inlineStr">
        <is>
          <t>Föryngringsavverkning</t>
        </is>
      </c>
      <c r="D34" s="1" t="n">
        <v>44697</v>
      </c>
      <c r="E34" s="1" t="n">
        <v>46281</v>
      </c>
      <c r="F34" t="inlineStr">
        <is>
          <t>STOCKHOLMS LÄN</t>
        </is>
      </c>
      <c r="G34" t="inlineStr">
        <is>
          <t>ÖSTERÅKER</t>
        </is>
      </c>
      <c r="I34" t="n">
        <v>0.3</v>
      </c>
      <c r="J34" t="n">
        <v>0</v>
      </c>
      <c r="K34" t="n">
        <v>0</v>
      </c>
      <c r="L34" t="n">
        <v>0</v>
      </c>
      <c r="M34" t="n">
        <v>0</v>
      </c>
      <c r="N34" t="n">
        <v>0</v>
      </c>
      <c r="O34" t="n">
        <v>0</v>
      </c>
      <c r="P34" t="n">
        <v>0</v>
      </c>
      <c r="Q34" t="n">
        <v>0</v>
      </c>
      <c r="R34" t="n">
        <v>0</v>
      </c>
      <c r="S34" t="n">
        <v>0</v>
      </c>
      <c r="T34" t="n">
        <v>0</v>
      </c>
      <c r="U34" t="n">
        <v>0</v>
      </c>
      <c r="V34" s="2" t="inlineStr"/>
    </row>
    <row r="35" ht="15" customHeight="1">
      <c r="A35" t="inlineStr">
        <is>
          <t>A 19944-2022</t>
        </is>
      </c>
      <c r="B35" t="inlineStr">
        <is>
          <t>avverkningsanmälan</t>
        </is>
      </c>
      <c r="C35" t="inlineStr">
        <is>
          <t>Föryngringsavverkning</t>
        </is>
      </c>
      <c r="D35" s="1" t="n">
        <v>44697</v>
      </c>
      <c r="E35" s="1" t="n">
        <v>46281</v>
      </c>
      <c r="F35" t="inlineStr">
        <is>
          <t>STOCKHOLMS LÄN</t>
        </is>
      </c>
      <c r="G35" t="inlineStr">
        <is>
          <t>ÖSTERÅKER</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865-2022</t>
        </is>
      </c>
      <c r="B36" t="inlineStr">
        <is>
          <t>avverkningsanmälan</t>
        </is>
      </c>
      <c r="C36" t="inlineStr">
        <is>
          <t>Föryngringsavverkning</t>
        </is>
      </c>
      <c r="D36" s="1" t="n">
        <v>44569</v>
      </c>
      <c r="E36" s="1" t="n">
        <v>46281</v>
      </c>
      <c r="F36" t="inlineStr">
        <is>
          <t>STOCKHOLMS LÄN</t>
        </is>
      </c>
      <c r="G36" t="inlineStr">
        <is>
          <t>ÖSTERÅKER</t>
        </is>
      </c>
      <c r="H36" t="inlineStr">
        <is>
          <t>Övriga Aktiebolag</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838-2022</t>
        </is>
      </c>
      <c r="B37" t="inlineStr">
        <is>
          <t>avverkningsanmälan</t>
        </is>
      </c>
      <c r="C37" t="inlineStr">
        <is>
          <t>Föryngringsavverkning</t>
        </is>
      </c>
      <c r="D37" s="1" t="n">
        <v>44569</v>
      </c>
      <c r="E37" s="1" t="n">
        <v>46281</v>
      </c>
      <c r="F37" t="inlineStr">
        <is>
          <t>STOCKHOLMS LÄN</t>
        </is>
      </c>
      <c r="G37" t="inlineStr">
        <is>
          <t>ÖSTERÅKER</t>
        </is>
      </c>
      <c r="H37" t="inlineStr">
        <is>
          <t>Övriga Aktiebolag</t>
        </is>
      </c>
      <c r="I37" t="n">
        <v>4.9</v>
      </c>
      <c r="J37" t="n">
        <v>0</v>
      </c>
      <c r="K37" t="n">
        <v>0</v>
      </c>
      <c r="L37" t="n">
        <v>0</v>
      </c>
      <c r="M37" t="n">
        <v>0</v>
      </c>
      <c r="N37" t="n">
        <v>0</v>
      </c>
      <c r="O37" t="n">
        <v>0</v>
      </c>
      <c r="P37" t="n">
        <v>0</v>
      </c>
      <c r="Q37" t="n">
        <v>0</v>
      </c>
      <c r="R37" t="n">
        <v>0</v>
      </c>
      <c r="S37" t="n">
        <v>0</v>
      </c>
      <c r="T37" t="n">
        <v>0</v>
      </c>
      <c r="U37" t="n">
        <v>0</v>
      </c>
      <c r="V37" s="2" t="inlineStr"/>
    </row>
    <row r="38" ht="15" customHeight="1">
      <c r="A38" t="inlineStr">
        <is>
          <t>A 28405-2022</t>
        </is>
      </c>
      <c r="B38" t="inlineStr">
        <is>
          <t>avverkningsanmälan</t>
        </is>
      </c>
      <c r="C38" t="inlineStr">
        <is>
          <t>Föryngringsavverkning</t>
        </is>
      </c>
      <c r="D38" s="1" t="n">
        <v>44747</v>
      </c>
      <c r="E38" s="1" t="n">
        <v>46281</v>
      </c>
      <c r="F38" t="inlineStr">
        <is>
          <t>STOCKHOLMS LÄN</t>
        </is>
      </c>
      <c r="G38" t="inlineStr">
        <is>
          <t>ÖSTERÅKER</t>
        </is>
      </c>
      <c r="I38" t="n">
        <v>1.9</v>
      </c>
      <c r="J38" t="n">
        <v>0</v>
      </c>
      <c r="K38" t="n">
        <v>0</v>
      </c>
      <c r="L38" t="n">
        <v>0</v>
      </c>
      <c r="M38" t="n">
        <v>0</v>
      </c>
      <c r="N38" t="n">
        <v>0</v>
      </c>
      <c r="O38" t="n">
        <v>0</v>
      </c>
      <c r="P38" t="n">
        <v>0</v>
      </c>
      <c r="Q38" t="n">
        <v>0</v>
      </c>
      <c r="R38" t="n">
        <v>0</v>
      </c>
      <c r="S38" t="n">
        <v>0</v>
      </c>
      <c r="T38" t="n">
        <v>0</v>
      </c>
      <c r="U38" t="n">
        <v>0</v>
      </c>
      <c r="V38" s="2" t="inlineStr"/>
    </row>
    <row r="39" ht="15" customHeight="1">
      <c r="A39" t="inlineStr">
        <is>
          <t>A 17173-2022</t>
        </is>
      </c>
      <c r="B39" t="inlineStr">
        <is>
          <t>avverkningsanmälan</t>
        </is>
      </c>
      <c r="C39" t="inlineStr">
        <is>
          <t>Föryngringsavverkning</t>
        </is>
      </c>
      <c r="D39" s="1" t="n">
        <v>44677</v>
      </c>
      <c r="E39" s="1" t="n">
        <v>46281</v>
      </c>
      <c r="F39" t="inlineStr">
        <is>
          <t>STOCKHOLMS LÄN</t>
        </is>
      </c>
      <c r="G39" t="inlineStr">
        <is>
          <t>ÖSTERÅKER</t>
        </is>
      </c>
      <c r="I39" t="n">
        <v>2.8</v>
      </c>
      <c r="J39" t="n">
        <v>0</v>
      </c>
      <c r="K39" t="n">
        <v>0</v>
      </c>
      <c r="L39" t="n">
        <v>0</v>
      </c>
      <c r="M39" t="n">
        <v>0</v>
      </c>
      <c r="N39" t="n">
        <v>0</v>
      </c>
      <c r="O39" t="n">
        <v>0</v>
      </c>
      <c r="P39" t="n">
        <v>0</v>
      </c>
      <c r="Q39" t="n">
        <v>0</v>
      </c>
      <c r="R39" t="n">
        <v>0</v>
      </c>
      <c r="S39" t="n">
        <v>0</v>
      </c>
      <c r="T39" t="n">
        <v>0</v>
      </c>
      <c r="U39" t="n">
        <v>0</v>
      </c>
      <c r="V39" s="2" t="inlineStr"/>
    </row>
    <row r="40" ht="15" customHeight="1">
      <c r="A40" t="inlineStr">
        <is>
          <t>A 10082-2022</t>
        </is>
      </c>
      <c r="B40" t="inlineStr">
        <is>
          <t>avverkningsanmälan</t>
        </is>
      </c>
      <c r="C40" t="inlineStr">
        <is>
          <t>Föryngringsavverkning</t>
        </is>
      </c>
      <c r="D40" s="1" t="n">
        <v>44621</v>
      </c>
      <c r="E40" s="1" t="n">
        <v>46281</v>
      </c>
      <c r="F40" t="inlineStr">
        <is>
          <t>STOCKHOLMS LÄN</t>
        </is>
      </c>
      <c r="G40" t="inlineStr">
        <is>
          <t>ÖSTERÅKER</t>
        </is>
      </c>
      <c r="I40" t="n">
        <v>6</v>
      </c>
      <c r="J40" t="n">
        <v>0</v>
      </c>
      <c r="K40" t="n">
        <v>0</v>
      </c>
      <c r="L40" t="n">
        <v>0</v>
      </c>
      <c r="M40" t="n">
        <v>0</v>
      </c>
      <c r="N40" t="n">
        <v>0</v>
      </c>
      <c r="O40" t="n">
        <v>0</v>
      </c>
      <c r="P40" t="n">
        <v>0</v>
      </c>
      <c r="Q40" t="n">
        <v>0</v>
      </c>
      <c r="R40" t="n">
        <v>0</v>
      </c>
      <c r="S40" t="n">
        <v>0</v>
      </c>
      <c r="T40" t="n">
        <v>0</v>
      </c>
      <c r="U40" t="n">
        <v>0</v>
      </c>
      <c r="V40" s="2" t="inlineStr"/>
    </row>
    <row r="41" ht="15" customHeight="1">
      <c r="A41" t="inlineStr">
        <is>
          <t>A 28964-2022</t>
        </is>
      </c>
      <c r="B41" t="inlineStr">
        <is>
          <t>avverkningsanmälan</t>
        </is>
      </c>
      <c r="C41" t="inlineStr">
        <is>
          <t>Föryngringsavverkning</t>
        </is>
      </c>
      <c r="D41" s="1" t="n">
        <v>44749</v>
      </c>
      <c r="E41" s="1" t="n">
        <v>46281</v>
      </c>
      <c r="F41" t="inlineStr">
        <is>
          <t>STOCKHOLMS LÄN</t>
        </is>
      </c>
      <c r="G41" t="inlineStr">
        <is>
          <t>ÖSTERÅKER</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18091-2022</t>
        </is>
      </c>
      <c r="B42" t="inlineStr">
        <is>
          <t>avverkningsanmälan</t>
        </is>
      </c>
      <c r="C42" t="inlineStr">
        <is>
          <t>Föryngringsavverkning</t>
        </is>
      </c>
      <c r="D42" s="1" t="n">
        <v>44684</v>
      </c>
      <c r="E42" s="1" t="n">
        <v>46281</v>
      </c>
      <c r="F42" t="inlineStr">
        <is>
          <t>STOCKHOLMS LÄN</t>
        </is>
      </c>
      <c r="G42" t="inlineStr">
        <is>
          <t>ÖSTERÅKER</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59379-2022</t>
        </is>
      </c>
      <c r="B43" t="inlineStr">
        <is>
          <t>avverkningsanmälan</t>
        </is>
      </c>
      <c r="C43" t="inlineStr">
        <is>
          <t>Föryngringsavverkning</t>
        </is>
      </c>
      <c r="D43" s="1" t="n">
        <v>44905</v>
      </c>
      <c r="E43" s="1" t="n">
        <v>46281</v>
      </c>
      <c r="F43" t="inlineStr">
        <is>
          <t>STOCKHOLMS LÄN</t>
        </is>
      </c>
      <c r="G43" t="inlineStr">
        <is>
          <t>ÖSTERÅKER</t>
        </is>
      </c>
      <c r="H43" t="inlineStr">
        <is>
          <t>Kommuner</t>
        </is>
      </c>
      <c r="I43" t="n">
        <v>4.7</v>
      </c>
      <c r="J43" t="n">
        <v>0</v>
      </c>
      <c r="K43" t="n">
        <v>0</v>
      </c>
      <c r="L43" t="n">
        <v>0</v>
      </c>
      <c r="M43" t="n">
        <v>0</v>
      </c>
      <c r="N43" t="n">
        <v>0</v>
      </c>
      <c r="O43" t="n">
        <v>0</v>
      </c>
      <c r="P43" t="n">
        <v>0</v>
      </c>
      <c r="Q43" t="n">
        <v>0</v>
      </c>
      <c r="R43" t="n">
        <v>0</v>
      </c>
      <c r="S43" t="n">
        <v>0</v>
      </c>
      <c r="T43" t="n">
        <v>0</v>
      </c>
      <c r="U43" t="n">
        <v>0</v>
      </c>
      <c r="V43" s="2" t="inlineStr"/>
    </row>
    <row r="44" ht="15" customHeight="1">
      <c r="A44" t="inlineStr">
        <is>
          <t>A 28399-2022</t>
        </is>
      </c>
      <c r="B44" t="inlineStr">
        <is>
          <t>avverkningsanmälan</t>
        </is>
      </c>
      <c r="C44" t="inlineStr">
        <is>
          <t>Föryngringsavverkning</t>
        </is>
      </c>
      <c r="D44" s="1" t="n">
        <v>44747</v>
      </c>
      <c r="E44" s="1" t="n">
        <v>46281</v>
      </c>
      <c r="F44" t="inlineStr">
        <is>
          <t>STOCKHOLMS LÄN</t>
        </is>
      </c>
      <c r="G44" t="inlineStr">
        <is>
          <t>ÖSTERÅKER</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10185-2025</t>
        </is>
      </c>
      <c r="B45" t="inlineStr">
        <is>
          <t>avverkningsanmälan</t>
        </is>
      </c>
      <c r="C45" t="inlineStr">
        <is>
          <t>Föryngringsavverkning</t>
        </is>
      </c>
      <c r="D45" s="1" t="n">
        <v>45719</v>
      </c>
      <c r="E45" s="1" t="n">
        <v>46281</v>
      </c>
      <c r="F45" t="inlineStr">
        <is>
          <t>STOCKHOLMS LÄN</t>
        </is>
      </c>
      <c r="G45" t="inlineStr">
        <is>
          <t>ÖSTERÅKER</t>
        </is>
      </c>
      <c r="I45" t="n">
        <v>4.1</v>
      </c>
      <c r="J45" t="n">
        <v>0</v>
      </c>
      <c r="K45" t="n">
        <v>0</v>
      </c>
      <c r="L45" t="n">
        <v>0</v>
      </c>
      <c r="M45" t="n">
        <v>0</v>
      </c>
      <c r="N45" t="n">
        <v>0</v>
      </c>
      <c r="O45" t="n">
        <v>0</v>
      </c>
      <c r="P45" t="n">
        <v>0</v>
      </c>
      <c r="Q45" t="n">
        <v>0</v>
      </c>
      <c r="R45" t="n">
        <v>0</v>
      </c>
      <c r="S45" t="n">
        <v>0</v>
      </c>
      <c r="T45" t="n">
        <v>0</v>
      </c>
      <c r="U45" t="n">
        <v>0</v>
      </c>
      <c r="V45" s="2" t="inlineStr"/>
    </row>
    <row r="46" ht="15" customHeight="1">
      <c r="A46" t="inlineStr">
        <is>
          <t>A 46688-2022</t>
        </is>
      </c>
      <c r="B46" t="inlineStr">
        <is>
          <t>avverkningsanmälan</t>
        </is>
      </c>
      <c r="C46" t="inlineStr">
        <is>
          <t>Föryngringsavverkning</t>
        </is>
      </c>
      <c r="D46" s="1" t="n">
        <v>44851</v>
      </c>
      <c r="E46" s="1" t="n">
        <v>46281</v>
      </c>
      <c r="F46" t="inlineStr">
        <is>
          <t>STOCKHOLMS LÄN</t>
        </is>
      </c>
      <c r="G46" t="inlineStr">
        <is>
          <t>ÖSTERÅKER</t>
        </is>
      </c>
      <c r="I46" t="n">
        <v>2</v>
      </c>
      <c r="J46" t="n">
        <v>0</v>
      </c>
      <c r="K46" t="n">
        <v>0</v>
      </c>
      <c r="L46" t="n">
        <v>0</v>
      </c>
      <c r="M46" t="n">
        <v>0</v>
      </c>
      <c r="N46" t="n">
        <v>0</v>
      </c>
      <c r="O46" t="n">
        <v>0</v>
      </c>
      <c r="P46" t="n">
        <v>0</v>
      </c>
      <c r="Q46" t="n">
        <v>0</v>
      </c>
      <c r="R46" t="n">
        <v>0</v>
      </c>
      <c r="S46" t="n">
        <v>0</v>
      </c>
      <c r="T46" t="n">
        <v>0</v>
      </c>
      <c r="U46" t="n">
        <v>0</v>
      </c>
      <c r="V46" s="2" t="inlineStr"/>
    </row>
    <row r="47" ht="15" customHeight="1">
      <c r="A47" t="inlineStr">
        <is>
          <t>A 16728-2022</t>
        </is>
      </c>
      <c r="B47" t="inlineStr">
        <is>
          <t>avverkningsanmälan</t>
        </is>
      </c>
      <c r="C47" t="inlineStr">
        <is>
          <t>Föryngringsavverkning</t>
        </is>
      </c>
      <c r="D47" s="1" t="n">
        <v>44673</v>
      </c>
      <c r="E47" s="1" t="n">
        <v>46281</v>
      </c>
      <c r="F47" t="inlineStr">
        <is>
          <t>STOCKHOLMS LÄN</t>
        </is>
      </c>
      <c r="G47" t="inlineStr">
        <is>
          <t>ÖSTERÅKER</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14776-2024</t>
        </is>
      </c>
      <c r="B48" t="inlineStr">
        <is>
          <t>avverkningsanmälan</t>
        </is>
      </c>
      <c r="C48" t="inlineStr">
        <is>
          <t>Föryngringsavverkning</t>
        </is>
      </c>
      <c r="D48" s="1" t="n">
        <v>45397</v>
      </c>
      <c r="E48" s="1" t="n">
        <v>46281</v>
      </c>
      <c r="F48" t="inlineStr">
        <is>
          <t>STOCKHOLMS LÄN</t>
        </is>
      </c>
      <c r="G48" t="inlineStr">
        <is>
          <t>ÖSTERÅKER</t>
        </is>
      </c>
      <c r="I48" t="n">
        <v>13.6</v>
      </c>
      <c r="J48" t="n">
        <v>0</v>
      </c>
      <c r="K48" t="n">
        <v>0</v>
      </c>
      <c r="L48" t="n">
        <v>0</v>
      </c>
      <c r="M48" t="n">
        <v>0</v>
      </c>
      <c r="N48" t="n">
        <v>0</v>
      </c>
      <c r="O48" t="n">
        <v>0</v>
      </c>
      <c r="P48" t="n">
        <v>0</v>
      </c>
      <c r="Q48" t="n">
        <v>0</v>
      </c>
      <c r="R48" t="n">
        <v>0</v>
      </c>
      <c r="S48" t="n">
        <v>0</v>
      </c>
      <c r="T48" t="n">
        <v>0</v>
      </c>
      <c r="U48" t="n">
        <v>0</v>
      </c>
      <c r="V48" s="2" t="inlineStr"/>
    </row>
    <row r="49" ht="15" customHeight="1">
      <c r="A49" t="inlineStr">
        <is>
          <t>A 28143-2024</t>
        </is>
      </c>
      <c r="B49" t="inlineStr">
        <is>
          <t>avverkningsanmälan</t>
        </is>
      </c>
      <c r="C49" t="inlineStr">
        <is>
          <t>Föryngringsavverkning</t>
        </is>
      </c>
      <c r="D49" s="1" t="n">
        <v>45476</v>
      </c>
      <c r="E49" s="1" t="n">
        <v>46281</v>
      </c>
      <c r="F49" t="inlineStr">
        <is>
          <t>STOCKHOLMS LÄN</t>
        </is>
      </c>
      <c r="G49" t="inlineStr">
        <is>
          <t>ÖSTERÅKER</t>
        </is>
      </c>
      <c r="H49" t="inlineStr">
        <is>
          <t>Övriga Aktiebolag</t>
        </is>
      </c>
      <c r="I49" t="n">
        <v>2.2</v>
      </c>
      <c r="J49" t="n">
        <v>0</v>
      </c>
      <c r="K49" t="n">
        <v>0</v>
      </c>
      <c r="L49" t="n">
        <v>0</v>
      </c>
      <c r="M49" t="n">
        <v>0</v>
      </c>
      <c r="N49" t="n">
        <v>0</v>
      </c>
      <c r="O49" t="n">
        <v>0</v>
      </c>
      <c r="P49" t="n">
        <v>0</v>
      </c>
      <c r="Q49" t="n">
        <v>0</v>
      </c>
      <c r="R49" t="n">
        <v>0</v>
      </c>
      <c r="S49" t="n">
        <v>0</v>
      </c>
      <c r="T49" t="n">
        <v>0</v>
      </c>
      <c r="U49" t="n">
        <v>0</v>
      </c>
      <c r="V49" s="2" t="inlineStr"/>
    </row>
    <row r="50" ht="15" customHeight="1">
      <c r="A50" t="inlineStr">
        <is>
          <t>A 12345-2026</t>
        </is>
      </c>
      <c r="B50" t="inlineStr">
        <is>
          <t>avverkningsanmälan</t>
        </is>
      </c>
      <c r="C50" t="inlineStr">
        <is>
          <t>Föryngringsavverkning</t>
        </is>
      </c>
      <c r="D50" s="1" t="n">
        <v>46087</v>
      </c>
      <c r="E50" s="1" t="n">
        <v>46281</v>
      </c>
      <c r="F50" t="inlineStr">
        <is>
          <t>STOCKHOLMS LÄN</t>
        </is>
      </c>
      <c r="G50" t="inlineStr">
        <is>
          <t>ÖSTERÅKER</t>
        </is>
      </c>
      <c r="H50" t="inlineStr">
        <is>
          <t>Övriga Aktiebolag</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28146-2024</t>
        </is>
      </c>
      <c r="B51" t="inlineStr">
        <is>
          <t>avverkningsanmälan</t>
        </is>
      </c>
      <c r="C51" t="inlineStr">
        <is>
          <t>Föryngringsavverkning</t>
        </is>
      </c>
      <c r="D51" s="1" t="n">
        <v>45476</v>
      </c>
      <c r="E51" s="1" t="n">
        <v>46281</v>
      </c>
      <c r="F51" t="inlineStr">
        <is>
          <t>STOCKHOLMS LÄN</t>
        </is>
      </c>
      <c r="G51" t="inlineStr">
        <is>
          <t>ÖSTERÅKER</t>
        </is>
      </c>
      <c r="H51" t="inlineStr">
        <is>
          <t>Övriga Aktiebolag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22528-2024</t>
        </is>
      </c>
      <c r="B52" t="inlineStr">
        <is>
          <t>avverkningsanmälan</t>
        </is>
      </c>
      <c r="C52" t="inlineStr">
        <is>
          <t>Föryngringsavverkning</t>
        </is>
      </c>
      <c r="D52" s="1" t="n">
        <v>45447</v>
      </c>
      <c r="E52" s="1" t="n">
        <v>46281</v>
      </c>
      <c r="F52" t="inlineStr">
        <is>
          <t>STOCKHOLMS LÄN</t>
        </is>
      </c>
      <c r="G52" t="inlineStr">
        <is>
          <t>ÖSTERÅKER</t>
        </is>
      </c>
      <c r="H52" t="inlineStr">
        <is>
          <t>Övriga Aktiebolag</t>
        </is>
      </c>
      <c r="I52" t="n">
        <v>1.4</v>
      </c>
      <c r="J52" t="n">
        <v>0</v>
      </c>
      <c r="K52" t="n">
        <v>0</v>
      </c>
      <c r="L52" t="n">
        <v>0</v>
      </c>
      <c r="M52" t="n">
        <v>0</v>
      </c>
      <c r="N52" t="n">
        <v>0</v>
      </c>
      <c r="O52" t="n">
        <v>0</v>
      </c>
      <c r="P52" t="n">
        <v>0</v>
      </c>
      <c r="Q52" t="n">
        <v>0</v>
      </c>
      <c r="R52" t="n">
        <v>0</v>
      </c>
      <c r="S52" t="n">
        <v>0</v>
      </c>
      <c r="T52" t="n">
        <v>0</v>
      </c>
      <c r="U52" t="n">
        <v>0</v>
      </c>
      <c r="V52" s="2" t="inlineStr"/>
    </row>
    <row r="53" ht="15" customHeight="1">
      <c r="A53" t="inlineStr">
        <is>
          <t>A 16803-2022</t>
        </is>
      </c>
      <c r="B53" t="inlineStr">
        <is>
          <t>avverkningsanmälan</t>
        </is>
      </c>
      <c r="C53" t="inlineStr">
        <is>
          <t>Föryngringsavverkning</t>
        </is>
      </c>
      <c r="D53" s="1" t="n">
        <v>44673</v>
      </c>
      <c r="E53" s="1" t="n">
        <v>46281</v>
      </c>
      <c r="F53" t="inlineStr">
        <is>
          <t>STOCKHOLMS LÄN</t>
        </is>
      </c>
      <c r="G53" t="inlineStr">
        <is>
          <t>ÖSTERÅKER</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61710-2022</t>
        </is>
      </c>
      <c r="B54" t="inlineStr">
        <is>
          <t>avverkningsanmälan</t>
        </is>
      </c>
      <c r="C54" t="inlineStr">
        <is>
          <t>Föryngringsavverkning</t>
        </is>
      </c>
      <c r="D54" s="1" t="n">
        <v>44917</v>
      </c>
      <c r="E54" s="1" t="n">
        <v>46281</v>
      </c>
      <c r="F54" t="inlineStr">
        <is>
          <t>STOCKHOLMS LÄN</t>
        </is>
      </c>
      <c r="G54" t="inlineStr">
        <is>
          <t>ÖSTERÅKER</t>
        </is>
      </c>
      <c r="I54" t="n">
        <v>6.2</v>
      </c>
      <c r="J54" t="n">
        <v>0</v>
      </c>
      <c r="K54" t="n">
        <v>0</v>
      </c>
      <c r="L54" t="n">
        <v>0</v>
      </c>
      <c r="M54" t="n">
        <v>0</v>
      </c>
      <c r="N54" t="n">
        <v>0</v>
      </c>
      <c r="O54" t="n">
        <v>0</v>
      </c>
      <c r="P54" t="n">
        <v>0</v>
      </c>
      <c r="Q54" t="n">
        <v>0</v>
      </c>
      <c r="R54" t="n">
        <v>0</v>
      </c>
      <c r="S54" t="n">
        <v>0</v>
      </c>
      <c r="T54" t="n">
        <v>0</v>
      </c>
      <c r="U54" t="n">
        <v>0</v>
      </c>
      <c r="V54" s="2" t="inlineStr"/>
    </row>
    <row r="55" ht="15" customHeight="1">
      <c r="A55" t="inlineStr">
        <is>
          <t>A 61370-2022</t>
        </is>
      </c>
      <c r="B55" t="inlineStr">
        <is>
          <t>avverkningsanmälan</t>
        </is>
      </c>
      <c r="C55" t="inlineStr">
        <is>
          <t>Föryngringsavverkning</t>
        </is>
      </c>
      <c r="D55" s="1" t="n">
        <v>44915</v>
      </c>
      <c r="E55" s="1" t="n">
        <v>46281</v>
      </c>
      <c r="F55" t="inlineStr">
        <is>
          <t>STOCKHOLMS LÄN</t>
        </is>
      </c>
      <c r="G55" t="inlineStr">
        <is>
          <t>ÖSTERÅKER</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17353-2025</t>
        </is>
      </c>
      <c r="B56" t="inlineStr">
        <is>
          <t>avverkningsanmälan</t>
        </is>
      </c>
      <c r="C56" t="inlineStr">
        <is>
          <t>Föryngringsavverkning</t>
        </is>
      </c>
      <c r="D56" s="1" t="n">
        <v>45756</v>
      </c>
      <c r="E56" s="1" t="n">
        <v>46281</v>
      </c>
      <c r="F56" t="inlineStr">
        <is>
          <t>STOCKHOLMS LÄN</t>
        </is>
      </c>
      <c r="G56" t="inlineStr">
        <is>
          <t>ÖSTERÅKER</t>
        </is>
      </c>
      <c r="H56" t="inlineStr">
        <is>
          <t>Övriga Aktiebolag</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21796-2025</t>
        </is>
      </c>
      <c r="B57" t="inlineStr">
        <is>
          <t>avverkningsanmälan</t>
        </is>
      </c>
      <c r="C57" t="inlineStr">
        <is>
          <t>Föryngringsavverkning</t>
        </is>
      </c>
      <c r="D57" s="1" t="n">
        <v>45783</v>
      </c>
      <c r="E57" s="1" t="n">
        <v>46281</v>
      </c>
      <c r="F57" t="inlineStr">
        <is>
          <t>STOCKHOLMS LÄN</t>
        </is>
      </c>
      <c r="G57" t="inlineStr">
        <is>
          <t>ÖSTERÅKER</t>
        </is>
      </c>
      <c r="I57" t="n">
        <v>2.5</v>
      </c>
      <c r="J57" t="n">
        <v>0</v>
      </c>
      <c r="K57" t="n">
        <v>0</v>
      </c>
      <c r="L57" t="n">
        <v>0</v>
      </c>
      <c r="M57" t="n">
        <v>0</v>
      </c>
      <c r="N57" t="n">
        <v>0</v>
      </c>
      <c r="O57" t="n">
        <v>0</v>
      </c>
      <c r="P57" t="n">
        <v>0</v>
      </c>
      <c r="Q57" t="n">
        <v>0</v>
      </c>
      <c r="R57" t="n">
        <v>0</v>
      </c>
      <c r="S57" t="n">
        <v>0</v>
      </c>
      <c r="T57" t="n">
        <v>0</v>
      </c>
      <c r="U57" t="n">
        <v>0</v>
      </c>
      <c r="V57" s="2" t="inlineStr"/>
    </row>
    <row r="58" ht="15" customHeight="1">
      <c r="A58" t="inlineStr">
        <is>
          <t>A 52220-2025</t>
        </is>
      </c>
      <c r="B58" t="inlineStr">
        <is>
          <t>avverkningsanmälan</t>
        </is>
      </c>
      <c r="C58" t="inlineStr">
        <is>
          <t>Avverkning för annat ändamål</t>
        </is>
      </c>
      <c r="D58" s="1" t="n">
        <v>45953</v>
      </c>
      <c r="E58" s="1" t="n">
        <v>46281</v>
      </c>
      <c r="F58" t="inlineStr">
        <is>
          <t>STOCKHOLMS LÄN</t>
        </is>
      </c>
      <c r="G58" t="inlineStr">
        <is>
          <t>ÖSTERÅKER</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3917-2023</t>
        </is>
      </c>
      <c r="B59" t="inlineStr">
        <is>
          <t>avverkningsanmälan</t>
        </is>
      </c>
      <c r="C59" t="inlineStr">
        <is>
          <t>Föryngringsavverkning</t>
        </is>
      </c>
      <c r="D59" s="1" t="n">
        <v>44952</v>
      </c>
      <c r="E59" s="1" t="n">
        <v>46281</v>
      </c>
      <c r="F59" t="inlineStr">
        <is>
          <t>STOCKHOLMS LÄN</t>
        </is>
      </c>
      <c r="G59" t="inlineStr">
        <is>
          <t>ÖSTERÅKER</t>
        </is>
      </c>
      <c r="H59" t="inlineStr">
        <is>
          <t>Kommuner</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60482-2025</t>
        </is>
      </c>
      <c r="B60" t="inlineStr">
        <is>
          <t>avverkningsanmälan</t>
        </is>
      </c>
      <c r="C60" t="inlineStr">
        <is>
          <t>Föryngringsavverkning</t>
        </is>
      </c>
      <c r="D60" s="1" t="n">
        <v>45995</v>
      </c>
      <c r="E60" s="1" t="n">
        <v>46281</v>
      </c>
      <c r="F60" t="inlineStr">
        <is>
          <t>STOCKHOLMS LÄN</t>
        </is>
      </c>
      <c r="G60" t="inlineStr">
        <is>
          <t>ÖSTERÅKER</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18711-2023</t>
        </is>
      </c>
      <c r="B61" t="inlineStr">
        <is>
          <t>avverkningsanmälan</t>
        </is>
      </c>
      <c r="C61" t="inlineStr">
        <is>
          <t>Föryngringsavverkning</t>
        </is>
      </c>
      <c r="D61" s="1" t="n">
        <v>45043</v>
      </c>
      <c r="E61" s="1" t="n">
        <v>46281</v>
      </c>
      <c r="F61" t="inlineStr">
        <is>
          <t>STOCKHOLMS LÄN</t>
        </is>
      </c>
      <c r="G61" t="inlineStr">
        <is>
          <t>ÖSTERÅKER</t>
        </is>
      </c>
      <c r="I61" t="n">
        <v>3</v>
      </c>
      <c r="J61" t="n">
        <v>0</v>
      </c>
      <c r="K61" t="n">
        <v>0</v>
      </c>
      <c r="L61" t="n">
        <v>0</v>
      </c>
      <c r="M61" t="n">
        <v>0</v>
      </c>
      <c r="N61" t="n">
        <v>0</v>
      </c>
      <c r="O61" t="n">
        <v>0</v>
      </c>
      <c r="P61" t="n">
        <v>0</v>
      </c>
      <c r="Q61" t="n">
        <v>0</v>
      </c>
      <c r="R61" t="n">
        <v>0</v>
      </c>
      <c r="S61" t="n">
        <v>0</v>
      </c>
      <c r="T61" t="n">
        <v>0</v>
      </c>
      <c r="U61" t="n">
        <v>0</v>
      </c>
      <c r="V61" s="2" t="inlineStr"/>
    </row>
    <row r="62" ht="15" customHeight="1">
      <c r="A62" t="inlineStr">
        <is>
          <t>A 34713-2025</t>
        </is>
      </c>
      <c r="B62" t="inlineStr">
        <is>
          <t>avverkningsanmälan</t>
        </is>
      </c>
      <c r="C62" t="inlineStr">
        <is>
          <t>Föryngringsavverkning</t>
        </is>
      </c>
      <c r="D62" s="1" t="n">
        <v>45848</v>
      </c>
      <c r="E62" s="1" t="n">
        <v>46281</v>
      </c>
      <c r="F62" t="inlineStr">
        <is>
          <t>STOCKHOLMS LÄN</t>
        </is>
      </c>
      <c r="G62" t="inlineStr">
        <is>
          <t>ÖSTERÅKER</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3817-2023</t>
        </is>
      </c>
      <c r="B63" t="inlineStr">
        <is>
          <t>avverkningsanmälan</t>
        </is>
      </c>
      <c r="C63" t="inlineStr">
        <is>
          <t>Föryngringsavverkning</t>
        </is>
      </c>
      <c r="D63" s="1" t="n">
        <v>44951</v>
      </c>
      <c r="E63" s="1" t="n">
        <v>46281</v>
      </c>
      <c r="F63" t="inlineStr">
        <is>
          <t>STOCKHOLMS LÄN</t>
        </is>
      </c>
      <c r="G63" t="inlineStr">
        <is>
          <t>ÖSTERÅKER</t>
        </is>
      </c>
      <c r="H63" t="inlineStr">
        <is>
          <t>Kommuner</t>
        </is>
      </c>
      <c r="I63" t="n">
        <v>4.7</v>
      </c>
      <c r="J63" t="n">
        <v>0</v>
      </c>
      <c r="K63" t="n">
        <v>0</v>
      </c>
      <c r="L63" t="n">
        <v>0</v>
      </c>
      <c r="M63" t="n">
        <v>0</v>
      </c>
      <c r="N63" t="n">
        <v>0</v>
      </c>
      <c r="O63" t="n">
        <v>0</v>
      </c>
      <c r="P63" t="n">
        <v>0</v>
      </c>
      <c r="Q63" t="n">
        <v>0</v>
      </c>
      <c r="R63" t="n">
        <v>0</v>
      </c>
      <c r="S63" t="n">
        <v>0</v>
      </c>
      <c r="T63" t="n">
        <v>0</v>
      </c>
      <c r="U63" t="n">
        <v>0</v>
      </c>
      <c r="V63" s="2" t="inlineStr"/>
    </row>
    <row r="64" ht="15" customHeight="1">
      <c r="A64" t="inlineStr">
        <is>
          <t>A 3828-2023</t>
        </is>
      </c>
      <c r="B64" t="inlineStr">
        <is>
          <t>avverkningsanmälan</t>
        </is>
      </c>
      <c r="C64" t="inlineStr">
        <is>
          <t>Föryngringsavverkning</t>
        </is>
      </c>
      <c r="D64" s="1" t="n">
        <v>44951</v>
      </c>
      <c r="E64" s="1" t="n">
        <v>46281</v>
      </c>
      <c r="F64" t="inlineStr">
        <is>
          <t>STOCKHOLMS LÄN</t>
        </is>
      </c>
      <c r="G64" t="inlineStr">
        <is>
          <t>ÖSTERÅKER</t>
        </is>
      </c>
      <c r="H64" t="inlineStr">
        <is>
          <t>Kommuner</t>
        </is>
      </c>
      <c r="I64" t="n">
        <v>3.2</v>
      </c>
      <c r="J64" t="n">
        <v>0</v>
      </c>
      <c r="K64" t="n">
        <v>0</v>
      </c>
      <c r="L64" t="n">
        <v>0</v>
      </c>
      <c r="M64" t="n">
        <v>0</v>
      </c>
      <c r="N64" t="n">
        <v>0</v>
      </c>
      <c r="O64" t="n">
        <v>0</v>
      </c>
      <c r="P64" t="n">
        <v>0</v>
      </c>
      <c r="Q64" t="n">
        <v>0</v>
      </c>
      <c r="R64" t="n">
        <v>0</v>
      </c>
      <c r="S64" t="n">
        <v>0</v>
      </c>
      <c r="T64" t="n">
        <v>0</v>
      </c>
      <c r="U64" t="n">
        <v>0</v>
      </c>
      <c r="V64" s="2" t="inlineStr"/>
    </row>
    <row r="65" ht="15" customHeight="1">
      <c r="A65" t="inlineStr">
        <is>
          <t>A 23144-2024</t>
        </is>
      </c>
      <c r="B65" t="inlineStr">
        <is>
          <t>avverkningsanmälan</t>
        </is>
      </c>
      <c r="C65" t="inlineStr">
        <is>
          <t>Föryngringsavverkning</t>
        </is>
      </c>
      <c r="D65" s="1" t="n">
        <v>45450</v>
      </c>
      <c r="E65" s="1" t="n">
        <v>46281</v>
      </c>
      <c r="F65" t="inlineStr">
        <is>
          <t>STOCKHOLMS LÄN</t>
        </is>
      </c>
      <c r="G65" t="inlineStr">
        <is>
          <t>ÖSTERÅKER</t>
        </is>
      </c>
      <c r="H65" t="inlineStr">
        <is>
          <t>Övriga Aktiebolag</t>
        </is>
      </c>
      <c r="I65" t="n">
        <v>4.7</v>
      </c>
      <c r="J65" t="n">
        <v>0</v>
      </c>
      <c r="K65" t="n">
        <v>0</v>
      </c>
      <c r="L65" t="n">
        <v>0</v>
      </c>
      <c r="M65" t="n">
        <v>0</v>
      </c>
      <c r="N65" t="n">
        <v>0</v>
      </c>
      <c r="O65" t="n">
        <v>0</v>
      </c>
      <c r="P65" t="n">
        <v>0</v>
      </c>
      <c r="Q65" t="n">
        <v>0</v>
      </c>
      <c r="R65" t="n">
        <v>0</v>
      </c>
      <c r="S65" t="n">
        <v>0</v>
      </c>
      <c r="T65" t="n">
        <v>0</v>
      </c>
      <c r="U65" t="n">
        <v>0</v>
      </c>
      <c r="V65" s="2" t="inlineStr"/>
    </row>
    <row r="66" ht="15" customHeight="1">
      <c r="A66" t="inlineStr">
        <is>
          <t>A 17263-2022</t>
        </is>
      </c>
      <c r="B66" t="inlineStr">
        <is>
          <t>avverkningsanmälan</t>
        </is>
      </c>
      <c r="C66" t="inlineStr">
        <is>
          <t>Föryngringsavverkning</t>
        </is>
      </c>
      <c r="D66" s="1" t="n">
        <v>44678</v>
      </c>
      <c r="E66" s="1" t="n">
        <v>46281</v>
      </c>
      <c r="F66" t="inlineStr">
        <is>
          <t>STOCKHOLMS LÄN</t>
        </is>
      </c>
      <c r="G66" t="inlineStr">
        <is>
          <t>ÖSTERÅKER</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544-2023</t>
        </is>
      </c>
      <c r="B67" t="inlineStr">
        <is>
          <t>avverkningsanmälan</t>
        </is>
      </c>
      <c r="C67" t="inlineStr">
        <is>
          <t>Avverkning för annat ändamål</t>
        </is>
      </c>
      <c r="D67" s="1" t="n">
        <v>44924</v>
      </c>
      <c r="E67" s="1" t="n">
        <v>46281</v>
      </c>
      <c r="F67" t="inlineStr">
        <is>
          <t>STOCKHOLMS LÄN</t>
        </is>
      </c>
      <c r="G67" t="inlineStr">
        <is>
          <t>ÖSTERÅKER</t>
        </is>
      </c>
      <c r="H67" t="inlineStr">
        <is>
          <t>Övriga Aktiebolag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34038-2025</t>
        </is>
      </c>
      <c r="B68" t="inlineStr">
        <is>
          <t>avverkningsanmälan</t>
        </is>
      </c>
      <c r="C68" t="inlineStr">
        <is>
          <t>Föryngringsavverkning</t>
        </is>
      </c>
      <c r="D68" s="1" t="n">
        <v>45842</v>
      </c>
      <c r="E68" s="1" t="n">
        <v>46281</v>
      </c>
      <c r="F68" t="inlineStr">
        <is>
          <t>STOCKHOLMS LÄN</t>
        </is>
      </c>
      <c r="G68" t="inlineStr">
        <is>
          <t>ÖSTERÅKER</t>
        </is>
      </c>
      <c r="H68" t="inlineStr">
        <is>
          <t>Övriga Aktiebolag</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24499-2023</t>
        </is>
      </c>
      <c r="B69" t="inlineStr">
        <is>
          <t>avverkningsanmälan</t>
        </is>
      </c>
      <c r="C69" t="inlineStr">
        <is>
          <t>Föryngringsavverkning</t>
        </is>
      </c>
      <c r="D69" s="1" t="n">
        <v>45082</v>
      </c>
      <c r="E69" s="1" t="n">
        <v>46281</v>
      </c>
      <c r="F69" t="inlineStr">
        <is>
          <t>STOCKHOLMS LÄN</t>
        </is>
      </c>
      <c r="G69" t="inlineStr">
        <is>
          <t>ÖSTERÅKER</t>
        </is>
      </c>
      <c r="I69" t="n">
        <v>0.1</v>
      </c>
      <c r="J69" t="n">
        <v>0</v>
      </c>
      <c r="K69" t="n">
        <v>0</v>
      </c>
      <c r="L69" t="n">
        <v>0</v>
      </c>
      <c r="M69" t="n">
        <v>0</v>
      </c>
      <c r="N69" t="n">
        <v>0</v>
      </c>
      <c r="O69" t="n">
        <v>0</v>
      </c>
      <c r="P69" t="n">
        <v>0</v>
      </c>
      <c r="Q69" t="n">
        <v>0</v>
      </c>
      <c r="R69" t="n">
        <v>0</v>
      </c>
      <c r="S69" t="n">
        <v>0</v>
      </c>
      <c r="T69" t="n">
        <v>0</v>
      </c>
      <c r="U69" t="n">
        <v>0</v>
      </c>
      <c r="V69" s="2" t="inlineStr"/>
    </row>
    <row r="70" ht="15" customHeight="1">
      <c r="A70" t="inlineStr">
        <is>
          <t>A 23198-2026</t>
        </is>
      </c>
      <c r="B70" t="inlineStr">
        <is>
          <t>avverkningsanmälan</t>
        </is>
      </c>
      <c r="C70" t="inlineStr">
        <is>
          <t>Avverkning för annat ändamål</t>
        </is>
      </c>
      <c r="D70" s="1" t="n">
        <v>46161</v>
      </c>
      <c r="E70" s="1" t="n">
        <v>46281</v>
      </c>
      <c r="F70" t="inlineStr">
        <is>
          <t>STOCKHOLMS LÄN</t>
        </is>
      </c>
      <c r="G70" t="inlineStr">
        <is>
          <t>ÖSTERÅKER</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470-2022</t>
        </is>
      </c>
      <c r="B71" t="inlineStr">
        <is>
          <t>avverkningsanmälan</t>
        </is>
      </c>
      <c r="C71" t="inlineStr">
        <is>
          <t>Föryngringsavverkning</t>
        </is>
      </c>
      <c r="D71" s="1" t="n">
        <v>44565</v>
      </c>
      <c r="E71" s="1" t="n">
        <v>46281</v>
      </c>
      <c r="F71" t="inlineStr">
        <is>
          <t>STOCKHOLMS LÄN</t>
        </is>
      </c>
      <c r="G71" t="inlineStr">
        <is>
          <t>ÖSTERÅKER</t>
        </is>
      </c>
      <c r="H71" t="inlineStr">
        <is>
          <t>Övriga Aktiebolag</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9865-2025</t>
        </is>
      </c>
      <c r="B72" t="inlineStr">
        <is>
          <t>avverkningsanmälan</t>
        </is>
      </c>
      <c r="C72" t="inlineStr">
        <is>
          <t>Föryngringsavverkning</t>
        </is>
      </c>
      <c r="D72" s="1" t="n">
        <v>45716</v>
      </c>
      <c r="E72" s="1" t="n">
        <v>46281</v>
      </c>
      <c r="F72" t="inlineStr">
        <is>
          <t>STOCKHOLMS LÄN</t>
        </is>
      </c>
      <c r="G72" t="inlineStr">
        <is>
          <t>ÖSTERÅKER</t>
        </is>
      </c>
      <c r="I72" t="n">
        <v>7</v>
      </c>
      <c r="J72" t="n">
        <v>0</v>
      </c>
      <c r="K72" t="n">
        <v>0</v>
      </c>
      <c r="L72" t="n">
        <v>0</v>
      </c>
      <c r="M72" t="n">
        <v>0</v>
      </c>
      <c r="N72" t="n">
        <v>0</v>
      </c>
      <c r="O72" t="n">
        <v>0</v>
      </c>
      <c r="P72" t="n">
        <v>0</v>
      </c>
      <c r="Q72" t="n">
        <v>0</v>
      </c>
      <c r="R72" t="n">
        <v>0</v>
      </c>
      <c r="S72" t="n">
        <v>0</v>
      </c>
      <c r="T72" t="n">
        <v>0</v>
      </c>
      <c r="U72" t="n">
        <v>0</v>
      </c>
      <c r="V72" s="2" t="inlineStr"/>
    </row>
    <row r="73" ht="15" customHeight="1">
      <c r="A73" t="inlineStr">
        <is>
          <t>A 5038-2026</t>
        </is>
      </c>
      <c r="B73" t="inlineStr">
        <is>
          <t>avverkningsanmälan</t>
        </is>
      </c>
      <c r="C73" t="inlineStr">
        <is>
          <t>Föryngringsavverkning</t>
        </is>
      </c>
      <c r="D73" s="1" t="n">
        <v>46049</v>
      </c>
      <c r="E73" s="1" t="n">
        <v>46281</v>
      </c>
      <c r="F73" t="inlineStr">
        <is>
          <t>STOCKHOLMS LÄN</t>
        </is>
      </c>
      <c r="G73" t="inlineStr">
        <is>
          <t>ÖSTERÅKER</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17196-2022</t>
        </is>
      </c>
      <c r="B74" t="inlineStr">
        <is>
          <t>avverkningsanmälan</t>
        </is>
      </c>
      <c r="C74" t="inlineStr">
        <is>
          <t>Föryngringsavverkning</t>
        </is>
      </c>
      <c r="D74" s="1" t="n">
        <v>44677</v>
      </c>
      <c r="E74" s="1" t="n">
        <v>46281</v>
      </c>
      <c r="F74" t="inlineStr">
        <is>
          <t>STOCKHOLMS LÄN</t>
        </is>
      </c>
      <c r="G74" t="inlineStr">
        <is>
          <t>ÖSTERÅKER</t>
        </is>
      </c>
      <c r="I74" t="n">
        <v>5.9</v>
      </c>
      <c r="J74" t="n">
        <v>0</v>
      </c>
      <c r="K74" t="n">
        <v>0</v>
      </c>
      <c r="L74" t="n">
        <v>0</v>
      </c>
      <c r="M74" t="n">
        <v>0</v>
      </c>
      <c r="N74" t="n">
        <v>0</v>
      </c>
      <c r="O74" t="n">
        <v>0</v>
      </c>
      <c r="P74" t="n">
        <v>0</v>
      </c>
      <c r="Q74" t="n">
        <v>0</v>
      </c>
      <c r="R74" t="n">
        <v>0</v>
      </c>
      <c r="S74" t="n">
        <v>0</v>
      </c>
      <c r="T74" t="n">
        <v>0</v>
      </c>
      <c r="U74" t="n">
        <v>0</v>
      </c>
      <c r="V74" s="2" t="inlineStr"/>
    </row>
    <row r="75" ht="15" customHeight="1">
      <c r="A75" t="inlineStr">
        <is>
          <t>A 33158-2024</t>
        </is>
      </c>
      <c r="B75" t="inlineStr">
        <is>
          <t>avverkningsanmälan</t>
        </is>
      </c>
      <c r="C75" t="inlineStr">
        <is>
          <t>Avverkning för annat ändamål</t>
        </is>
      </c>
      <c r="D75" s="1" t="n">
        <v>45518</v>
      </c>
      <c r="E75" s="1" t="n">
        <v>46281</v>
      </c>
      <c r="F75" t="inlineStr">
        <is>
          <t>STOCKHOLMS LÄN</t>
        </is>
      </c>
      <c r="G75" t="inlineStr">
        <is>
          <t>ÖSTERÅKER</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26249-2026</t>
        </is>
      </c>
      <c r="B76" t="inlineStr">
        <is>
          <t>avverkningsanmälan</t>
        </is>
      </c>
      <c r="C76" t="inlineStr">
        <is>
          <t>Avverkning för annat ändamål</t>
        </is>
      </c>
      <c r="D76" s="1" t="n">
        <v>46182</v>
      </c>
      <c r="E76" s="1" t="n">
        <v>46281</v>
      </c>
      <c r="F76" t="inlineStr">
        <is>
          <t>STOCKHOLMS LÄN</t>
        </is>
      </c>
      <c r="G76" t="inlineStr">
        <is>
          <t>ÖSTERÅKER</t>
        </is>
      </c>
      <c r="I76" t="n">
        <v>4.9</v>
      </c>
      <c r="J76" t="n">
        <v>0</v>
      </c>
      <c r="K76" t="n">
        <v>0</v>
      </c>
      <c r="L76" t="n">
        <v>0</v>
      </c>
      <c r="M76" t="n">
        <v>0</v>
      </c>
      <c r="N76" t="n">
        <v>0</v>
      </c>
      <c r="O76" t="n">
        <v>0</v>
      </c>
      <c r="P76" t="n">
        <v>0</v>
      </c>
      <c r="Q76" t="n">
        <v>0</v>
      </c>
      <c r="R76" t="n">
        <v>0</v>
      </c>
      <c r="S76" t="n">
        <v>0</v>
      </c>
      <c r="T76" t="n">
        <v>0</v>
      </c>
      <c r="U76" t="n">
        <v>0</v>
      </c>
      <c r="V76" s="2" t="inlineStr"/>
    </row>
    <row r="77" ht="15" customHeight="1">
      <c r="A77" t="inlineStr">
        <is>
          <t>A 13366-2024</t>
        </is>
      </c>
      <c r="B77" t="inlineStr">
        <is>
          <t>avverkningsanmälan</t>
        </is>
      </c>
      <c r="C77" t="inlineStr">
        <is>
          <t>Föryngringsavverkning</t>
        </is>
      </c>
      <c r="D77" s="1" t="n">
        <v>45387</v>
      </c>
      <c r="E77" s="1" t="n">
        <v>46281</v>
      </c>
      <c r="F77" t="inlineStr">
        <is>
          <t>STOCKHOLMS LÄN</t>
        </is>
      </c>
      <c r="G77" t="inlineStr">
        <is>
          <t>ÖSTERÅKER</t>
        </is>
      </c>
      <c r="I77" t="n">
        <v>13.7</v>
      </c>
      <c r="J77" t="n">
        <v>0</v>
      </c>
      <c r="K77" t="n">
        <v>0</v>
      </c>
      <c r="L77" t="n">
        <v>0</v>
      </c>
      <c r="M77" t="n">
        <v>0</v>
      </c>
      <c r="N77" t="n">
        <v>0</v>
      </c>
      <c r="O77" t="n">
        <v>0</v>
      </c>
      <c r="P77" t="n">
        <v>0</v>
      </c>
      <c r="Q77" t="n">
        <v>0</v>
      </c>
      <c r="R77" t="n">
        <v>0</v>
      </c>
      <c r="S77" t="n">
        <v>0</v>
      </c>
      <c r="T77" t="n">
        <v>0</v>
      </c>
      <c r="U77" t="n">
        <v>0</v>
      </c>
      <c r="V77" s="2" t="inlineStr"/>
    </row>
    <row r="78" ht="15" customHeight="1">
      <c r="A78" t="inlineStr">
        <is>
          <t>A 61360-2022</t>
        </is>
      </c>
      <c r="B78" t="inlineStr">
        <is>
          <t>avverkningsanmälan</t>
        </is>
      </c>
      <c r="C78" t="inlineStr">
        <is>
          <t>Föryngringsavverkning</t>
        </is>
      </c>
      <c r="D78" s="1" t="n">
        <v>44915</v>
      </c>
      <c r="E78" s="1" t="n">
        <v>46281</v>
      </c>
      <c r="F78" t="inlineStr">
        <is>
          <t>STOCKHOLMS LÄN</t>
        </is>
      </c>
      <c r="G78" t="inlineStr">
        <is>
          <t>ÖSTERÅKER</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62108-2022</t>
        </is>
      </c>
      <c r="B79" t="inlineStr">
        <is>
          <t>avverkningsanmälan</t>
        </is>
      </c>
      <c r="C79" t="inlineStr">
        <is>
          <t>Föryngringsavverkning</t>
        </is>
      </c>
      <c r="D79" s="1" t="n">
        <v>44920</v>
      </c>
      <c r="E79" s="1" t="n">
        <v>46281</v>
      </c>
      <c r="F79" t="inlineStr">
        <is>
          <t>STOCKHOLMS LÄN</t>
        </is>
      </c>
      <c r="G79" t="inlineStr">
        <is>
          <t>ÖSTERÅKER</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1603-2023</t>
        </is>
      </c>
      <c r="B80" t="inlineStr">
        <is>
          <t>avverkningsanmälan</t>
        </is>
      </c>
      <c r="C80" t="inlineStr">
        <is>
          <t>Föryngringsavverkning</t>
        </is>
      </c>
      <c r="D80" s="1" t="n">
        <v>44937</v>
      </c>
      <c r="E80" s="1" t="n">
        <v>46281</v>
      </c>
      <c r="F80" t="inlineStr">
        <is>
          <t>STOCKHOLMS LÄN</t>
        </is>
      </c>
      <c r="G80" t="inlineStr">
        <is>
          <t>ÖSTERÅKER</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1605-2023</t>
        </is>
      </c>
      <c r="B81" t="inlineStr">
        <is>
          <t>avverkningsanmälan</t>
        </is>
      </c>
      <c r="C81" t="inlineStr">
        <is>
          <t>Föryngringsavverkning</t>
        </is>
      </c>
      <c r="D81" s="1" t="n">
        <v>44937</v>
      </c>
      <c r="E81" s="1" t="n">
        <v>46281</v>
      </c>
      <c r="F81" t="inlineStr">
        <is>
          <t>STOCKHOLMS LÄN</t>
        </is>
      </c>
      <c r="G81" t="inlineStr">
        <is>
          <t>ÖSTERÅKER</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6655-2023</t>
        </is>
      </c>
      <c r="B82" t="inlineStr">
        <is>
          <t>avverkningsanmälan</t>
        </is>
      </c>
      <c r="C82" t="inlineStr">
        <is>
          <t>Föryngringsavverkning</t>
        </is>
      </c>
      <c r="D82" s="1" t="n">
        <v>44966</v>
      </c>
      <c r="E82" s="1" t="n">
        <v>46281</v>
      </c>
      <c r="F82" t="inlineStr">
        <is>
          <t>STOCKHOLMS LÄN</t>
        </is>
      </c>
      <c r="G82" t="inlineStr">
        <is>
          <t>ÖSTERÅKER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29443-2026</t>
        </is>
      </c>
      <c r="B83" t="inlineStr">
        <is>
          <t>avverkningsanmälan</t>
        </is>
      </c>
      <c r="C83" t="inlineStr">
        <is>
          <t>Föryngringsavverkning</t>
        </is>
      </c>
      <c r="D83" s="1" t="n">
        <v>46203</v>
      </c>
      <c r="E83" s="1" t="n">
        <v>46281</v>
      </c>
      <c r="F83" t="inlineStr">
        <is>
          <t>STOCKHOLMS LÄN</t>
        </is>
      </c>
      <c r="G83" t="inlineStr">
        <is>
          <t>ÖSTERÅKER</t>
        </is>
      </c>
      <c r="I83" t="n">
        <v>13.8</v>
      </c>
      <c r="J83" t="n">
        <v>0</v>
      </c>
      <c r="K83" t="n">
        <v>0</v>
      </c>
      <c r="L83" t="n">
        <v>0</v>
      </c>
      <c r="M83" t="n">
        <v>0</v>
      </c>
      <c r="N83" t="n">
        <v>0</v>
      </c>
      <c r="O83" t="n">
        <v>0</v>
      </c>
      <c r="P83" t="n">
        <v>0</v>
      </c>
      <c r="Q83" t="n">
        <v>0</v>
      </c>
      <c r="R83" t="n">
        <v>0</v>
      </c>
      <c r="S83" t="n">
        <v>0</v>
      </c>
      <c r="T83" t="n">
        <v>0</v>
      </c>
      <c r="U83" t="n">
        <v>0</v>
      </c>
      <c r="V83" s="2" t="inlineStr"/>
    </row>
    <row r="84" ht="15" customHeight="1">
      <c r="A84" t="inlineStr">
        <is>
          <t>A 31134-2023</t>
        </is>
      </c>
      <c r="B84" t="inlineStr">
        <is>
          <t>avverkningsanmälan</t>
        </is>
      </c>
      <c r="C84" t="inlineStr">
        <is>
          <t>Föryngringsavverkning</t>
        </is>
      </c>
      <c r="D84" s="1" t="n">
        <v>45113</v>
      </c>
      <c r="E84" s="1" t="n">
        <v>46281</v>
      </c>
      <c r="F84" t="inlineStr">
        <is>
          <t>STOCKHOLMS LÄN</t>
        </is>
      </c>
      <c r="G84" t="inlineStr">
        <is>
          <t>ÖSTERÅKER</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57048-2024</t>
        </is>
      </c>
      <c r="B85" t="inlineStr">
        <is>
          <t>avverkningsanmälan</t>
        </is>
      </c>
      <c r="C85" t="inlineStr">
        <is>
          <t>Föryngringsavverkning</t>
        </is>
      </c>
      <c r="D85" s="1" t="n">
        <v>45629</v>
      </c>
      <c r="E85" s="1" t="n">
        <v>46281</v>
      </c>
      <c r="F85" t="inlineStr">
        <is>
          <t>STOCKHOLMS LÄN</t>
        </is>
      </c>
      <c r="G85" t="inlineStr">
        <is>
          <t>ÖSTERÅKER</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57055-2024</t>
        </is>
      </c>
      <c r="B86" t="inlineStr">
        <is>
          <t>avverkningsanmälan</t>
        </is>
      </c>
      <c r="C86" t="inlineStr">
        <is>
          <t>Föryngringsavverkning</t>
        </is>
      </c>
      <c r="D86" s="1" t="n">
        <v>45629</v>
      </c>
      <c r="E86" s="1" t="n">
        <v>46281</v>
      </c>
      <c r="F86" t="inlineStr">
        <is>
          <t>STOCKHOLMS LÄN</t>
        </is>
      </c>
      <c r="G86" t="inlineStr">
        <is>
          <t>ÖSTERÅKER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3326-2022</t>
        </is>
      </c>
      <c r="B87" t="inlineStr">
        <is>
          <t>avverkningsanmälan</t>
        </is>
      </c>
      <c r="C87" t="inlineStr">
        <is>
          <t>Föryngringsavverkning</t>
        </is>
      </c>
      <c r="D87" s="1" t="n">
        <v>44583</v>
      </c>
      <c r="E87" s="1" t="n">
        <v>46281</v>
      </c>
      <c r="F87" t="inlineStr">
        <is>
          <t>STOCKHOLMS LÄN</t>
        </is>
      </c>
      <c r="G87" t="inlineStr">
        <is>
          <t>ÖSTERÅKER</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30599-2026</t>
        </is>
      </c>
      <c r="B88" t="inlineStr">
        <is>
          <t>avverkningsanmälan</t>
        </is>
      </c>
      <c r="C88" t="inlineStr">
        <is>
          <t>Föryngringsavverkning</t>
        </is>
      </c>
      <c r="D88" s="1" t="n">
        <v>46210</v>
      </c>
      <c r="E88" s="1" t="n">
        <v>46281</v>
      </c>
      <c r="F88" t="inlineStr">
        <is>
          <t>STOCKHOLMS LÄN</t>
        </is>
      </c>
      <c r="G88" t="inlineStr">
        <is>
          <t>ÖSTERÅKER</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56909-2024</t>
        </is>
      </c>
      <c r="B89" t="inlineStr">
        <is>
          <t>avverkningsanmälan</t>
        </is>
      </c>
      <c r="C89" t="inlineStr">
        <is>
          <t>Avverkning för att bevara och utveckla /försöksver</t>
        </is>
      </c>
      <c r="D89" s="1" t="n">
        <v>45628</v>
      </c>
      <c r="E89" s="1" t="n">
        <v>46281</v>
      </c>
      <c r="F89" t="inlineStr">
        <is>
          <t>STOCKHOLMS LÄN</t>
        </is>
      </c>
      <c r="G89" t="inlineStr">
        <is>
          <t>ÖSTERÅKER</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31149-2026</t>
        </is>
      </c>
      <c r="B90" t="inlineStr">
        <is>
          <t>avverkningsanmälan</t>
        </is>
      </c>
      <c r="C90" t="inlineStr">
        <is>
          <t>Föryngringsavverkning</t>
        </is>
      </c>
      <c r="D90" s="1" t="n">
        <v>46216</v>
      </c>
      <c r="E90" s="1" t="n">
        <v>46281</v>
      </c>
      <c r="F90" t="inlineStr">
        <is>
          <t>STOCKHOLMS LÄN</t>
        </is>
      </c>
      <c r="G90" t="inlineStr">
        <is>
          <t>ÖSTERÅKER</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31156-2026</t>
        </is>
      </c>
      <c r="B91" t="inlineStr">
        <is>
          <t>avverkningsanmälan</t>
        </is>
      </c>
      <c r="C91" t="inlineStr">
        <is>
          <t>Föryngringsavverkning</t>
        </is>
      </c>
      <c r="D91" s="1" t="n">
        <v>46216</v>
      </c>
      <c r="E91" s="1" t="n">
        <v>46281</v>
      </c>
      <c r="F91" t="inlineStr">
        <is>
          <t>STOCKHOLMS LÄN</t>
        </is>
      </c>
      <c r="G91" t="inlineStr">
        <is>
          <t>ÖSTERÅKER</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31146-2026</t>
        </is>
      </c>
      <c r="B92" t="inlineStr">
        <is>
          <t>avverkningsanmälan</t>
        </is>
      </c>
      <c r="C92" t="inlineStr">
        <is>
          <t>Föryngringsavverkning</t>
        </is>
      </c>
      <c r="D92" s="1" t="n">
        <v>46216</v>
      </c>
      <c r="E92" s="1" t="n">
        <v>46281</v>
      </c>
      <c r="F92" t="inlineStr">
        <is>
          <t>STOCKHOLMS LÄN</t>
        </is>
      </c>
      <c r="G92" t="inlineStr">
        <is>
          <t>ÖSTERÅKER</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31154-2026</t>
        </is>
      </c>
      <c r="B93" t="inlineStr">
        <is>
          <t>avverkningsanmälan</t>
        </is>
      </c>
      <c r="C93" t="inlineStr">
        <is>
          <t>Föryngringsavverkning</t>
        </is>
      </c>
      <c r="D93" s="1" t="n">
        <v>46216</v>
      </c>
      <c r="E93" s="1" t="n">
        <v>46281</v>
      </c>
      <c r="F93" t="inlineStr">
        <is>
          <t>STOCKHOLMS LÄN</t>
        </is>
      </c>
      <c r="G93" t="inlineStr">
        <is>
          <t>ÖSTERÅKER</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16738-2022</t>
        </is>
      </c>
      <c r="B94" t="inlineStr">
        <is>
          <t>avverkningsanmälan</t>
        </is>
      </c>
      <c r="C94" t="inlineStr">
        <is>
          <t>Avverkning för annat ändamål</t>
        </is>
      </c>
      <c r="D94" s="1" t="n">
        <v>44673</v>
      </c>
      <c r="E94" s="1" t="n">
        <v>46281</v>
      </c>
      <c r="F94" t="inlineStr">
        <is>
          <t>STOCKHOLMS LÄN</t>
        </is>
      </c>
      <c r="G94" t="inlineStr">
        <is>
          <t>ÖSTERÅKER</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5286-2025</t>
        </is>
      </c>
      <c r="B95" t="inlineStr">
        <is>
          <t>avverkningsanmälan</t>
        </is>
      </c>
      <c r="C95" t="inlineStr">
        <is>
          <t>Föryngringsavverkning</t>
        </is>
      </c>
      <c r="D95" s="1" t="n">
        <v>45692</v>
      </c>
      <c r="E95" s="1" t="n">
        <v>46281</v>
      </c>
      <c r="F95" t="inlineStr">
        <is>
          <t>STOCKHOLMS LÄN</t>
        </is>
      </c>
      <c r="G95" t="inlineStr">
        <is>
          <t>ÖSTERÅKER</t>
        </is>
      </c>
      <c r="I95" t="n">
        <v>11.2</v>
      </c>
      <c r="J95" t="n">
        <v>0</v>
      </c>
      <c r="K95" t="n">
        <v>0</v>
      </c>
      <c r="L95" t="n">
        <v>0</v>
      </c>
      <c r="M95" t="n">
        <v>0</v>
      </c>
      <c r="N95" t="n">
        <v>0</v>
      </c>
      <c r="O95" t="n">
        <v>0</v>
      </c>
      <c r="P95" t="n">
        <v>0</v>
      </c>
      <c r="Q95" t="n">
        <v>0</v>
      </c>
      <c r="R95" t="n">
        <v>0</v>
      </c>
      <c r="S95" t="n">
        <v>0</v>
      </c>
      <c r="T95" t="n">
        <v>0</v>
      </c>
      <c r="U95" t="n">
        <v>0</v>
      </c>
      <c r="V95" s="2" t="inlineStr"/>
    </row>
    <row r="96" ht="15" customHeight="1">
      <c r="A96" t="inlineStr">
        <is>
          <t>A 1136-2023</t>
        </is>
      </c>
      <c r="B96" t="inlineStr">
        <is>
          <t>avverkningsanmälan</t>
        </is>
      </c>
      <c r="C96" t="inlineStr">
        <is>
          <t>Avverkning för annat ändamål</t>
        </is>
      </c>
      <c r="D96" s="1" t="n">
        <v>44935</v>
      </c>
      <c r="E96" s="1" t="n">
        <v>46281</v>
      </c>
      <c r="F96" t="inlineStr">
        <is>
          <t>STOCKHOLMS LÄN</t>
        </is>
      </c>
      <c r="G96" t="inlineStr">
        <is>
          <t>ÖSTERÅKER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39394-2023</t>
        </is>
      </c>
      <c r="B97" t="inlineStr">
        <is>
          <t>avverkningsanmälan</t>
        </is>
      </c>
      <c r="C97" t="inlineStr">
        <is>
          <t>Föryngringsavverkning</t>
        </is>
      </c>
      <c r="D97" s="1" t="n">
        <v>45166</v>
      </c>
      <c r="E97" s="1" t="n">
        <v>46281</v>
      </c>
      <c r="F97" t="inlineStr">
        <is>
          <t>STOCKHOLMS LÄN</t>
        </is>
      </c>
      <c r="G97" t="inlineStr">
        <is>
          <t>ÖSTERÅKER</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845-2024</t>
        </is>
      </c>
      <c r="B98" t="inlineStr">
        <is>
          <t>avverkningsanmälan</t>
        </is>
      </c>
      <c r="C98" t="inlineStr">
        <is>
          <t>Föryngringsavverkning</t>
        </is>
      </c>
      <c r="D98" s="1" t="n">
        <v>45300</v>
      </c>
      <c r="E98" s="1" t="n">
        <v>46281</v>
      </c>
      <c r="F98" t="inlineStr">
        <is>
          <t>STOCKHOLMS LÄN</t>
        </is>
      </c>
      <c r="G98" t="inlineStr">
        <is>
          <t>ÖSTERÅKER</t>
        </is>
      </c>
      <c r="I98" t="n">
        <v>10.1</v>
      </c>
      <c r="J98" t="n">
        <v>0</v>
      </c>
      <c r="K98" t="n">
        <v>0</v>
      </c>
      <c r="L98" t="n">
        <v>0</v>
      </c>
      <c r="M98" t="n">
        <v>0</v>
      </c>
      <c r="N98" t="n">
        <v>0</v>
      </c>
      <c r="O98" t="n">
        <v>0</v>
      </c>
      <c r="P98" t="n">
        <v>0</v>
      </c>
      <c r="Q98" t="n">
        <v>0</v>
      </c>
      <c r="R98" t="n">
        <v>0</v>
      </c>
      <c r="S98" t="n">
        <v>0</v>
      </c>
      <c r="T98" t="n">
        <v>0</v>
      </c>
      <c r="U98" t="n">
        <v>0</v>
      </c>
      <c r="V98" s="2" t="inlineStr"/>
    </row>
    <row r="99" ht="15" customHeight="1">
      <c r="A99" t="inlineStr">
        <is>
          <t>A 37037-2023</t>
        </is>
      </c>
      <c r="B99" t="inlineStr">
        <is>
          <t>avverkningsanmälan</t>
        </is>
      </c>
      <c r="C99" t="inlineStr">
        <is>
          <t>Föryngringsavverkning</t>
        </is>
      </c>
      <c r="D99" s="1" t="n">
        <v>45155</v>
      </c>
      <c r="E99" s="1" t="n">
        <v>46281</v>
      </c>
      <c r="F99" t="inlineStr">
        <is>
          <t>STOCKHOLMS LÄN</t>
        </is>
      </c>
      <c r="G99" t="inlineStr">
        <is>
          <t>ÖSTERÅKER</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27137-2025</t>
        </is>
      </c>
      <c r="B100" t="inlineStr">
        <is>
          <t>avverkningsanmälan</t>
        </is>
      </c>
      <c r="C100" t="inlineStr">
        <is>
          <t>Föryngringsavverkning</t>
        </is>
      </c>
      <c r="D100" s="1" t="n">
        <v>45811</v>
      </c>
      <c r="E100" s="1" t="n">
        <v>46281</v>
      </c>
      <c r="F100" t="inlineStr">
        <is>
          <t>STOCKHOLMS LÄN</t>
        </is>
      </c>
      <c r="G100" t="inlineStr">
        <is>
          <t>ÖSTERÅKER</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34034-2025</t>
        </is>
      </c>
      <c r="B101" t="inlineStr">
        <is>
          <t>avverkningsanmälan</t>
        </is>
      </c>
      <c r="C101" t="inlineStr">
        <is>
          <t>Föryngringsavverkning</t>
        </is>
      </c>
      <c r="D101" s="1" t="n">
        <v>45842</v>
      </c>
      <c r="E101" s="1" t="n">
        <v>46281</v>
      </c>
      <c r="F101" t="inlineStr">
        <is>
          <t>STOCKHOLMS LÄN</t>
        </is>
      </c>
      <c r="G101" t="inlineStr">
        <is>
          <t>ÖSTERÅKER</t>
        </is>
      </c>
      <c r="H101" t="inlineStr">
        <is>
          <t>Övriga Aktiebolag</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35819-2025</t>
        </is>
      </c>
      <c r="B102" t="inlineStr">
        <is>
          <t>avverkningsanmälan</t>
        </is>
      </c>
      <c r="C102" t="inlineStr">
        <is>
          <t>Föryngringsavverkning</t>
        </is>
      </c>
      <c r="D102" s="1" t="n">
        <v>45861</v>
      </c>
      <c r="E102" s="1" t="n">
        <v>46281</v>
      </c>
      <c r="F102" t="inlineStr">
        <is>
          <t>STOCKHOLMS LÄN</t>
        </is>
      </c>
      <c r="G102" t="inlineStr">
        <is>
          <t>ÖSTERÅKER</t>
        </is>
      </c>
      <c r="H102" t="inlineStr">
        <is>
          <t>Övriga Aktiebolag</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S 104-2024</t>
        </is>
      </c>
      <c r="B103" t="inlineStr">
        <is>
          <t>samrådsanmälan</t>
        </is>
      </c>
      <c r="C103" t="inlineStr">
        <is>
          <t>Annan skogsbruksåtgärd</t>
        </is>
      </c>
      <c r="D103" s="1" t="n">
        <v>45302</v>
      </c>
      <c r="E103" s="1" t="n">
        <v>46281</v>
      </c>
      <c r="F103" t="inlineStr">
        <is>
          <t>STOCKHOLMS LÄN</t>
        </is>
      </c>
      <c r="G103" t="inlineStr">
        <is>
          <t>ÖSTERÅKER</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S 156-2024</t>
        </is>
      </c>
      <c r="B104" t="inlineStr">
        <is>
          <t>samrådsanmälan</t>
        </is>
      </c>
      <c r="C104" t="inlineStr">
        <is>
          <t>Annan skogsbruksåtgärd</t>
        </is>
      </c>
      <c r="D104" s="1" t="n">
        <v>45309</v>
      </c>
      <c r="E104" s="1" t="n">
        <v>46281</v>
      </c>
      <c r="F104" t="inlineStr">
        <is>
          <t>STOCKHOLMS LÄN</t>
        </is>
      </c>
      <c r="G104" t="inlineStr">
        <is>
          <t>ÖSTERÅKER</t>
        </is>
      </c>
      <c r="I104" t="n">
        <v>7.2</v>
      </c>
      <c r="J104" t="n">
        <v>0</v>
      </c>
      <c r="K104" t="n">
        <v>0</v>
      </c>
      <c r="L104" t="n">
        <v>0</v>
      </c>
      <c r="M104" t="n">
        <v>0</v>
      </c>
      <c r="N104" t="n">
        <v>0</v>
      </c>
      <c r="O104" t="n">
        <v>0</v>
      </c>
      <c r="P104" t="n">
        <v>0</v>
      </c>
      <c r="Q104" t="n">
        <v>0</v>
      </c>
      <c r="R104" t="n">
        <v>0</v>
      </c>
      <c r="S104" t="n">
        <v>0</v>
      </c>
      <c r="T104" t="n">
        <v>0</v>
      </c>
      <c r="U104" t="n">
        <v>0</v>
      </c>
      <c r="V104" s="2" t="inlineStr"/>
    </row>
    <row r="105">
      <c r="A105" t="inlineStr">
        <is>
          <t>S 2021-2026</t>
        </is>
      </c>
      <c r="B105" t="inlineStr">
        <is>
          <t>samrådsanmälan</t>
        </is>
      </c>
      <c r="C105" t="inlineStr">
        <is>
          <t>Annan skogsbruksåtgärd</t>
        </is>
      </c>
      <c r="D105" s="1" t="n">
        <v>46210</v>
      </c>
      <c r="E105" s="1" t="n">
        <v>46281</v>
      </c>
      <c r="F105" t="inlineStr">
        <is>
          <t>STOCKHOLMS LÄN</t>
        </is>
      </c>
      <c r="G105" t="inlineStr">
        <is>
          <t>ÖSTERÅKER</t>
        </is>
      </c>
      <c r="I105" t="n">
        <v>2.6</v>
      </c>
      <c r="J105" t="n">
        <v>0</v>
      </c>
      <c r="K105" t="n">
        <v>0</v>
      </c>
      <c r="L105" t="n">
        <v>0</v>
      </c>
      <c r="M105" t="n">
        <v>0</v>
      </c>
      <c r="N105" t="n">
        <v>0</v>
      </c>
      <c r="O105" t="n">
        <v>0</v>
      </c>
      <c r="P105" t="n">
        <v>0</v>
      </c>
      <c r="Q105" t="n">
        <v>0</v>
      </c>
      <c r="R105" t="n">
        <v>0</v>
      </c>
      <c r="S105" t="n">
        <v>0</v>
      </c>
      <c r="T105" t="n">
        <v>0</v>
      </c>
      <c r="U105" t="n">
        <v>0</v>
      </c>
      <c r="V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2026-09-16T02:00:44Z</dcterms:created>
  <dcterms:modified xmlns:dcterms="http://purl.org/dc/terms/" xmlns:xsi="http://www.w3.org/2001/XMLSchema-instance" xsi:type="dcterms:W3CDTF">2026-09-16T02:00:45Z</dcterms:modified>
</cp:coreProperties>
</file>