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46326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46326</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46326</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46326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46326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46326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46326</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46326</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46326</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46326</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46326</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46326</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46326</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46326</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46326</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46326</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43308-2024</t>
        </is>
      </c>
      <c r="B18" t="inlineStr">
        <is>
          <t>avverkningsanmälan</t>
        </is>
      </c>
      <c r="C18" t="inlineStr">
        <is>
          <t>Föryngringsavverkning</t>
        </is>
      </c>
      <c r="D18" s="1" t="n">
        <v>45568</v>
      </c>
      <c r="E18" s="1" t="n">
        <v>46326</v>
      </c>
      <c r="F18" t="inlineStr">
        <is>
          <t>STOCKHOLMS LÄN</t>
        </is>
      </c>
      <c r="G18" t="inlineStr">
        <is>
          <t>ÖSTERÅKER</t>
        </is>
      </c>
      <c r="H18" t="inlineStr">
        <is>
          <t>Kyrkan</t>
        </is>
      </c>
      <c r="I18" t="n">
        <v>3.2</v>
      </c>
      <c r="J18" t="n">
        <v>0</v>
      </c>
      <c r="K18" t="n">
        <v>0</v>
      </c>
      <c r="L18" t="n">
        <v>2</v>
      </c>
      <c r="M18" t="n">
        <v>0</v>
      </c>
      <c r="N18" t="n">
        <v>0</v>
      </c>
      <c r="O18" t="n">
        <v>0</v>
      </c>
      <c r="P18" t="n">
        <v>0</v>
      </c>
      <c r="Q18" t="n">
        <v>2</v>
      </c>
      <c r="R18" t="n">
        <v>0</v>
      </c>
      <c r="S18" t="n">
        <v>2</v>
      </c>
      <c r="T18" t="n">
        <v>2</v>
      </c>
      <c r="U18" t="n">
        <v>0</v>
      </c>
      <c r="V18" s="2" t="inlineStr">
        <is>
          <t>Dropptaggsvamp
Tallticka</t>
        </is>
      </c>
      <c r="W18">
        <f>HYPERLINK("https://klasma.github.io/Logging_0117/artfynd/A 43308-2024 artfynd.xlsx", "A 43308-2024")</f>
        <v/>
      </c>
      <c r="X18">
        <f>HYPERLINK("https://klasma.github.io/Logging_0117/kartor/A 43308-2024 karta.png", "A 43308-2024")</f>
        <v/>
      </c>
      <c r="Y18">
        <f>HYPERLINK("https://klasma.github.io/Logging_0117/kartor_geotiff/A 43308-2024 georefererad karta.tif", "A 43308-2024")</f>
        <v/>
      </c>
      <c r="AA18">
        <f>HYPERLINK("https://klasma.github.io/Logging_0117/klagomål/A 43308-2024 FSC-klagomål.docx", "A 43308-2024")</f>
        <v/>
      </c>
      <c r="AB18">
        <f>HYPERLINK("https://klasma.github.io/Logging_0117/klagomålsmail/A 43308-2024 FSC-klagomål mail.docx", "A 43308-2024")</f>
        <v/>
      </c>
      <c r="AC18">
        <f>HYPERLINK("https://klasma.github.io/Logging_0117/tillsyn/A 43308-2024 tillsynsbegäran.docx", "A 43308-2024")</f>
        <v/>
      </c>
      <c r="AD18">
        <f>HYPERLINK("https://klasma.github.io/Logging_0117/tillsynsmail/A 43308-2024 tillsynsbegäran mail.docx", "A 43308-2024")</f>
        <v/>
      </c>
    </row>
    <row r="19" ht="15" customHeight="1">
      <c r="A19" t="inlineStr">
        <is>
          <t>A 30949-2024</t>
        </is>
      </c>
      <c r="B19" t="inlineStr">
        <is>
          <t>avverkningsanmälan</t>
        </is>
      </c>
      <c r="C19" t="inlineStr">
        <is>
          <t>Föryngringsavverkning</t>
        </is>
      </c>
      <c r="D19" s="1" t="n">
        <v>45499</v>
      </c>
      <c r="E19" s="1" t="n">
        <v>46326</v>
      </c>
      <c r="F19" t="inlineStr">
        <is>
          <t>STOCKHOLMS LÄN</t>
        </is>
      </c>
      <c r="G19" t="inlineStr">
        <is>
          <t>ÖSTERÅKER</t>
        </is>
      </c>
      <c r="H19" t="inlineStr">
        <is>
          <t>Övriga Aktiebolag</t>
        </is>
      </c>
      <c r="I19" t="n">
        <v>3.2</v>
      </c>
      <c r="J19" t="n">
        <v>0</v>
      </c>
      <c r="K19" t="n">
        <v>1</v>
      </c>
      <c r="L19" t="n">
        <v>1</v>
      </c>
      <c r="M19" t="n">
        <v>0</v>
      </c>
      <c r="N19" t="n">
        <v>0</v>
      </c>
      <c r="O19" t="n">
        <v>0</v>
      </c>
      <c r="P19" t="n">
        <v>0</v>
      </c>
      <c r="Q19" t="n">
        <v>1</v>
      </c>
      <c r="R19" t="n">
        <v>0</v>
      </c>
      <c r="S19" t="n">
        <v>2</v>
      </c>
      <c r="T19" t="n">
        <v>2</v>
      </c>
      <c r="U19" t="n">
        <v>0</v>
      </c>
      <c r="V19" s="2" t="inlineStr">
        <is>
          <t>Tallticka
Blåmossa</t>
        </is>
      </c>
      <c r="W19">
        <f>HYPERLINK("https://klasma.github.io/Logging_0117/artfynd/A 30949-2024 artfynd.xlsx", "A 30949-2024")</f>
        <v/>
      </c>
      <c r="X19">
        <f>HYPERLINK("https://klasma.github.io/Logging_0117/kartor/A 30949-2024 karta.png", "A 30949-2024")</f>
        <v/>
      </c>
      <c r="Y19">
        <f>HYPERLINK("https://klasma.github.io/Logging_0117/kartor_geotiff/A 30949-2024 georefererad karta.tif", "A 30949-2024")</f>
        <v/>
      </c>
      <c r="AA19">
        <f>HYPERLINK("https://klasma.github.io/Logging_0117/klagomål/A 30949-2024 FSC-klagomål.docx", "A 30949-2024")</f>
        <v/>
      </c>
      <c r="AB19">
        <f>HYPERLINK("https://klasma.github.io/Logging_0117/klagomålsmail/A 30949-2024 FSC-klagomål mail.docx", "A 30949-2024")</f>
        <v/>
      </c>
      <c r="AC19">
        <f>HYPERLINK("https://klasma.github.io/Logging_0117/tillsyn/A 30949-2024 tillsynsbegäran.docx", "A 30949-2024")</f>
        <v/>
      </c>
      <c r="AD19">
        <f>HYPERLINK("https://klasma.github.io/Logging_0117/tillsynsmail/A 30949-2024 tillsynsbegäran mail.docx", "A 30949-2024")</f>
        <v/>
      </c>
    </row>
    <row r="20" ht="15" customHeight="1">
      <c r="A20" t="inlineStr">
        <is>
          <t>A 31575-2022</t>
        </is>
      </c>
      <c r="B20" t="inlineStr">
        <is>
          <t>avverkningsanmälan</t>
        </is>
      </c>
      <c r="C20" t="inlineStr">
        <is>
          <t>Föryngringsavverkning</t>
        </is>
      </c>
      <c r="D20" s="1" t="n">
        <v>44775</v>
      </c>
      <c r="E20" s="1" t="n">
        <v>46326</v>
      </c>
      <c r="F20" t="inlineStr">
        <is>
          <t>STOCKHOLMS LÄN</t>
        </is>
      </c>
      <c r="G20" t="inlineStr">
        <is>
          <t>ÖSTERÅKER</t>
        </is>
      </c>
      <c r="I20" t="n">
        <v>5</v>
      </c>
      <c r="J20" t="n">
        <v>0</v>
      </c>
      <c r="K20" t="n">
        <v>1</v>
      </c>
      <c r="L20" t="n">
        <v>0</v>
      </c>
      <c r="M20" t="n">
        <v>1</v>
      </c>
      <c r="N20" t="n">
        <v>0</v>
      </c>
      <c r="O20" t="n">
        <v>0</v>
      </c>
      <c r="P20" t="n">
        <v>0</v>
      </c>
      <c r="Q20" t="n">
        <v>1</v>
      </c>
      <c r="R20" t="n">
        <v>1</v>
      </c>
      <c r="S20" t="n">
        <v>2</v>
      </c>
      <c r="T20" t="n">
        <v>2</v>
      </c>
      <c r="U20" t="n">
        <v>2</v>
      </c>
      <c r="V20" s="2" t="inlineStr">
        <is>
          <t>Aspgelélav
Dvärgtufs</t>
        </is>
      </c>
      <c r="W20">
        <f>HYPERLINK("https://klasma.github.io/Logging_0117/artfynd/A 31575-2022 artfynd.xlsx", "A 31575-2022")</f>
        <v/>
      </c>
      <c r="X20">
        <f>HYPERLINK("https://klasma.github.io/Logging_0117/kartor/A 31575-2022 karta.png", "A 31575-2022")</f>
        <v/>
      </c>
      <c r="Y20">
        <f>HYPERLINK("https://klasma.github.io/Logging_0117/kartor_geotiff/A 31575-2022 georefererad karta.tif", "A 31575-2022")</f>
        <v/>
      </c>
      <c r="AA20">
        <f>HYPERLINK("https://klasma.github.io/Logging_0117/klagomål/A 31575-2022 FSC-klagomål.docx", "A 31575-2022")</f>
        <v/>
      </c>
      <c r="AB20">
        <f>HYPERLINK("https://klasma.github.io/Logging_0117/klagomålsmail/A 31575-2022 FSC-klagomål mail.docx", "A 31575-2022")</f>
        <v/>
      </c>
      <c r="AC20">
        <f>HYPERLINK("https://klasma.github.io/Logging_0117/tillsyn/A 31575-2022 tillsynsbegäran.docx", "A 31575-2022")</f>
        <v/>
      </c>
      <c r="AD20">
        <f>HYPERLINK("https://klasma.github.io/Logging_0117/tillsynsmail/A 31575-2022 tillsynsbegäran mail.docx", "A 31575-2022")</f>
        <v/>
      </c>
    </row>
    <row r="21" ht="15" customHeight="1">
      <c r="A21" t="inlineStr">
        <is>
          <t>A 61323-2022</t>
        </is>
      </c>
      <c r="B21" t="inlineStr">
        <is>
          <t>avverkningsanmälan</t>
        </is>
      </c>
      <c r="C21" t="inlineStr">
        <is>
          <t>Föryngringsavverkning</t>
        </is>
      </c>
      <c r="D21" s="1" t="n">
        <v>44915</v>
      </c>
      <c r="E21" s="1" t="n">
        <v>46326</v>
      </c>
      <c r="F21" t="inlineStr">
        <is>
          <t>STOCKHOLMS LÄN</t>
        </is>
      </c>
      <c r="G21" t="inlineStr">
        <is>
          <t>ÖSTERÅKER</t>
        </is>
      </c>
      <c r="I21" t="n">
        <v>2.7</v>
      </c>
      <c r="J21" t="n">
        <v>0</v>
      </c>
      <c r="K21" t="n">
        <v>0</v>
      </c>
      <c r="L21" t="n">
        <v>0</v>
      </c>
      <c r="M21" t="n">
        <v>1</v>
      </c>
      <c r="N21" t="n">
        <v>0</v>
      </c>
      <c r="O21" t="n">
        <v>0</v>
      </c>
      <c r="P21" t="n">
        <v>0</v>
      </c>
      <c r="Q21" t="n">
        <v>1</v>
      </c>
      <c r="R21" t="n">
        <v>1</v>
      </c>
      <c r="S21" t="n">
        <v>1</v>
      </c>
      <c r="T21" t="n">
        <v>1</v>
      </c>
      <c r="U21" t="n">
        <v>1</v>
      </c>
      <c r="V21" s="2" t="inlineStr">
        <is>
          <t>Gulvit blekspik</t>
        </is>
      </c>
      <c r="W21">
        <f>HYPERLINK("https://klasma.github.io/Logging_0117/artfynd/A 61323-2022 artfynd.xlsx", "A 61323-2022")</f>
        <v/>
      </c>
      <c r="X21">
        <f>HYPERLINK("https://klasma.github.io/Logging_0117/kartor/A 61323-2022 karta.png", "A 61323-2022")</f>
        <v/>
      </c>
      <c r="Y21">
        <f>HYPERLINK("https://klasma.github.io/Logging_0117/kartor_geotiff/A 61323-2022 georefererad karta.tif", "A 61323-2022")</f>
        <v/>
      </c>
      <c r="AA21">
        <f>HYPERLINK("https://klasma.github.io/Logging_0117/klagomål/A 61323-2022 FSC-klagomål.docx", "A 61323-2022")</f>
        <v/>
      </c>
      <c r="AB21">
        <f>HYPERLINK("https://klasma.github.io/Logging_0117/klagomålsmail/A 61323-2022 FSC-klagomål mail.docx", "A 61323-2022")</f>
        <v/>
      </c>
      <c r="AC21">
        <f>HYPERLINK("https://klasma.github.io/Logging_0117/tillsyn/A 61323-2022 tillsynsbegäran.docx", "A 61323-2022")</f>
        <v/>
      </c>
      <c r="AD21">
        <f>HYPERLINK("https://klasma.github.io/Logging_0117/tillsynsmail/A 61323-2022 tillsynsbegäran mail.docx", "A 61323-2022")</f>
        <v/>
      </c>
    </row>
    <row r="22" ht="15" customHeight="1">
      <c r="A22" t="inlineStr">
        <is>
          <t>A 31716-2025</t>
        </is>
      </c>
      <c r="B22" t="inlineStr">
        <is>
          <t>avverkningsanmälan</t>
        </is>
      </c>
      <c r="C22" t="inlineStr">
        <is>
          <t>Föryngringsavverkning</t>
        </is>
      </c>
      <c r="D22" s="1" t="n">
        <v>45834</v>
      </c>
      <c r="E22" s="1" t="n">
        <v>46326</v>
      </c>
      <c r="F22" t="inlineStr">
        <is>
          <t>STOCKHOLMS LÄN</t>
        </is>
      </c>
      <c r="G22" t="inlineStr">
        <is>
          <t>ÖSTERÅKER</t>
        </is>
      </c>
      <c r="I22" t="n">
        <v>2.8</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HYPERLINK("https://klasma.github.io/Logging_0117/artfynd/A 31716-2025 artfynd.xlsx", "A 31716-2025")</f>
        <v/>
      </c>
      <c r="X22">
        <f>HYPERLINK("https://klasma.github.io/Logging_0117/kartor/A 31716-2025 karta.png", "A 31716-2025")</f>
        <v/>
      </c>
      <c r="Y22">
        <f>HYPERLINK("https://klasma.github.io/Logging_0117/kartor_geotiff/A 31716-2025 georefererad karta.tif", "A 31716-2025")</f>
        <v/>
      </c>
      <c r="AA22">
        <f>HYPERLINK("https://klasma.github.io/Logging_0117/klagomål/A 31716-2025 FSC-klagomål.docx", "A 31716-2025")</f>
        <v/>
      </c>
      <c r="AB22">
        <f>HYPERLINK("https://klasma.github.io/Logging_0117/klagomålsmail/A 31716-2025 FSC-klagomål mail.docx", "A 31716-2025")</f>
        <v/>
      </c>
      <c r="AC22">
        <f>HYPERLINK("https://klasma.github.io/Logging_0117/tillsyn/A 31716-2025 tillsynsbegäran.docx", "A 31716-2025")</f>
        <v/>
      </c>
      <c r="AD22">
        <f>HYPERLINK("https://klasma.github.io/Logging_0117/tillsynsmail/A 31716-2025 tillsynsbegäran mail.docx", "A 31716-2025")</f>
        <v/>
      </c>
    </row>
    <row r="23" ht="15" customHeight="1">
      <c r="A23" t="inlineStr">
        <is>
          <t>A 62831-2025</t>
        </is>
      </c>
      <c r="B23" t="inlineStr">
        <is>
          <t>avverkningsanmälan</t>
        </is>
      </c>
      <c r="C23" t="inlineStr">
        <is>
          <t>Föryngringsavverkning</t>
        </is>
      </c>
      <c r="D23" s="1" t="n">
        <v>46008</v>
      </c>
      <c r="E23" s="1" t="n">
        <v>46326</v>
      </c>
      <c r="F23" t="inlineStr">
        <is>
          <t>STOCKHOLMS LÄN</t>
        </is>
      </c>
      <c r="G23" t="inlineStr">
        <is>
          <t>ÖSTERÅKER</t>
        </is>
      </c>
      <c r="I23" t="n">
        <v>1.2</v>
      </c>
      <c r="J23" t="n">
        <v>0</v>
      </c>
      <c r="K23" t="n">
        <v>1</v>
      </c>
      <c r="L23" t="n">
        <v>0</v>
      </c>
      <c r="M23" t="n">
        <v>0</v>
      </c>
      <c r="N23" t="n">
        <v>0</v>
      </c>
      <c r="O23" t="n">
        <v>0</v>
      </c>
      <c r="P23" t="n">
        <v>0</v>
      </c>
      <c r="Q23" t="n">
        <v>0</v>
      </c>
      <c r="R23" t="n">
        <v>0</v>
      </c>
      <c r="S23" t="n">
        <v>1</v>
      </c>
      <c r="T23" t="n">
        <v>1</v>
      </c>
      <c r="U23" t="n">
        <v>0</v>
      </c>
      <c r="V23" s="2" t="inlineStr">
        <is>
          <t>Vedticka</t>
        </is>
      </c>
      <c r="W23">
        <f>HYPERLINK("https://klasma.github.io/Logging_0117/artfynd/A 62831-2025 artfynd.xlsx", "A 62831-2025")</f>
        <v/>
      </c>
      <c r="X23">
        <f>HYPERLINK("https://klasma.github.io/Logging_0117/kartor/A 62831-2025 karta.png", "A 62831-2025")</f>
        <v/>
      </c>
      <c r="Y23">
        <f>HYPERLINK("https://klasma.github.io/Logging_0117/kartor_geotiff/A 62831-2025 georefererad karta.tif", "A 62831-2025")</f>
        <v/>
      </c>
      <c r="AA23">
        <f>HYPERLINK("https://klasma.github.io/Logging_0117/klagomål/A 62831-2025 FSC-klagomål.docx", "A 62831-2025")</f>
        <v/>
      </c>
      <c r="AB23">
        <f>HYPERLINK("https://klasma.github.io/Logging_0117/klagomålsmail/A 62831-2025 FSC-klagomål mail.docx", "A 62831-2025")</f>
        <v/>
      </c>
      <c r="AC23">
        <f>HYPERLINK("https://klasma.github.io/Logging_0117/tillsyn/A 62831-2025 tillsynsbegäran.docx", "A 62831-2025")</f>
        <v/>
      </c>
      <c r="AD23">
        <f>HYPERLINK("https://klasma.github.io/Logging_0117/tillsynsmail/A 62831-2025 tillsynsbegäran mail.docx", "A 62831-2025")</f>
        <v/>
      </c>
    </row>
    <row r="24" ht="15" customHeight="1">
      <c r="A24" t="inlineStr">
        <is>
          <t>A 62839-2025</t>
        </is>
      </c>
      <c r="B24" t="inlineStr">
        <is>
          <t>avverkningsanmälan</t>
        </is>
      </c>
      <c r="C24" t="inlineStr">
        <is>
          <t>Föryngringsavverkning</t>
        </is>
      </c>
      <c r="D24" s="1" t="n">
        <v>46008</v>
      </c>
      <c r="E24" s="1" t="n">
        <v>46326</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46326</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S 5861-2022</t>
        </is>
      </c>
      <c r="B26" t="inlineStr">
        <is>
          <t>samrådsanmälan</t>
        </is>
      </c>
      <c r="C26" t="inlineStr">
        <is>
          <t>Annan skogsbruksåtgärd</t>
        </is>
      </c>
      <c r="D26" s="1" t="n">
        <v>44852</v>
      </c>
      <c r="E26" s="1" t="n">
        <v>46326</v>
      </c>
      <c r="F26" t="inlineStr">
        <is>
          <t>STOCKHOLMS LÄN</t>
        </is>
      </c>
      <c r="G26" t="inlineStr">
        <is>
          <t>ÖSTERÅKER</t>
        </is>
      </c>
      <c r="I26" t="n">
        <v>4.1</v>
      </c>
      <c r="J26" t="n">
        <v>0</v>
      </c>
      <c r="K26" t="n">
        <v>0</v>
      </c>
      <c r="L26" t="n">
        <v>0</v>
      </c>
      <c r="M26" t="n">
        <v>0</v>
      </c>
      <c r="N26" t="n">
        <v>1</v>
      </c>
      <c r="O26" t="n">
        <v>0</v>
      </c>
      <c r="P26" t="n">
        <v>0</v>
      </c>
      <c r="Q26" t="n">
        <v>1</v>
      </c>
      <c r="R26" t="n">
        <v>1</v>
      </c>
      <c r="S26" t="n">
        <v>1</v>
      </c>
      <c r="T26" t="n">
        <v>2</v>
      </c>
      <c r="U26" t="n">
        <v>1</v>
      </c>
      <c r="V26" s="2" t="inlineStr">
        <is>
          <t>Ask</t>
        </is>
      </c>
      <c r="W26">
        <f>HYPERLINK("https://klasma.github.io/Logging_0117/artfynd/S 5861-2022 artfynd.xlsx", "S 5861-2022")</f>
        <v/>
      </c>
      <c r="X26">
        <f>HYPERLINK("https://klasma.github.io/Logging_0117/kartor/S 5861-2022 karta.png", "S 5861-2022")</f>
        <v/>
      </c>
      <c r="Y26">
        <f>HYPERLINK("https://klasma.github.io/Logging_0117/kartor_geotiff/S 5861-2022 georefererad karta.tif", "S 5861-2022")</f>
        <v/>
      </c>
      <c r="AA26">
        <f>HYPERLINK("https://klasma.github.io/Logging_0117/klagomål/S 5861-2022 FSC-klagomål.docx", "S 5861-2022")</f>
        <v/>
      </c>
      <c r="AB26">
        <f>HYPERLINK("https://klasma.github.io/Logging_0117/klagomålsmail/S 5861-2022 FSC-klagomål mail.docx", "S 5861-2022")</f>
        <v/>
      </c>
      <c r="AC26">
        <f>HYPERLINK("https://klasma.github.io/Logging_0117/tillsyn/S 5861-2022 tillsynsbegäran.docx", "S 5861-2022")</f>
        <v/>
      </c>
      <c r="AD26">
        <f>HYPERLINK("https://klasma.github.io/Logging_0117/tillsynsmail/S 5861-2022 tillsynsbegäran mail.docx", "S 5861-2022")</f>
        <v/>
      </c>
    </row>
    <row r="27" ht="15" customHeight="1">
      <c r="A27" t="inlineStr">
        <is>
          <t>S 15-2025</t>
        </is>
      </c>
      <c r="B27" t="inlineStr">
        <is>
          <t>samrådsanmälan</t>
        </is>
      </c>
      <c r="C27" t="inlineStr">
        <is>
          <t>Annan skogsbruksåtgärd</t>
        </is>
      </c>
      <c r="D27" s="1" t="n">
        <v>45660</v>
      </c>
      <c r="E27" s="1" t="n">
        <v>46326</v>
      </c>
      <c r="F27" t="inlineStr">
        <is>
          <t>STOCKHOLMS LÄN</t>
        </is>
      </c>
      <c r="G27" t="inlineStr">
        <is>
          <t>ÖSTERÅKER</t>
        </is>
      </c>
      <c r="H27" t="inlineStr">
        <is>
          <t>Övriga Aktiebolag</t>
        </is>
      </c>
      <c r="I27" t="n">
        <v>2.5</v>
      </c>
      <c r="J27" t="n">
        <v>0</v>
      </c>
      <c r="K27" t="n">
        <v>0</v>
      </c>
      <c r="L27" t="n">
        <v>0</v>
      </c>
      <c r="M27" t="n">
        <v>1</v>
      </c>
      <c r="N27" t="n">
        <v>0</v>
      </c>
      <c r="O27" t="n">
        <v>0</v>
      </c>
      <c r="P27" t="n">
        <v>0</v>
      </c>
      <c r="Q27" t="n">
        <v>1</v>
      </c>
      <c r="R27" t="n">
        <v>1</v>
      </c>
      <c r="S27" t="n">
        <v>1</v>
      </c>
      <c r="T27" t="n">
        <v>1</v>
      </c>
      <c r="U27" t="n">
        <v>1</v>
      </c>
      <c r="V27" s="2" t="inlineStr">
        <is>
          <t>Ädellav</t>
        </is>
      </c>
      <c r="W27">
        <f>HYPERLINK("https://klasma.github.io/Logging_0117/artfynd/S 15-2025 artfynd.xlsx", "S 15-2025")</f>
        <v/>
      </c>
      <c r="X27">
        <f>HYPERLINK("https://klasma.github.io/Logging_0117/kartor/S 15-2025 karta.png", "S 15-2025")</f>
        <v/>
      </c>
      <c r="Y27">
        <f>HYPERLINK("https://klasma.github.io/Logging_0117/kartor_geotiff/S 15-2025 georefererad karta.tif", "S 15-2025")</f>
        <v/>
      </c>
      <c r="AA27">
        <f>HYPERLINK("https://klasma.github.io/Logging_0117/klagomål/S 15-2025 FSC-klagomål.docx", "S 15-2025")</f>
        <v/>
      </c>
      <c r="AB27">
        <f>HYPERLINK("https://klasma.github.io/Logging_0117/klagomålsmail/S 15-2025 FSC-klagomål mail.docx", "S 15-2025")</f>
        <v/>
      </c>
      <c r="AC27">
        <f>HYPERLINK("https://klasma.github.io/Logging_0117/tillsyn/S 15-2025 tillsynsbegäran.docx", "S 15-2025")</f>
        <v/>
      </c>
      <c r="AD27">
        <f>HYPERLINK("https://klasma.github.io/Logging_0117/tillsynsmail/S 15-2025 tillsynsbegäran mail.docx", "S 15-2025")</f>
        <v/>
      </c>
    </row>
    <row r="28" ht="15" customHeight="1">
      <c r="A28" t="inlineStr">
        <is>
          <t>A 2148-2022</t>
        </is>
      </c>
      <c r="B28" t="inlineStr">
        <is>
          <t>avverkningsanmälan</t>
        </is>
      </c>
      <c r="C28" t="inlineStr">
        <is>
          <t>Föryngringsavverkning</t>
        </is>
      </c>
      <c r="D28" s="1" t="n">
        <v>44575</v>
      </c>
      <c r="E28" s="1" t="n">
        <v>46326</v>
      </c>
      <c r="F28" t="inlineStr">
        <is>
          <t>STOCKHOLMS LÄN</t>
        </is>
      </c>
      <c r="G28" t="inlineStr">
        <is>
          <t>ÖSTERÅKER</t>
        </is>
      </c>
      <c r="H28" t="inlineStr">
        <is>
          <t>Övriga Aktiebolag</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1910-2022</t>
        </is>
      </c>
      <c r="B29" t="inlineStr">
        <is>
          <t>avverkningsanmälan</t>
        </is>
      </c>
      <c r="C29" t="inlineStr">
        <is>
          <t>Föryngringsavverkning</t>
        </is>
      </c>
      <c r="D29" s="1" t="n">
        <v>44575</v>
      </c>
      <c r="E29" s="1" t="n">
        <v>46326</v>
      </c>
      <c r="F29" t="inlineStr">
        <is>
          <t>STOCKHOLMS LÄN</t>
        </is>
      </c>
      <c r="G29" t="inlineStr">
        <is>
          <t>ÖSTERÅKER</t>
        </is>
      </c>
      <c r="H29" t="inlineStr">
        <is>
          <t>Övriga Aktiebolag</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72508-2021</t>
        </is>
      </c>
      <c r="B30" t="inlineStr">
        <is>
          <t>avverkningsanmälan</t>
        </is>
      </c>
      <c r="C30" t="inlineStr">
        <is>
          <t>Föryngringsavverkning</t>
        </is>
      </c>
      <c r="D30" s="1" t="n">
        <v>44544</v>
      </c>
      <c r="E30" s="1" t="n">
        <v>46326</v>
      </c>
      <c r="F30" t="inlineStr">
        <is>
          <t>STOCKHOLMS LÄN</t>
        </is>
      </c>
      <c r="G30" t="inlineStr">
        <is>
          <t>ÖSTERÅKER</t>
        </is>
      </c>
      <c r="H30" t="inlineStr">
        <is>
          <t>Övriga Aktiebolag</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15131-2022</t>
        </is>
      </c>
      <c r="B31" t="inlineStr">
        <is>
          <t>avverkningsanmälan</t>
        </is>
      </c>
      <c r="C31" t="inlineStr">
        <is>
          <t>Föryngringsavverkning</t>
        </is>
      </c>
      <c r="D31" s="1" t="n">
        <v>44658</v>
      </c>
      <c r="E31" s="1" t="n">
        <v>46326</v>
      </c>
      <c r="F31" t="inlineStr">
        <is>
          <t>STOCKHOLMS LÄN</t>
        </is>
      </c>
      <c r="G31" t="inlineStr">
        <is>
          <t>ÖSTERÅKER</t>
        </is>
      </c>
      <c r="I31" t="n">
        <v>4.6</v>
      </c>
      <c r="J31" t="n">
        <v>0</v>
      </c>
      <c r="K31" t="n">
        <v>0</v>
      </c>
      <c r="L31" t="n">
        <v>0</v>
      </c>
      <c r="M31" t="n">
        <v>0</v>
      </c>
      <c r="N31" t="n">
        <v>0</v>
      </c>
      <c r="O31" t="n">
        <v>0</v>
      </c>
      <c r="P31" t="n">
        <v>0</v>
      </c>
      <c r="Q31" t="n">
        <v>0</v>
      </c>
      <c r="R31" t="n">
        <v>0</v>
      </c>
      <c r="S31" t="n">
        <v>0</v>
      </c>
      <c r="T31" t="n">
        <v>0</v>
      </c>
      <c r="U31" t="n">
        <v>0</v>
      </c>
      <c r="V31" s="2" t="inlineStr"/>
    </row>
    <row r="32" ht="15" customHeight="1">
      <c r="A32" t="inlineStr">
        <is>
          <t>A 19934-2022</t>
        </is>
      </c>
      <c r="B32" t="inlineStr">
        <is>
          <t>avverkningsanmälan</t>
        </is>
      </c>
      <c r="C32" t="inlineStr">
        <is>
          <t>Föryngringsavverkning</t>
        </is>
      </c>
      <c r="D32" s="1" t="n">
        <v>44697</v>
      </c>
      <c r="E32" s="1" t="n">
        <v>46326</v>
      </c>
      <c r="F32" t="inlineStr">
        <is>
          <t>STOCKHOLMS LÄN</t>
        </is>
      </c>
      <c r="G32" t="inlineStr">
        <is>
          <t>ÖSTERÅKER</t>
        </is>
      </c>
      <c r="I32" t="n">
        <v>0.3</v>
      </c>
      <c r="J32" t="n">
        <v>0</v>
      </c>
      <c r="K32" t="n">
        <v>0</v>
      </c>
      <c r="L32" t="n">
        <v>0</v>
      </c>
      <c r="M32" t="n">
        <v>0</v>
      </c>
      <c r="N32" t="n">
        <v>0</v>
      </c>
      <c r="O32" t="n">
        <v>0</v>
      </c>
      <c r="P32" t="n">
        <v>0</v>
      </c>
      <c r="Q32" t="n">
        <v>0</v>
      </c>
      <c r="R32" t="n">
        <v>0</v>
      </c>
      <c r="S32" t="n">
        <v>0</v>
      </c>
      <c r="T32" t="n">
        <v>0</v>
      </c>
      <c r="U32" t="n">
        <v>0</v>
      </c>
      <c r="V32" s="2" t="inlineStr"/>
    </row>
    <row r="33" ht="15" customHeight="1">
      <c r="A33" t="inlineStr">
        <is>
          <t>A 19944-2022</t>
        </is>
      </c>
      <c r="B33" t="inlineStr">
        <is>
          <t>avverkningsanmälan</t>
        </is>
      </c>
      <c r="C33" t="inlineStr">
        <is>
          <t>Föryngringsavverkning</t>
        </is>
      </c>
      <c r="D33" s="1" t="n">
        <v>44697</v>
      </c>
      <c r="E33" s="1" t="n">
        <v>46326</v>
      </c>
      <c r="F33" t="inlineStr">
        <is>
          <t>STOCKHOLMS LÄN</t>
        </is>
      </c>
      <c r="G33" t="inlineStr">
        <is>
          <t>ÖSTERÅKER</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865-2022</t>
        </is>
      </c>
      <c r="B34" t="inlineStr">
        <is>
          <t>avverkningsanmälan</t>
        </is>
      </c>
      <c r="C34" t="inlineStr">
        <is>
          <t>Föryngringsavverkning</t>
        </is>
      </c>
      <c r="D34" s="1" t="n">
        <v>44569</v>
      </c>
      <c r="E34" s="1" t="n">
        <v>46326</v>
      </c>
      <c r="F34" t="inlineStr">
        <is>
          <t>STOCKHOLMS LÄN</t>
        </is>
      </c>
      <c r="G34" t="inlineStr">
        <is>
          <t>ÖSTERÅKER</t>
        </is>
      </c>
      <c r="H34" t="inlineStr">
        <is>
          <t>Övriga Aktiebolag</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46326</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28405-2022</t>
        </is>
      </c>
      <c r="B36" t="inlineStr">
        <is>
          <t>avverkningsanmälan</t>
        </is>
      </c>
      <c r="C36" t="inlineStr">
        <is>
          <t>Föryngringsavverkning</t>
        </is>
      </c>
      <c r="D36" s="1" t="n">
        <v>44747</v>
      </c>
      <c r="E36" s="1" t="n">
        <v>46326</v>
      </c>
      <c r="F36" t="inlineStr">
        <is>
          <t>STOCKHOLMS LÄN</t>
        </is>
      </c>
      <c r="G36" t="inlineStr">
        <is>
          <t>ÖSTERÅKER</t>
        </is>
      </c>
      <c r="I36" t="n">
        <v>1.9</v>
      </c>
      <c r="J36" t="n">
        <v>0</v>
      </c>
      <c r="K36" t="n">
        <v>0</v>
      </c>
      <c r="L36" t="n">
        <v>0</v>
      </c>
      <c r="M36" t="n">
        <v>0</v>
      </c>
      <c r="N36" t="n">
        <v>0</v>
      </c>
      <c r="O36" t="n">
        <v>0</v>
      </c>
      <c r="P36" t="n">
        <v>0</v>
      </c>
      <c r="Q36" t="n">
        <v>0</v>
      </c>
      <c r="R36" t="n">
        <v>0</v>
      </c>
      <c r="S36" t="n">
        <v>0</v>
      </c>
      <c r="T36" t="n">
        <v>0</v>
      </c>
      <c r="U36" t="n">
        <v>0</v>
      </c>
      <c r="V36" s="2" t="inlineStr"/>
    </row>
    <row r="37" ht="15" customHeight="1">
      <c r="A37" t="inlineStr">
        <is>
          <t>A 17173-2022</t>
        </is>
      </c>
      <c r="B37" t="inlineStr">
        <is>
          <t>avverkningsanmälan</t>
        </is>
      </c>
      <c r="C37" t="inlineStr">
        <is>
          <t>Föryngringsavverkning</t>
        </is>
      </c>
      <c r="D37" s="1" t="n">
        <v>44677</v>
      </c>
      <c r="E37" s="1" t="n">
        <v>46326</v>
      </c>
      <c r="F37" t="inlineStr">
        <is>
          <t>STOCKHOLMS LÄN</t>
        </is>
      </c>
      <c r="G37" t="inlineStr">
        <is>
          <t>ÖSTERÅKER</t>
        </is>
      </c>
      <c r="I37" t="n">
        <v>2.8</v>
      </c>
      <c r="J37" t="n">
        <v>0</v>
      </c>
      <c r="K37" t="n">
        <v>0</v>
      </c>
      <c r="L37" t="n">
        <v>0</v>
      </c>
      <c r="M37" t="n">
        <v>0</v>
      </c>
      <c r="N37" t="n">
        <v>0</v>
      </c>
      <c r="O37" t="n">
        <v>0</v>
      </c>
      <c r="P37" t="n">
        <v>0</v>
      </c>
      <c r="Q37" t="n">
        <v>0</v>
      </c>
      <c r="R37" t="n">
        <v>0</v>
      </c>
      <c r="S37" t="n">
        <v>0</v>
      </c>
      <c r="T37" t="n">
        <v>0</v>
      </c>
      <c r="U37" t="n">
        <v>0</v>
      </c>
      <c r="V37" s="2" t="inlineStr"/>
    </row>
    <row r="38" ht="15" customHeight="1">
      <c r="A38" t="inlineStr">
        <is>
          <t>A 10082-2022</t>
        </is>
      </c>
      <c r="B38" t="inlineStr">
        <is>
          <t>avverkningsanmälan</t>
        </is>
      </c>
      <c r="C38" t="inlineStr">
        <is>
          <t>Föryngringsavverkning</t>
        </is>
      </c>
      <c r="D38" s="1" t="n">
        <v>44621</v>
      </c>
      <c r="E38" s="1" t="n">
        <v>46326</v>
      </c>
      <c r="F38" t="inlineStr">
        <is>
          <t>STOCKHOLMS LÄN</t>
        </is>
      </c>
      <c r="G38" t="inlineStr">
        <is>
          <t>ÖSTERÅKER</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28964-2022</t>
        </is>
      </c>
      <c r="B39" t="inlineStr">
        <is>
          <t>avverkningsanmälan</t>
        </is>
      </c>
      <c r="C39" t="inlineStr">
        <is>
          <t>Föryngringsavverkning</t>
        </is>
      </c>
      <c r="D39" s="1" t="n">
        <v>44749</v>
      </c>
      <c r="E39" s="1" t="n">
        <v>46326</v>
      </c>
      <c r="F39" t="inlineStr">
        <is>
          <t>STOCKHOLMS LÄN</t>
        </is>
      </c>
      <c r="G39" t="inlineStr">
        <is>
          <t>ÖSTERÅKER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18091-2022</t>
        </is>
      </c>
      <c r="B40" t="inlineStr">
        <is>
          <t>avverkningsanmälan</t>
        </is>
      </c>
      <c r="C40" t="inlineStr">
        <is>
          <t>Föryngringsavverkning</t>
        </is>
      </c>
      <c r="D40" s="1" t="n">
        <v>44684</v>
      </c>
      <c r="E40" s="1" t="n">
        <v>46326</v>
      </c>
      <c r="F40" t="inlineStr">
        <is>
          <t>STOCKHOLMS LÄN</t>
        </is>
      </c>
      <c r="G40" t="inlineStr">
        <is>
          <t>ÖSTERÅKER</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28399-2022</t>
        </is>
      </c>
      <c r="B41" t="inlineStr">
        <is>
          <t>avverkningsanmälan</t>
        </is>
      </c>
      <c r="C41" t="inlineStr">
        <is>
          <t>Föryngringsavverkning</t>
        </is>
      </c>
      <c r="D41" s="1" t="n">
        <v>44747</v>
      </c>
      <c r="E41" s="1" t="n">
        <v>46326</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61370-2022</t>
        </is>
      </c>
      <c r="B42" t="inlineStr">
        <is>
          <t>avverkningsanmälan</t>
        </is>
      </c>
      <c r="C42" t="inlineStr">
        <is>
          <t>Föryngringsavverkning</t>
        </is>
      </c>
      <c r="D42" s="1" t="n">
        <v>44915</v>
      </c>
      <c r="E42" s="1" t="n">
        <v>46326</v>
      </c>
      <c r="F42" t="inlineStr">
        <is>
          <t>STOCKHOLMS LÄN</t>
        </is>
      </c>
      <c r="G42" t="inlineStr">
        <is>
          <t>ÖSTERÅKER</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1603-2023</t>
        </is>
      </c>
      <c r="B43" t="inlineStr">
        <is>
          <t>avverkningsanmälan</t>
        </is>
      </c>
      <c r="C43" t="inlineStr">
        <is>
          <t>Föryngringsavverkning</t>
        </is>
      </c>
      <c r="D43" s="1" t="n">
        <v>44937</v>
      </c>
      <c r="E43" s="1" t="n">
        <v>46326</v>
      </c>
      <c r="F43" t="inlineStr">
        <is>
          <t>STOCKHOLMS LÄN</t>
        </is>
      </c>
      <c r="G43" t="inlineStr">
        <is>
          <t>ÖSTERÅKER</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1605-2023</t>
        </is>
      </c>
      <c r="B44" t="inlineStr">
        <is>
          <t>avverkningsanmälan</t>
        </is>
      </c>
      <c r="C44" t="inlineStr">
        <is>
          <t>Föryngringsavverkning</t>
        </is>
      </c>
      <c r="D44" s="1" t="n">
        <v>44937</v>
      </c>
      <c r="E44" s="1" t="n">
        <v>46326</v>
      </c>
      <c r="F44" t="inlineStr">
        <is>
          <t>STOCKHOLMS LÄN</t>
        </is>
      </c>
      <c r="G44" t="inlineStr">
        <is>
          <t>ÖSTERÅKER</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37037-2023</t>
        </is>
      </c>
      <c r="B45" t="inlineStr">
        <is>
          <t>avverkningsanmälan</t>
        </is>
      </c>
      <c r="C45" t="inlineStr">
        <is>
          <t>Föryngringsavverkning</t>
        </is>
      </c>
      <c r="D45" s="1" t="n">
        <v>45155</v>
      </c>
      <c r="E45" s="1" t="n">
        <v>46326</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3828-2023</t>
        </is>
      </c>
      <c r="B46" t="inlineStr">
        <is>
          <t>avverkningsanmälan</t>
        </is>
      </c>
      <c r="C46" t="inlineStr">
        <is>
          <t>Föryngringsavverkning</t>
        </is>
      </c>
      <c r="D46" s="1" t="n">
        <v>44951</v>
      </c>
      <c r="E46" s="1" t="n">
        <v>46326</v>
      </c>
      <c r="F46" t="inlineStr">
        <is>
          <t>STOCKHOLMS LÄN</t>
        </is>
      </c>
      <c r="G46" t="inlineStr">
        <is>
          <t>ÖSTERÅKER</t>
        </is>
      </c>
      <c r="H46" t="inlineStr">
        <is>
          <t>Kommuner</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33158-2024</t>
        </is>
      </c>
      <c r="B47" t="inlineStr">
        <is>
          <t>avverkningsanmälan</t>
        </is>
      </c>
      <c r="C47" t="inlineStr">
        <is>
          <t>Avverkning för annat ändamål</t>
        </is>
      </c>
      <c r="D47" s="1" t="n">
        <v>45518</v>
      </c>
      <c r="E47" s="1" t="n">
        <v>46326</v>
      </c>
      <c r="F47" t="inlineStr">
        <is>
          <t>STOCKHOLMS LÄN</t>
        </is>
      </c>
      <c r="G47" t="inlineStr">
        <is>
          <t>ÖSTERÅKER</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27137-2025</t>
        </is>
      </c>
      <c r="B48" t="inlineStr">
        <is>
          <t>avverkningsanmälan</t>
        </is>
      </c>
      <c r="C48" t="inlineStr">
        <is>
          <t>Föryngringsavverkning</t>
        </is>
      </c>
      <c r="D48" s="1" t="n">
        <v>45811</v>
      </c>
      <c r="E48" s="1" t="n">
        <v>46326</v>
      </c>
      <c r="F48" t="inlineStr">
        <is>
          <t>STOCKHOLMS LÄN</t>
        </is>
      </c>
      <c r="G48" t="inlineStr">
        <is>
          <t>ÖSTERÅKER</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17353-2025</t>
        </is>
      </c>
      <c r="B49" t="inlineStr">
        <is>
          <t>avverkningsanmälan</t>
        </is>
      </c>
      <c r="C49" t="inlineStr">
        <is>
          <t>Föryngringsavverkning</t>
        </is>
      </c>
      <c r="D49" s="1" t="n">
        <v>45756</v>
      </c>
      <c r="E49" s="1" t="n">
        <v>46326</v>
      </c>
      <c r="F49" t="inlineStr">
        <is>
          <t>STOCKHOLMS LÄN</t>
        </is>
      </c>
      <c r="G49" t="inlineStr">
        <is>
          <t>ÖSTERÅKER</t>
        </is>
      </c>
      <c r="H49" t="inlineStr">
        <is>
          <t>Övriga Aktiebolag</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61360-2022</t>
        </is>
      </c>
      <c r="B50" t="inlineStr">
        <is>
          <t>avverkningsanmälan</t>
        </is>
      </c>
      <c r="C50" t="inlineStr">
        <is>
          <t>Föryngringsavverkning</t>
        </is>
      </c>
      <c r="D50" s="1" t="n">
        <v>44915</v>
      </c>
      <c r="E50" s="1" t="n">
        <v>46326</v>
      </c>
      <c r="F50" t="inlineStr">
        <is>
          <t>STOCKHOLMS LÄN</t>
        </is>
      </c>
      <c r="G50" t="inlineStr">
        <is>
          <t>ÖSTERÅKER</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16728-2022</t>
        </is>
      </c>
      <c r="B51" t="inlineStr">
        <is>
          <t>avverkningsanmälan</t>
        </is>
      </c>
      <c r="C51" t="inlineStr">
        <is>
          <t>Föryngringsavverkning</t>
        </is>
      </c>
      <c r="D51" s="1" t="n">
        <v>44673</v>
      </c>
      <c r="E51" s="1" t="n">
        <v>46326</v>
      </c>
      <c r="F51" t="inlineStr">
        <is>
          <t>STOCKHOLMS LÄN</t>
        </is>
      </c>
      <c r="G51" t="inlineStr">
        <is>
          <t>ÖSTERÅKER</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46326</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5038-2026</t>
        </is>
      </c>
      <c r="B53" t="inlineStr">
        <is>
          <t>avverkningsanmälan</t>
        </is>
      </c>
      <c r="C53" t="inlineStr">
        <is>
          <t>Föryngringsavverkning</t>
        </is>
      </c>
      <c r="D53" s="1" t="n">
        <v>46049</v>
      </c>
      <c r="E53" s="1" t="n">
        <v>46326</v>
      </c>
      <c r="F53" t="inlineStr">
        <is>
          <t>STOCKHOLMS LÄN</t>
        </is>
      </c>
      <c r="G53" t="inlineStr">
        <is>
          <t>ÖSTERÅKER</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46326</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61710-2022</t>
        </is>
      </c>
      <c r="B55" t="inlineStr">
        <is>
          <t>avverkningsanmälan</t>
        </is>
      </c>
      <c r="C55" t="inlineStr">
        <is>
          <t>Föryngringsavverkning</t>
        </is>
      </c>
      <c r="D55" s="1" t="n">
        <v>44917</v>
      </c>
      <c r="E55" s="1" t="n">
        <v>46326</v>
      </c>
      <c r="F55" t="inlineStr">
        <is>
          <t>STOCKHOLMS LÄN</t>
        </is>
      </c>
      <c r="G55" t="inlineStr">
        <is>
          <t>ÖSTERÅKER</t>
        </is>
      </c>
      <c r="I55" t="n">
        <v>6.2</v>
      </c>
      <c r="J55" t="n">
        <v>0</v>
      </c>
      <c r="K55" t="n">
        <v>0</v>
      </c>
      <c r="L55" t="n">
        <v>0</v>
      </c>
      <c r="M55" t="n">
        <v>0</v>
      </c>
      <c r="N55" t="n">
        <v>0</v>
      </c>
      <c r="O55" t="n">
        <v>0</v>
      </c>
      <c r="P55" t="n">
        <v>0</v>
      </c>
      <c r="Q55" t="n">
        <v>0</v>
      </c>
      <c r="R55" t="n">
        <v>0</v>
      </c>
      <c r="S55" t="n">
        <v>0</v>
      </c>
      <c r="T55" t="n">
        <v>0</v>
      </c>
      <c r="U55" t="n">
        <v>0</v>
      </c>
      <c r="V55" s="2" t="inlineStr"/>
    </row>
    <row r="56" ht="15" customHeight="1">
      <c r="A56" t="inlineStr">
        <is>
          <t>A 35819-2025</t>
        </is>
      </c>
      <c r="B56" t="inlineStr">
        <is>
          <t>avverkningsanmälan</t>
        </is>
      </c>
      <c r="C56" t="inlineStr">
        <is>
          <t>Föryngringsavverkning</t>
        </is>
      </c>
      <c r="D56" s="1" t="n">
        <v>45861</v>
      </c>
      <c r="E56" s="1" t="n">
        <v>46326</v>
      </c>
      <c r="F56" t="inlineStr">
        <is>
          <t>STOCKHOLMS LÄN</t>
        </is>
      </c>
      <c r="G56" t="inlineStr">
        <is>
          <t>ÖSTERÅKER</t>
        </is>
      </c>
      <c r="H56" t="inlineStr">
        <is>
          <t>Övriga Aktiebolag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22528-2024</t>
        </is>
      </c>
      <c r="B57" t="inlineStr">
        <is>
          <t>avverkningsanmälan</t>
        </is>
      </c>
      <c r="C57" t="inlineStr">
        <is>
          <t>Föryngringsavverkning</t>
        </is>
      </c>
      <c r="D57" s="1" t="n">
        <v>45447</v>
      </c>
      <c r="E57" s="1" t="n">
        <v>46326</v>
      </c>
      <c r="F57" t="inlineStr">
        <is>
          <t>STOCKHOLMS LÄN</t>
        </is>
      </c>
      <c r="G57" t="inlineStr">
        <is>
          <t>ÖSTERÅKER</t>
        </is>
      </c>
      <c r="H57" t="inlineStr">
        <is>
          <t>Övriga Aktiebolag</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28143-2024</t>
        </is>
      </c>
      <c r="B58" t="inlineStr">
        <is>
          <t>avverkningsanmälan</t>
        </is>
      </c>
      <c r="C58" t="inlineStr">
        <is>
          <t>Föryngringsavverkning</t>
        </is>
      </c>
      <c r="D58" s="1" t="n">
        <v>45476</v>
      </c>
      <c r="E58" s="1" t="n">
        <v>46326</v>
      </c>
      <c r="F58" t="inlineStr">
        <is>
          <t>STOCKHOLMS LÄN</t>
        </is>
      </c>
      <c r="G58" t="inlineStr">
        <is>
          <t>ÖSTERÅKER</t>
        </is>
      </c>
      <c r="H58" t="inlineStr">
        <is>
          <t>Övriga Aktiebolag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52220-2025</t>
        </is>
      </c>
      <c r="B59" t="inlineStr">
        <is>
          <t>avverkningsanmälan</t>
        </is>
      </c>
      <c r="C59" t="inlineStr">
        <is>
          <t>Avverkning för annat ändamål</t>
        </is>
      </c>
      <c r="D59" s="1" t="n">
        <v>45953</v>
      </c>
      <c r="E59" s="1" t="n">
        <v>46326</v>
      </c>
      <c r="F59" t="inlineStr">
        <is>
          <t>STOCKHOLMS LÄN</t>
        </is>
      </c>
      <c r="G59" t="inlineStr">
        <is>
          <t>ÖSTERÅKER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46326</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39394-2023</t>
        </is>
      </c>
      <c r="B61" t="inlineStr">
        <is>
          <t>avverkningsanmälan</t>
        </is>
      </c>
      <c r="C61" t="inlineStr">
        <is>
          <t>Föryngringsavverkning</t>
        </is>
      </c>
      <c r="D61" s="1" t="n">
        <v>45166</v>
      </c>
      <c r="E61" s="1" t="n">
        <v>46326</v>
      </c>
      <c r="F61" t="inlineStr">
        <is>
          <t>STOCKHOLMS LÄN</t>
        </is>
      </c>
      <c r="G61" t="inlineStr">
        <is>
          <t>ÖSTERÅKER</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12345-2026</t>
        </is>
      </c>
      <c r="B62" t="inlineStr">
        <is>
          <t>avverkningsanmälan</t>
        </is>
      </c>
      <c r="C62" t="inlineStr">
        <is>
          <t>Föryngringsavverkning</t>
        </is>
      </c>
      <c r="D62" s="1" t="n">
        <v>46087</v>
      </c>
      <c r="E62" s="1" t="n">
        <v>46326</v>
      </c>
      <c r="F62" t="inlineStr">
        <is>
          <t>STOCKHOLMS LÄN</t>
        </is>
      </c>
      <c r="G62" t="inlineStr">
        <is>
          <t>ÖSTERÅKER</t>
        </is>
      </c>
      <c r="H62" t="inlineStr">
        <is>
          <t>Övriga Aktiebolag</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16803-2022</t>
        </is>
      </c>
      <c r="B63" t="inlineStr">
        <is>
          <t>avverkningsanmälan</t>
        </is>
      </c>
      <c r="C63" t="inlineStr">
        <is>
          <t>Föryngringsavverkning</t>
        </is>
      </c>
      <c r="D63" s="1" t="n">
        <v>44673</v>
      </c>
      <c r="E63" s="1" t="n">
        <v>46326</v>
      </c>
      <c r="F63" t="inlineStr">
        <is>
          <t>STOCKHOLMS LÄN</t>
        </is>
      </c>
      <c r="G63" t="inlineStr">
        <is>
          <t>ÖSTERÅKER</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470-2022</t>
        </is>
      </c>
      <c r="B64" t="inlineStr">
        <is>
          <t>avverkningsanmälan</t>
        </is>
      </c>
      <c r="C64" t="inlineStr">
        <is>
          <t>Föryngringsavverkning</t>
        </is>
      </c>
      <c r="D64" s="1" t="n">
        <v>44565</v>
      </c>
      <c r="E64" s="1" t="n">
        <v>46326</v>
      </c>
      <c r="F64" t="inlineStr">
        <is>
          <t>STOCKHOLMS LÄN</t>
        </is>
      </c>
      <c r="G64" t="inlineStr">
        <is>
          <t>ÖSTERÅKER</t>
        </is>
      </c>
      <c r="H64" t="inlineStr">
        <is>
          <t>Övriga Aktiebolag</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6655-2023</t>
        </is>
      </c>
      <c r="B65" t="inlineStr">
        <is>
          <t>avverkningsanmälan</t>
        </is>
      </c>
      <c r="C65" t="inlineStr">
        <is>
          <t>Föryngringsavverkning</t>
        </is>
      </c>
      <c r="D65" s="1" t="n">
        <v>44966</v>
      </c>
      <c r="E65" s="1" t="n">
        <v>46326</v>
      </c>
      <c r="F65" t="inlineStr">
        <is>
          <t>STOCKHOLMS LÄN</t>
        </is>
      </c>
      <c r="G65" t="inlineStr">
        <is>
          <t>ÖSTERÅKER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56909-2024</t>
        </is>
      </c>
      <c r="B66" t="inlineStr">
        <is>
          <t>avverkningsanmälan</t>
        </is>
      </c>
      <c r="C66" t="inlineStr">
        <is>
          <t>Avverkning för att bevara och utveckla /försöksver</t>
        </is>
      </c>
      <c r="D66" s="1" t="n">
        <v>45628</v>
      </c>
      <c r="E66" s="1" t="n">
        <v>46326</v>
      </c>
      <c r="F66" t="inlineStr">
        <is>
          <t>STOCKHOLMS LÄN</t>
        </is>
      </c>
      <c r="G66" t="inlineStr">
        <is>
          <t>ÖSTERÅKER</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34713-2025</t>
        </is>
      </c>
      <c r="B67" t="inlineStr">
        <is>
          <t>avverkningsanmälan</t>
        </is>
      </c>
      <c r="C67" t="inlineStr">
        <is>
          <t>Föryngringsavverkning</t>
        </is>
      </c>
      <c r="D67" s="1" t="n">
        <v>45848</v>
      </c>
      <c r="E67" s="1" t="n">
        <v>46326</v>
      </c>
      <c r="F67" t="inlineStr">
        <is>
          <t>STOCKHOLMS LÄN</t>
        </is>
      </c>
      <c r="G67" t="inlineStr">
        <is>
          <t>ÖSTERÅKER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60482-2025</t>
        </is>
      </c>
      <c r="B68" t="inlineStr">
        <is>
          <t>avverkningsanmälan</t>
        </is>
      </c>
      <c r="C68" t="inlineStr">
        <is>
          <t>Föryngringsavverkning</t>
        </is>
      </c>
      <c r="D68" s="1" t="n">
        <v>45995</v>
      </c>
      <c r="E68" s="1" t="n">
        <v>46326</v>
      </c>
      <c r="F68" t="inlineStr">
        <is>
          <t>STOCKHOLMS LÄN</t>
        </is>
      </c>
      <c r="G68" t="inlineStr">
        <is>
          <t>ÖSTERÅKER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21796-2025</t>
        </is>
      </c>
      <c r="B69" t="inlineStr">
        <is>
          <t>avverkningsanmälan</t>
        </is>
      </c>
      <c r="C69" t="inlineStr">
        <is>
          <t>Föryngringsavverkning</t>
        </is>
      </c>
      <c r="D69" s="1" t="n">
        <v>45783</v>
      </c>
      <c r="E69" s="1" t="n">
        <v>46326</v>
      </c>
      <c r="F69" t="inlineStr">
        <is>
          <t>STOCKHOLMS LÄN</t>
        </is>
      </c>
      <c r="G69" t="inlineStr">
        <is>
          <t>ÖSTERÅKER</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18711-2023</t>
        </is>
      </c>
      <c r="B70" t="inlineStr">
        <is>
          <t>avverkningsanmälan</t>
        </is>
      </c>
      <c r="C70" t="inlineStr">
        <is>
          <t>Föryngringsavverkning</t>
        </is>
      </c>
      <c r="D70" s="1" t="n">
        <v>45043</v>
      </c>
      <c r="E70" s="1" t="n">
        <v>46326</v>
      </c>
      <c r="F70" t="inlineStr">
        <is>
          <t>STOCKHOLMS LÄN</t>
        </is>
      </c>
      <c r="G70" t="inlineStr">
        <is>
          <t>ÖSTERÅKER</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845-2024</t>
        </is>
      </c>
      <c r="B71" t="inlineStr">
        <is>
          <t>avverkningsanmälan</t>
        </is>
      </c>
      <c r="C71" t="inlineStr">
        <is>
          <t>Föryngringsavverkning</t>
        </is>
      </c>
      <c r="D71" s="1" t="n">
        <v>45300</v>
      </c>
      <c r="E71" s="1" t="n">
        <v>46326</v>
      </c>
      <c r="F71" t="inlineStr">
        <is>
          <t>STOCKHOLMS LÄN</t>
        </is>
      </c>
      <c r="G71" t="inlineStr">
        <is>
          <t>ÖSTERÅKER</t>
        </is>
      </c>
      <c r="I71" t="n">
        <v>10.1</v>
      </c>
      <c r="J71" t="n">
        <v>0</v>
      </c>
      <c r="K71" t="n">
        <v>0</v>
      </c>
      <c r="L71" t="n">
        <v>0</v>
      </c>
      <c r="M71" t="n">
        <v>0</v>
      </c>
      <c r="N71" t="n">
        <v>0</v>
      </c>
      <c r="O71" t="n">
        <v>0</v>
      </c>
      <c r="P71" t="n">
        <v>0</v>
      </c>
      <c r="Q71" t="n">
        <v>0</v>
      </c>
      <c r="R71" t="n">
        <v>0</v>
      </c>
      <c r="S71" t="n">
        <v>0</v>
      </c>
      <c r="T71" t="n">
        <v>0</v>
      </c>
      <c r="U71" t="n">
        <v>0</v>
      </c>
      <c r="V71" s="2" t="inlineStr"/>
    </row>
    <row r="72" ht="15" customHeight="1">
      <c r="A72" t="inlineStr">
        <is>
          <t>A 23144-2024</t>
        </is>
      </c>
      <c r="B72" t="inlineStr">
        <is>
          <t>avverkningsanmälan</t>
        </is>
      </c>
      <c r="C72" t="inlineStr">
        <is>
          <t>Föryngringsavverkning</t>
        </is>
      </c>
      <c r="D72" s="1" t="n">
        <v>45450</v>
      </c>
      <c r="E72" s="1" t="n">
        <v>46326</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31134-2023</t>
        </is>
      </c>
      <c r="B73" t="inlineStr">
        <is>
          <t>avverkningsanmälan</t>
        </is>
      </c>
      <c r="C73" t="inlineStr">
        <is>
          <t>Föryngringsavverkning</t>
        </is>
      </c>
      <c r="D73" s="1" t="n">
        <v>45113</v>
      </c>
      <c r="E73" s="1" t="n">
        <v>46326</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17263-2022</t>
        </is>
      </c>
      <c r="B74" t="inlineStr">
        <is>
          <t>avverkningsanmälan</t>
        </is>
      </c>
      <c r="C74" t="inlineStr">
        <is>
          <t>Föryngringsavverkning</t>
        </is>
      </c>
      <c r="D74" s="1" t="n">
        <v>44678</v>
      </c>
      <c r="E74" s="1" t="n">
        <v>46326</v>
      </c>
      <c r="F74" t="inlineStr">
        <is>
          <t>STOCKHOLMS LÄN</t>
        </is>
      </c>
      <c r="G74" t="inlineStr">
        <is>
          <t>ÖSTERÅKER</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10185-2025</t>
        </is>
      </c>
      <c r="B75" t="inlineStr">
        <is>
          <t>avverkningsanmälan</t>
        </is>
      </c>
      <c r="C75" t="inlineStr">
        <is>
          <t>Föryngringsavverkning</t>
        </is>
      </c>
      <c r="D75" s="1" t="n">
        <v>45719</v>
      </c>
      <c r="E75" s="1" t="n">
        <v>46326</v>
      </c>
      <c r="F75" t="inlineStr">
        <is>
          <t>STOCKHOLMS LÄN</t>
        </is>
      </c>
      <c r="G75" t="inlineStr">
        <is>
          <t>ÖSTERÅKER</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34038-2025</t>
        </is>
      </c>
      <c r="B76" t="inlineStr">
        <is>
          <t>avverkningsanmälan</t>
        </is>
      </c>
      <c r="C76" t="inlineStr">
        <is>
          <t>Föryngringsavverkning</t>
        </is>
      </c>
      <c r="D76" s="1" t="n">
        <v>45842</v>
      </c>
      <c r="E76" s="1" t="n">
        <v>46326</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9865-2025</t>
        </is>
      </c>
      <c r="B77" t="inlineStr">
        <is>
          <t>avverkningsanmälan</t>
        </is>
      </c>
      <c r="C77" t="inlineStr">
        <is>
          <t>Föryngringsavverkning</t>
        </is>
      </c>
      <c r="D77" s="1" t="n">
        <v>45716</v>
      </c>
      <c r="E77" s="1" t="n">
        <v>46326</v>
      </c>
      <c r="F77" t="inlineStr">
        <is>
          <t>STOCKHOLMS LÄN</t>
        </is>
      </c>
      <c r="G77" t="inlineStr">
        <is>
          <t>ÖSTERÅKER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24499-2023</t>
        </is>
      </c>
      <c r="B78" t="inlineStr">
        <is>
          <t>avverkningsanmälan</t>
        </is>
      </c>
      <c r="C78" t="inlineStr">
        <is>
          <t>Föryngringsavverkning</t>
        </is>
      </c>
      <c r="D78" s="1" t="n">
        <v>45082</v>
      </c>
      <c r="E78" s="1" t="n">
        <v>46326</v>
      </c>
      <c r="F78" t="inlineStr">
        <is>
          <t>STOCKHOLMS LÄN</t>
        </is>
      </c>
      <c r="G78" t="inlineStr">
        <is>
          <t>ÖSTERÅKER</t>
        </is>
      </c>
      <c r="I78" t="n">
        <v>0.1</v>
      </c>
      <c r="J78" t="n">
        <v>0</v>
      </c>
      <c r="K78" t="n">
        <v>0</v>
      </c>
      <c r="L78" t="n">
        <v>0</v>
      </c>
      <c r="M78" t="n">
        <v>0</v>
      </c>
      <c r="N78" t="n">
        <v>0</v>
      </c>
      <c r="O78" t="n">
        <v>0</v>
      </c>
      <c r="P78" t="n">
        <v>0</v>
      </c>
      <c r="Q78" t="n">
        <v>0</v>
      </c>
      <c r="R78" t="n">
        <v>0</v>
      </c>
      <c r="S78" t="n">
        <v>0</v>
      </c>
      <c r="T78" t="n">
        <v>0</v>
      </c>
      <c r="U78" t="n">
        <v>0</v>
      </c>
      <c r="V78" s="2" t="inlineStr"/>
    </row>
    <row r="79" ht="15" customHeight="1">
      <c r="A79" t="inlineStr">
        <is>
          <t>A 28146-2024</t>
        </is>
      </c>
      <c r="B79" t="inlineStr">
        <is>
          <t>avverkningsanmälan</t>
        </is>
      </c>
      <c r="C79" t="inlineStr">
        <is>
          <t>Föryngringsavverkning</t>
        </is>
      </c>
      <c r="D79" s="1" t="n">
        <v>45476</v>
      </c>
      <c r="E79" s="1" t="n">
        <v>46326</v>
      </c>
      <c r="F79" t="inlineStr">
        <is>
          <t>STOCKHOLMS LÄN</t>
        </is>
      </c>
      <c r="G79" t="inlineStr">
        <is>
          <t>ÖSTERÅKER</t>
        </is>
      </c>
      <c r="H79" t="inlineStr">
        <is>
          <t>Övriga Aktiebolag</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57048-2024</t>
        </is>
      </c>
      <c r="B80" t="inlineStr">
        <is>
          <t>avverkningsanmälan</t>
        </is>
      </c>
      <c r="C80" t="inlineStr">
        <is>
          <t>Föryngringsavverkning</t>
        </is>
      </c>
      <c r="D80" s="1" t="n">
        <v>45629</v>
      </c>
      <c r="E80" s="1" t="n">
        <v>46326</v>
      </c>
      <c r="F80" t="inlineStr">
        <is>
          <t>STOCKHOLMS LÄN</t>
        </is>
      </c>
      <c r="G80" t="inlineStr">
        <is>
          <t>ÖSTERÅKER</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5286-2025</t>
        </is>
      </c>
      <c r="B81" t="inlineStr">
        <is>
          <t>avverkningsanmälan</t>
        </is>
      </c>
      <c r="C81" t="inlineStr">
        <is>
          <t>Föryngringsavverkning</t>
        </is>
      </c>
      <c r="D81" s="1" t="n">
        <v>45692</v>
      </c>
      <c r="E81" s="1" t="n">
        <v>46326</v>
      </c>
      <c r="F81" t="inlineStr">
        <is>
          <t>STOCKHOLMS LÄN</t>
        </is>
      </c>
      <c r="G81" t="inlineStr">
        <is>
          <t>ÖSTERÅKER</t>
        </is>
      </c>
      <c r="I81" t="n">
        <v>11.2</v>
      </c>
      <c r="J81" t="n">
        <v>0</v>
      </c>
      <c r="K81" t="n">
        <v>0</v>
      </c>
      <c r="L81" t="n">
        <v>0</v>
      </c>
      <c r="M81" t="n">
        <v>0</v>
      </c>
      <c r="N81" t="n">
        <v>0</v>
      </c>
      <c r="O81" t="n">
        <v>0</v>
      </c>
      <c r="P81" t="n">
        <v>0</v>
      </c>
      <c r="Q81" t="n">
        <v>0</v>
      </c>
      <c r="R81" t="n">
        <v>0</v>
      </c>
      <c r="S81" t="n">
        <v>0</v>
      </c>
      <c r="T81" t="n">
        <v>0</v>
      </c>
      <c r="U81" t="n">
        <v>0</v>
      </c>
      <c r="V81" s="2" t="inlineStr"/>
    </row>
    <row r="82" ht="15" customHeight="1">
      <c r="A82" t="inlineStr">
        <is>
          <t>A 3817-2023</t>
        </is>
      </c>
      <c r="B82" t="inlineStr">
        <is>
          <t>avverkningsanmälan</t>
        </is>
      </c>
      <c r="C82" t="inlineStr">
        <is>
          <t>Föryngringsavverkning</t>
        </is>
      </c>
      <c r="D82" s="1" t="n">
        <v>44951</v>
      </c>
      <c r="E82" s="1" t="n">
        <v>46326</v>
      </c>
      <c r="F82" t="inlineStr">
        <is>
          <t>STOCKHOLMS LÄN</t>
        </is>
      </c>
      <c r="G82" t="inlineStr">
        <is>
          <t>ÖSTERÅKER</t>
        </is>
      </c>
      <c r="H82" t="inlineStr">
        <is>
          <t>Kommuner</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544-2023</t>
        </is>
      </c>
      <c r="B83" t="inlineStr">
        <is>
          <t>avverkningsanmälan</t>
        </is>
      </c>
      <c r="C83" t="inlineStr">
        <is>
          <t>Avverkning för annat ändamål</t>
        </is>
      </c>
      <c r="D83" s="1" t="n">
        <v>44924</v>
      </c>
      <c r="E83" s="1" t="n">
        <v>46326</v>
      </c>
      <c r="F83" t="inlineStr">
        <is>
          <t>STOCKHOLMS LÄN</t>
        </is>
      </c>
      <c r="G83" t="inlineStr">
        <is>
          <t>ÖSTERÅKER</t>
        </is>
      </c>
      <c r="H83" t="inlineStr">
        <is>
          <t>Övriga Aktiebolag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26249-2026</t>
        </is>
      </c>
      <c r="B84" t="inlineStr">
        <is>
          <t>avverkningsanmälan</t>
        </is>
      </c>
      <c r="C84" t="inlineStr">
        <is>
          <t>Avverkning för annat ändamål</t>
        </is>
      </c>
      <c r="D84" s="1" t="n">
        <v>46182</v>
      </c>
      <c r="E84" s="1" t="n">
        <v>46326</v>
      </c>
      <c r="F84" t="inlineStr">
        <is>
          <t>STOCKHOLMS LÄN</t>
        </is>
      </c>
      <c r="G84" t="inlineStr">
        <is>
          <t>ÖSTERÅKER</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3326-2022</t>
        </is>
      </c>
      <c r="B85" t="inlineStr">
        <is>
          <t>avverkningsanmälan</t>
        </is>
      </c>
      <c r="C85" t="inlineStr">
        <is>
          <t>Föryngringsavverkning</t>
        </is>
      </c>
      <c r="D85" s="1" t="n">
        <v>44583</v>
      </c>
      <c r="E85" s="1" t="n">
        <v>46326</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13366-2024</t>
        </is>
      </c>
      <c r="B86" t="inlineStr">
        <is>
          <t>avverkningsanmälan</t>
        </is>
      </c>
      <c r="C86" t="inlineStr">
        <is>
          <t>Föryngringsavverkning</t>
        </is>
      </c>
      <c r="D86" s="1" t="n">
        <v>45387</v>
      </c>
      <c r="E86" s="1" t="n">
        <v>46326</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46326</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59379-2022</t>
        </is>
      </c>
      <c r="B88" t="inlineStr">
        <is>
          <t>avverkningsanmälan</t>
        </is>
      </c>
      <c r="C88" t="inlineStr">
        <is>
          <t>Föryngringsavverkning</t>
        </is>
      </c>
      <c r="D88" s="1" t="n">
        <v>44905</v>
      </c>
      <c r="E88" s="1" t="n">
        <v>46326</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46688-2022</t>
        </is>
      </c>
      <c r="B89" t="inlineStr">
        <is>
          <t>avverkningsanmälan</t>
        </is>
      </c>
      <c r="C89" t="inlineStr">
        <is>
          <t>Föryngringsavverkning</t>
        </is>
      </c>
      <c r="D89" s="1" t="n">
        <v>44851</v>
      </c>
      <c r="E89" s="1" t="n">
        <v>46326</v>
      </c>
      <c r="F89" t="inlineStr">
        <is>
          <t>STOCKHOLMS LÄN</t>
        </is>
      </c>
      <c r="G89" t="inlineStr">
        <is>
          <t>ÖSTERÅKER</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16738-2022</t>
        </is>
      </c>
      <c r="B90" t="inlineStr">
        <is>
          <t>avverkningsanmälan</t>
        </is>
      </c>
      <c r="C90" t="inlineStr">
        <is>
          <t>Avverkning för annat ändamål</t>
        </is>
      </c>
      <c r="D90" s="1" t="n">
        <v>44673</v>
      </c>
      <c r="E90" s="1" t="n">
        <v>46326</v>
      </c>
      <c r="F90" t="inlineStr">
        <is>
          <t>STOCKHOLMS LÄN</t>
        </is>
      </c>
      <c r="G90" t="inlineStr">
        <is>
          <t>ÖSTERÅKER</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29443-2026</t>
        </is>
      </c>
      <c r="B91" t="inlineStr">
        <is>
          <t>avverkningsanmälan</t>
        </is>
      </c>
      <c r="C91" t="inlineStr">
        <is>
          <t>Föryngringsavverkning</t>
        </is>
      </c>
      <c r="D91" s="1" t="n">
        <v>46203</v>
      </c>
      <c r="E91" s="1" t="n">
        <v>46326</v>
      </c>
      <c r="F91" t="inlineStr">
        <is>
          <t>STOCKHOLMS LÄN</t>
        </is>
      </c>
      <c r="G91" t="inlineStr">
        <is>
          <t>ÖSTERÅKER</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17196-2022</t>
        </is>
      </c>
      <c r="B92" t="inlineStr">
        <is>
          <t>avverkningsanmälan</t>
        </is>
      </c>
      <c r="C92" t="inlineStr">
        <is>
          <t>Föryngringsavverkning</t>
        </is>
      </c>
      <c r="D92" s="1" t="n">
        <v>44677</v>
      </c>
      <c r="E92" s="1" t="n">
        <v>46326</v>
      </c>
      <c r="F92" t="inlineStr">
        <is>
          <t>STOCKHOLMS LÄN</t>
        </is>
      </c>
      <c r="G92" t="inlineStr">
        <is>
          <t>ÖSTERÅKER</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30599-2026</t>
        </is>
      </c>
      <c r="B93" t="inlineStr">
        <is>
          <t>avverkningsanmälan</t>
        </is>
      </c>
      <c r="C93" t="inlineStr">
        <is>
          <t>Föryngringsavverkning</t>
        </is>
      </c>
      <c r="D93" s="1" t="n">
        <v>46210</v>
      </c>
      <c r="E93" s="1" t="n">
        <v>46326</v>
      </c>
      <c r="F93" t="inlineStr">
        <is>
          <t>STOCKHOLMS LÄN</t>
        </is>
      </c>
      <c r="G93" t="inlineStr">
        <is>
          <t>ÖSTERÅKER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31154-2026</t>
        </is>
      </c>
      <c r="B94" t="inlineStr">
        <is>
          <t>avverkningsanmälan</t>
        </is>
      </c>
      <c r="C94" t="inlineStr">
        <is>
          <t>Föryngringsavverkning</t>
        </is>
      </c>
      <c r="D94" s="1" t="n">
        <v>46216</v>
      </c>
      <c r="E94" s="1" t="n">
        <v>46326</v>
      </c>
      <c r="F94" t="inlineStr">
        <is>
          <t>STOCKHOLMS LÄN</t>
        </is>
      </c>
      <c r="G94" t="inlineStr">
        <is>
          <t>ÖSTERÅKER</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31146-2026</t>
        </is>
      </c>
      <c r="B95" t="inlineStr">
        <is>
          <t>avverkningsanmälan</t>
        </is>
      </c>
      <c r="C95" t="inlineStr">
        <is>
          <t>Föryngringsavverkning</t>
        </is>
      </c>
      <c r="D95" s="1" t="n">
        <v>46216</v>
      </c>
      <c r="E95" s="1" t="n">
        <v>46326</v>
      </c>
      <c r="F95" t="inlineStr">
        <is>
          <t>STOCKHOLMS LÄN</t>
        </is>
      </c>
      <c r="G95" t="inlineStr">
        <is>
          <t>ÖSTERÅKER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31149-2026</t>
        </is>
      </c>
      <c r="B96" t="inlineStr">
        <is>
          <t>avverkningsanmälan</t>
        </is>
      </c>
      <c r="C96" t="inlineStr">
        <is>
          <t>Föryngringsavverkning</t>
        </is>
      </c>
      <c r="D96" s="1" t="n">
        <v>46216</v>
      </c>
      <c r="E96" s="1" t="n">
        <v>46326</v>
      </c>
      <c r="F96" t="inlineStr">
        <is>
          <t>STOCKHOLMS LÄN</t>
        </is>
      </c>
      <c r="G96" t="inlineStr">
        <is>
          <t>ÖSTERÅKER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3917-2023</t>
        </is>
      </c>
      <c r="B97" t="inlineStr">
        <is>
          <t>avverkningsanmälan</t>
        </is>
      </c>
      <c r="C97" t="inlineStr">
        <is>
          <t>Föryngringsavverkning</t>
        </is>
      </c>
      <c r="D97" s="1" t="n">
        <v>44952</v>
      </c>
      <c r="E97" s="1" t="n">
        <v>46326</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31156-2026</t>
        </is>
      </c>
      <c r="B98" t="inlineStr">
        <is>
          <t>avverkningsanmälan</t>
        </is>
      </c>
      <c r="C98" t="inlineStr">
        <is>
          <t>Föryngringsavverkning</t>
        </is>
      </c>
      <c r="D98" s="1" t="n">
        <v>46216</v>
      </c>
      <c r="E98" s="1" t="n">
        <v>46326</v>
      </c>
      <c r="F98" t="inlineStr">
        <is>
          <t>STOCKHOLMS LÄN</t>
        </is>
      </c>
      <c r="G98" t="inlineStr">
        <is>
          <t>ÖSTERÅKER</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46326</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40142-2026</t>
        </is>
      </c>
      <c r="B100" t="inlineStr">
        <is>
          <t>avverkningsanmälan</t>
        </is>
      </c>
      <c r="C100" t="inlineStr">
        <is>
          <t>Föryngringsavverkning</t>
        </is>
      </c>
      <c r="D100" s="1" t="n">
        <v>46293</v>
      </c>
      <c r="E100" s="1" t="n">
        <v>46326</v>
      </c>
      <c r="F100" t="inlineStr">
        <is>
          <t>STOCKHOLMS LÄN</t>
        </is>
      </c>
      <c r="G100" t="inlineStr">
        <is>
          <t>ÖSTERÅKER</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41772-2026</t>
        </is>
      </c>
      <c r="B101" t="inlineStr">
        <is>
          <t>avverkningsanmälan</t>
        </is>
      </c>
      <c r="C101" t="inlineStr">
        <is>
          <t>Föryngringsavverkning</t>
        </is>
      </c>
      <c r="D101" s="1" t="n">
        <v>46302</v>
      </c>
      <c r="E101" s="1" t="n">
        <v>46326</v>
      </c>
      <c r="F101" t="inlineStr">
        <is>
          <t>STOCKHOLMS LÄN</t>
        </is>
      </c>
      <c r="G101" t="inlineStr">
        <is>
          <t>ÖSTERÅKER</t>
        </is>
      </c>
      <c r="H101" t="inlineStr">
        <is>
          <t>Övriga Aktiebolag</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S 104-2024</t>
        </is>
      </c>
      <c r="B102" t="inlineStr">
        <is>
          <t>samrådsanmälan</t>
        </is>
      </c>
      <c r="C102" t="inlineStr">
        <is>
          <t>Annan skogsbruksåtgärd</t>
        </is>
      </c>
      <c r="D102" s="1" t="n">
        <v>45302</v>
      </c>
      <c r="E102" s="1" t="n">
        <v>46326</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156-2024</t>
        </is>
      </c>
      <c r="B103" t="inlineStr">
        <is>
          <t>samrådsanmälan</t>
        </is>
      </c>
      <c r="C103" t="inlineStr">
        <is>
          <t>Annan skogsbruksåtgärd</t>
        </is>
      </c>
      <c r="D103" s="1" t="n">
        <v>45309</v>
      </c>
      <c r="E103" s="1" t="n">
        <v>46326</v>
      </c>
      <c r="F103" t="inlineStr">
        <is>
          <t>STOCKHOLMS LÄN</t>
        </is>
      </c>
      <c r="G103" t="inlineStr">
        <is>
          <t>ÖSTERÅKER</t>
        </is>
      </c>
      <c r="I103" t="n">
        <v>7.2</v>
      </c>
      <c r="J103" t="n">
        <v>0</v>
      </c>
      <c r="K103" t="n">
        <v>0</v>
      </c>
      <c r="L103" t="n">
        <v>0</v>
      </c>
      <c r="M103" t="n">
        <v>0</v>
      </c>
      <c r="N103" t="n">
        <v>0</v>
      </c>
      <c r="O103" t="n">
        <v>0</v>
      </c>
      <c r="P103" t="n">
        <v>0</v>
      </c>
      <c r="Q103" t="n">
        <v>0</v>
      </c>
      <c r="R103" t="n">
        <v>0</v>
      </c>
      <c r="S103" t="n">
        <v>0</v>
      </c>
      <c r="T103" t="n">
        <v>0</v>
      </c>
      <c r="U103" t="n">
        <v>0</v>
      </c>
      <c r="V103" s="2" t="inlineStr"/>
    </row>
    <row r="104">
      <c r="A104" t="inlineStr">
        <is>
          <t>S 2021-2026</t>
        </is>
      </c>
      <c r="B104" t="inlineStr">
        <is>
          <t>samrådsanmälan</t>
        </is>
      </c>
      <c r="C104" t="inlineStr">
        <is>
          <t>Annan skogsbruksåtgärd</t>
        </is>
      </c>
      <c r="D104" s="1" t="n">
        <v>46210</v>
      </c>
      <c r="E104" s="1" t="n">
        <v>46326</v>
      </c>
      <c r="F104" t="inlineStr">
        <is>
          <t>STOCKHOLMS LÄN</t>
        </is>
      </c>
      <c r="G104" t="inlineStr">
        <is>
          <t>ÖSTERÅKER</t>
        </is>
      </c>
      <c r="I104" t="n">
        <v>2.6</v>
      </c>
      <c r="J104" t="n">
        <v>0</v>
      </c>
      <c r="K104" t="n">
        <v>0</v>
      </c>
      <c r="L104" t="n">
        <v>0</v>
      </c>
      <c r="M104" t="n">
        <v>0</v>
      </c>
      <c r="N104" t="n">
        <v>0</v>
      </c>
      <c r="O104" t="n">
        <v>0</v>
      </c>
      <c r="P104" t="n">
        <v>0</v>
      </c>
      <c r="Q104" t="n">
        <v>0</v>
      </c>
      <c r="R104" t="n">
        <v>0</v>
      </c>
      <c r="S104" t="n">
        <v>0</v>
      </c>
      <c r="T104" t="n">
        <v>0</v>
      </c>
      <c r="U104" t="n">
        <v>0</v>
      </c>
      <c r="V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2026-10-31T03:25:23Z</dcterms:created>
  <dcterms:modified xmlns:dcterms="http://purl.org/dc/terms/" xmlns:xsi="http://www.w3.org/2001/XMLSchema-instance" xsi:type="dcterms:W3CDTF">2026-10-31T03:25:23Z</dcterms:modified>
</cp:coreProperties>
</file>