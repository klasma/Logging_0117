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46175</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46175</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46175</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46175</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46175</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46175</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46175</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46175</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46175</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46175</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46175</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46175</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46175</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43308-2024</t>
        </is>
      </c>
      <c r="B16" s="1" t="n">
        <v>45568</v>
      </c>
      <c r="C16" s="1" t="n">
        <v>46175</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36366-2025</t>
        </is>
      </c>
      <c r="B17" s="1" t="n">
        <v>45868</v>
      </c>
      <c r="C17" s="1" t="n">
        <v>46175</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62578-2025</t>
        </is>
      </c>
      <c r="B18" s="1" t="n">
        <v>46007</v>
      </c>
      <c r="C18" s="1" t="n">
        <v>46175</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46175</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46175</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46175</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46175</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31716-2025</t>
        </is>
      </c>
      <c r="B23" s="1" t="n">
        <v>45834</v>
      </c>
      <c r="C23" s="1" t="n">
        <v>46175</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13652-2026</t>
        </is>
      </c>
      <c r="B24" s="1" t="n">
        <v>46097</v>
      </c>
      <c r="C24" s="1" t="n">
        <v>46175</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27921-2025</t>
        </is>
      </c>
      <c r="B25" s="1" t="n">
        <v>45817.4846875</v>
      </c>
      <c r="C25" s="1" t="n">
        <v>46175</v>
      </c>
      <c r="D25" t="inlineStr">
        <is>
          <t>STOCKHOLMS LÄN</t>
        </is>
      </c>
      <c r="E25" t="inlineStr">
        <is>
          <t>ÖSTERÅKER</t>
        </is>
      </c>
      <c r="G25" t="n">
        <v>11.8</v>
      </c>
      <c r="H25" t="n">
        <v>1</v>
      </c>
      <c r="I25" t="n">
        <v>0</v>
      </c>
      <c r="J25" t="n">
        <v>0</v>
      </c>
      <c r="K25" t="n">
        <v>0</v>
      </c>
      <c r="L25" t="n">
        <v>0</v>
      </c>
      <c r="M25" t="n">
        <v>0</v>
      </c>
      <c r="N25" t="n">
        <v>0</v>
      </c>
      <c r="O25" t="n">
        <v>0</v>
      </c>
      <c r="P25" t="n">
        <v>0</v>
      </c>
      <c r="Q25" t="n">
        <v>1</v>
      </c>
      <c r="R25" s="2" t="inlineStr">
        <is>
          <t>Mindre vattensalamander</t>
        </is>
      </c>
      <c r="S25">
        <f>HYPERLINK("https://klasma.github.io/Logging_0117/artfynd/A 27921-2025 artfynd.xlsx", "A 27921-2025")</f>
        <v/>
      </c>
      <c r="T25">
        <f>HYPERLINK("https://klasma.github.io/Logging_0117/kartor/A 27921-2025 karta.png", "A 27921-2025")</f>
        <v/>
      </c>
      <c r="V25">
        <f>HYPERLINK("https://klasma.github.io/Logging_0117/klagomål/A 27921-2025 FSC-klagomål.docx", "A 27921-2025")</f>
        <v/>
      </c>
      <c r="W25">
        <f>HYPERLINK("https://klasma.github.io/Logging_0117/klagomålsmail/A 27921-2025 FSC-klagomål mail.docx", "A 27921-2025")</f>
        <v/>
      </c>
      <c r="X25">
        <f>HYPERLINK("https://klasma.github.io/Logging_0117/tillsyn/A 27921-2025 tillsynsbegäran.docx", "A 27921-2025")</f>
        <v/>
      </c>
      <c r="Y25">
        <f>HYPERLINK("https://klasma.github.io/Logging_0117/tillsynsmail/A 27921-2025 tillsynsbegäran mail.docx", "A 27921-2025")</f>
        <v/>
      </c>
    </row>
    <row r="26" ht="15" customHeight="1">
      <c r="A26" t="inlineStr">
        <is>
          <t>A 848-2022</t>
        </is>
      </c>
      <c r="B26" s="1" t="n">
        <v>44569</v>
      </c>
      <c r="C26" s="1" t="n">
        <v>46175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46175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46175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46175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46175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46175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46175</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46175</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46175</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46175</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46175</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46175</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46175</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46175</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46175</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46175</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46175</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46175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46175</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46175</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46175</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46175</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46175</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464-2022</t>
        </is>
      </c>
      <c r="B49" s="1" t="n">
        <v>44565</v>
      </c>
      <c r="C49" s="1" t="n">
        <v>46175</v>
      </c>
      <c r="D49" t="inlineStr">
        <is>
          <t>STOCKHOLMS LÄN</t>
        </is>
      </c>
      <c r="E49" t="inlineStr">
        <is>
          <t>ÖSTERÅKER</t>
        </is>
      </c>
      <c r="F49" t="inlineStr">
        <is>
          <t>Övriga Aktiebolag</t>
        </is>
      </c>
      <c r="G49" t="n">
        <v>7.6</v>
      </c>
      <c r="H49" t="n">
        <v>0</v>
      </c>
      <c r="I49" t="n">
        <v>0</v>
      </c>
      <c r="J49" t="n">
        <v>0</v>
      </c>
      <c r="K49" t="n">
        <v>0</v>
      </c>
      <c r="L49" t="n">
        <v>0</v>
      </c>
      <c r="M49" t="n">
        <v>0</v>
      </c>
      <c r="N49" t="n">
        <v>0</v>
      </c>
      <c r="O49" t="n">
        <v>0</v>
      </c>
      <c r="P49" t="n">
        <v>0</v>
      </c>
      <c r="Q49" t="n">
        <v>0</v>
      </c>
      <c r="R49" s="2" t="inlineStr"/>
    </row>
    <row r="50" ht="15" customHeight="1">
      <c r="A50" t="inlineStr">
        <is>
          <t>A 28146-2024</t>
        </is>
      </c>
      <c r="B50" s="1" t="n">
        <v>45476</v>
      </c>
      <c r="C50" s="1" t="n">
        <v>46175</v>
      </c>
      <c r="D50" t="inlineStr">
        <is>
          <t>STOCKHOLMS LÄN</t>
        </is>
      </c>
      <c r="E50" t="inlineStr">
        <is>
          <t>ÖSTERÅKER</t>
        </is>
      </c>
      <c r="F50" t="inlineStr">
        <is>
          <t>Övriga Aktiebolag</t>
        </is>
      </c>
      <c r="G50" t="n">
        <v>2.7</v>
      </c>
      <c r="H50" t="n">
        <v>0</v>
      </c>
      <c r="I50" t="n">
        <v>0</v>
      </c>
      <c r="J50" t="n">
        <v>0</v>
      </c>
      <c r="K50" t="n">
        <v>0</v>
      </c>
      <c r="L50" t="n">
        <v>0</v>
      </c>
      <c r="M50" t="n">
        <v>0</v>
      </c>
      <c r="N50" t="n">
        <v>0</v>
      </c>
      <c r="O50" t="n">
        <v>0</v>
      </c>
      <c r="P50" t="n">
        <v>0</v>
      </c>
      <c r="Q50" t="n">
        <v>0</v>
      </c>
      <c r="R50" s="2" t="inlineStr"/>
    </row>
    <row r="51" ht="15" customHeight="1">
      <c r="A51" t="inlineStr">
        <is>
          <t>A 22528-2024</t>
        </is>
      </c>
      <c r="B51" s="1" t="n">
        <v>45447.44967592593</v>
      </c>
      <c r="C51" s="1" t="n">
        <v>46175</v>
      </c>
      <c r="D51" t="inlineStr">
        <is>
          <t>STOCKHOLMS LÄN</t>
        </is>
      </c>
      <c r="E51" t="inlineStr">
        <is>
          <t>ÖSTERÅKER</t>
        </is>
      </c>
      <c r="F51" t="inlineStr">
        <is>
          <t>Övriga Aktiebolag</t>
        </is>
      </c>
      <c r="G51" t="n">
        <v>1.4</v>
      </c>
      <c r="H51" t="n">
        <v>0</v>
      </c>
      <c r="I51" t="n">
        <v>0</v>
      </c>
      <c r="J51" t="n">
        <v>0</v>
      </c>
      <c r="K51" t="n">
        <v>0</v>
      </c>
      <c r="L51" t="n">
        <v>0</v>
      </c>
      <c r="M51" t="n">
        <v>0</v>
      </c>
      <c r="N51" t="n">
        <v>0</v>
      </c>
      <c r="O51" t="n">
        <v>0</v>
      </c>
      <c r="P51" t="n">
        <v>0</v>
      </c>
      <c r="Q51" t="n">
        <v>0</v>
      </c>
      <c r="R51" s="2" t="inlineStr"/>
    </row>
    <row r="52" ht="15" customHeight="1">
      <c r="A52" t="inlineStr">
        <is>
          <t>A 16803-2022</t>
        </is>
      </c>
      <c r="B52" s="1" t="n">
        <v>44673</v>
      </c>
      <c r="C52" s="1" t="n">
        <v>46175</v>
      </c>
      <c r="D52" t="inlineStr">
        <is>
          <t>STOCKHOLMS LÄN</t>
        </is>
      </c>
      <c r="E52" t="inlineStr">
        <is>
          <t>ÖSTERÅKER</t>
        </is>
      </c>
      <c r="G52" t="n">
        <v>1.9</v>
      </c>
      <c r="H52" t="n">
        <v>0</v>
      </c>
      <c r="I52" t="n">
        <v>0</v>
      </c>
      <c r="J52" t="n">
        <v>0</v>
      </c>
      <c r="K52" t="n">
        <v>0</v>
      </c>
      <c r="L52" t="n">
        <v>0</v>
      </c>
      <c r="M52" t="n">
        <v>0</v>
      </c>
      <c r="N52" t="n">
        <v>0</v>
      </c>
      <c r="O52" t="n">
        <v>0</v>
      </c>
      <c r="P52" t="n">
        <v>0</v>
      </c>
      <c r="Q52" t="n">
        <v>0</v>
      </c>
      <c r="R52" s="2" t="inlineStr"/>
    </row>
    <row r="53" ht="15" customHeight="1">
      <c r="A53" t="inlineStr">
        <is>
          <t>A 61710-2022</t>
        </is>
      </c>
      <c r="B53" s="1" t="n">
        <v>44917</v>
      </c>
      <c r="C53" s="1" t="n">
        <v>46175</v>
      </c>
      <c r="D53" t="inlineStr">
        <is>
          <t>STOCKHOLMS LÄN</t>
        </is>
      </c>
      <c r="E53" t="inlineStr">
        <is>
          <t>ÖSTERÅKER</t>
        </is>
      </c>
      <c r="G53" t="n">
        <v>6.2</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46175</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31456-2025</t>
        </is>
      </c>
      <c r="B55" s="1" t="n">
        <v>45833.5402662037</v>
      </c>
      <c r="C55" s="1" t="n">
        <v>46175</v>
      </c>
      <c r="D55" t="inlineStr">
        <is>
          <t>STOCKHOLMS LÄN</t>
        </is>
      </c>
      <c r="E55" t="inlineStr">
        <is>
          <t>ÖSTERÅKER</t>
        </is>
      </c>
      <c r="G55" t="n">
        <v>4.3</v>
      </c>
      <c r="H55" t="n">
        <v>0</v>
      </c>
      <c r="I55" t="n">
        <v>0</v>
      </c>
      <c r="J55" t="n">
        <v>0</v>
      </c>
      <c r="K55" t="n">
        <v>0</v>
      </c>
      <c r="L55" t="n">
        <v>0</v>
      </c>
      <c r="M55" t="n">
        <v>0</v>
      </c>
      <c r="N55" t="n">
        <v>0</v>
      </c>
      <c r="O55" t="n">
        <v>0</v>
      </c>
      <c r="P55" t="n">
        <v>0</v>
      </c>
      <c r="Q55" t="n">
        <v>0</v>
      </c>
      <c r="R55" s="2" t="inlineStr"/>
    </row>
    <row r="56" ht="15" customHeight="1">
      <c r="A56" t="inlineStr">
        <is>
          <t>A 3917-2023</t>
        </is>
      </c>
      <c r="B56" s="1" t="n">
        <v>44952</v>
      </c>
      <c r="C56" s="1" t="n">
        <v>46175</v>
      </c>
      <c r="D56" t="inlineStr">
        <is>
          <t>STOCKHOLMS LÄN</t>
        </is>
      </c>
      <c r="E56" t="inlineStr">
        <is>
          <t>ÖSTERÅKER</t>
        </is>
      </c>
      <c r="F56" t="inlineStr">
        <is>
          <t>Kommuner</t>
        </is>
      </c>
      <c r="G56" t="n">
        <v>2.8</v>
      </c>
      <c r="H56" t="n">
        <v>0</v>
      </c>
      <c r="I56" t="n">
        <v>0</v>
      </c>
      <c r="J56" t="n">
        <v>0</v>
      </c>
      <c r="K56" t="n">
        <v>0</v>
      </c>
      <c r="L56" t="n">
        <v>0</v>
      </c>
      <c r="M56" t="n">
        <v>0</v>
      </c>
      <c r="N56" t="n">
        <v>0</v>
      </c>
      <c r="O56" t="n">
        <v>0</v>
      </c>
      <c r="P56" t="n">
        <v>0</v>
      </c>
      <c r="Q56" t="n">
        <v>0</v>
      </c>
      <c r="R56" s="2" t="inlineStr"/>
    </row>
    <row r="57" ht="15" customHeight="1">
      <c r="A57" t="inlineStr">
        <is>
          <t>A 12345-2026</t>
        </is>
      </c>
      <c r="B57" s="1" t="n">
        <v>46087.67776620371</v>
      </c>
      <c r="C57" s="1" t="n">
        <v>46175</v>
      </c>
      <c r="D57" t="inlineStr">
        <is>
          <t>STOCKHOLMS LÄN</t>
        </is>
      </c>
      <c r="E57" t="inlineStr">
        <is>
          <t>ÖSTERÅKER</t>
        </is>
      </c>
      <c r="F57" t="inlineStr">
        <is>
          <t>Övriga Aktiebolag</t>
        </is>
      </c>
      <c r="G57" t="n">
        <v>1.6</v>
      </c>
      <c r="H57" t="n">
        <v>0</v>
      </c>
      <c r="I57" t="n">
        <v>0</v>
      </c>
      <c r="J57" t="n">
        <v>0</v>
      </c>
      <c r="K57" t="n">
        <v>0</v>
      </c>
      <c r="L57" t="n">
        <v>0</v>
      </c>
      <c r="M57" t="n">
        <v>0</v>
      </c>
      <c r="N57" t="n">
        <v>0</v>
      </c>
      <c r="O57" t="n">
        <v>0</v>
      </c>
      <c r="P57" t="n">
        <v>0</v>
      </c>
      <c r="Q57" t="n">
        <v>0</v>
      </c>
      <c r="R57" s="2" t="inlineStr"/>
    </row>
    <row r="58" ht="15" customHeight="1">
      <c r="A58" t="inlineStr">
        <is>
          <t>A 34034-2025</t>
        </is>
      </c>
      <c r="B58" s="1" t="n">
        <v>45842</v>
      </c>
      <c r="C58" s="1" t="n">
        <v>46175</v>
      </c>
      <c r="D58" t="inlineStr">
        <is>
          <t>STOCKHOLMS LÄN</t>
        </is>
      </c>
      <c r="E58" t="inlineStr">
        <is>
          <t>ÖSTERÅKER</t>
        </is>
      </c>
      <c r="F58" t="inlineStr">
        <is>
          <t>Övriga Aktiebolag</t>
        </is>
      </c>
      <c r="G58" t="n">
        <v>3.9</v>
      </c>
      <c r="H58" t="n">
        <v>0</v>
      </c>
      <c r="I58" t="n">
        <v>0</v>
      </c>
      <c r="J58" t="n">
        <v>0</v>
      </c>
      <c r="K58" t="n">
        <v>0</v>
      </c>
      <c r="L58" t="n">
        <v>0</v>
      </c>
      <c r="M58" t="n">
        <v>0</v>
      </c>
      <c r="N58" t="n">
        <v>0</v>
      </c>
      <c r="O58" t="n">
        <v>0</v>
      </c>
      <c r="P58" t="n">
        <v>0</v>
      </c>
      <c r="Q58" t="n">
        <v>0</v>
      </c>
      <c r="R58" s="2" t="inlineStr"/>
    </row>
    <row r="59" ht="15" customHeight="1">
      <c r="A59" t="inlineStr">
        <is>
          <t>A 34038-2025</t>
        </is>
      </c>
      <c r="B59" s="1" t="n">
        <v>45842</v>
      </c>
      <c r="C59" s="1" t="n">
        <v>46175</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34079-2025</t>
        </is>
      </c>
      <c r="B60" s="1" t="n">
        <v>45842</v>
      </c>
      <c r="C60" s="1" t="n">
        <v>46175</v>
      </c>
      <c r="D60" t="inlineStr">
        <is>
          <t>STOCKHOLMS LÄN</t>
        </is>
      </c>
      <c r="E60" t="inlineStr">
        <is>
          <t>ÖSTERÅKER</t>
        </is>
      </c>
      <c r="F60" t="inlineStr">
        <is>
          <t>Övriga Aktiebolag</t>
        </is>
      </c>
      <c r="G60" t="n">
        <v>4.1</v>
      </c>
      <c r="H60" t="n">
        <v>0</v>
      </c>
      <c r="I60" t="n">
        <v>0</v>
      </c>
      <c r="J60" t="n">
        <v>0</v>
      </c>
      <c r="K60" t="n">
        <v>0</v>
      </c>
      <c r="L60" t="n">
        <v>0</v>
      </c>
      <c r="M60" t="n">
        <v>0</v>
      </c>
      <c r="N60" t="n">
        <v>0</v>
      </c>
      <c r="O60" t="n">
        <v>0</v>
      </c>
      <c r="P60" t="n">
        <v>0</v>
      </c>
      <c r="Q60" t="n">
        <v>0</v>
      </c>
      <c r="R60" s="2" t="inlineStr"/>
    </row>
    <row r="61" ht="15" customHeight="1">
      <c r="A61" t="inlineStr">
        <is>
          <t>A 62831-2025</t>
        </is>
      </c>
      <c r="B61" s="1" t="n">
        <v>46008</v>
      </c>
      <c r="C61" s="1" t="n">
        <v>46175</v>
      </c>
      <c r="D61" t="inlineStr">
        <is>
          <t>STOCKHOLMS LÄN</t>
        </is>
      </c>
      <c r="E61" t="inlineStr">
        <is>
          <t>ÖSTERÅKER</t>
        </is>
      </c>
      <c r="G61" t="n">
        <v>1.2</v>
      </c>
      <c r="H61" t="n">
        <v>0</v>
      </c>
      <c r="I61" t="n">
        <v>0</v>
      </c>
      <c r="J61" t="n">
        <v>0</v>
      </c>
      <c r="K61" t="n">
        <v>0</v>
      </c>
      <c r="L61" t="n">
        <v>0</v>
      </c>
      <c r="M61" t="n">
        <v>0</v>
      </c>
      <c r="N61" t="n">
        <v>0</v>
      </c>
      <c r="O61" t="n">
        <v>0</v>
      </c>
      <c r="P61" t="n">
        <v>0</v>
      </c>
      <c r="Q61" t="n">
        <v>0</v>
      </c>
      <c r="R61" s="2" t="inlineStr"/>
    </row>
    <row r="62" ht="15" customHeight="1">
      <c r="A62" t="inlineStr">
        <is>
          <t>A 34713-2025</t>
        </is>
      </c>
      <c r="B62" s="1" t="n">
        <v>45848</v>
      </c>
      <c r="C62" s="1" t="n">
        <v>46175</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544-2023</t>
        </is>
      </c>
      <c r="B63" s="1" t="n">
        <v>44924</v>
      </c>
      <c r="C63" s="1" t="n">
        <v>46175</v>
      </c>
      <c r="D63" t="inlineStr">
        <is>
          <t>STOCKHOLMS LÄN</t>
        </is>
      </c>
      <c r="E63" t="inlineStr">
        <is>
          <t>ÖSTERÅKER</t>
        </is>
      </c>
      <c r="F63" t="inlineStr">
        <is>
          <t>Övriga Aktiebolag</t>
        </is>
      </c>
      <c r="G63" t="n">
        <v>0.9</v>
      </c>
      <c r="H63" t="n">
        <v>0</v>
      </c>
      <c r="I63" t="n">
        <v>0</v>
      </c>
      <c r="J63" t="n">
        <v>0</v>
      </c>
      <c r="K63" t="n">
        <v>0</v>
      </c>
      <c r="L63" t="n">
        <v>0</v>
      </c>
      <c r="M63" t="n">
        <v>0</v>
      </c>
      <c r="N63" t="n">
        <v>0</v>
      </c>
      <c r="O63" t="n">
        <v>0</v>
      </c>
      <c r="P63" t="n">
        <v>0</v>
      </c>
      <c r="Q63" t="n">
        <v>0</v>
      </c>
      <c r="R63" s="2" t="inlineStr"/>
    </row>
    <row r="64" ht="15" customHeight="1">
      <c r="A64" t="inlineStr">
        <is>
          <t>A 35656-2025</t>
        </is>
      </c>
      <c r="B64" s="1" t="n">
        <v>45859</v>
      </c>
      <c r="C64" s="1" t="n">
        <v>46175</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35819-2025</t>
        </is>
      </c>
      <c r="B65" s="1" t="n">
        <v>45861</v>
      </c>
      <c r="C65" s="1" t="n">
        <v>46175</v>
      </c>
      <c r="D65" t="inlineStr">
        <is>
          <t>STOCKHOLMS LÄN</t>
        </is>
      </c>
      <c r="E65" t="inlineStr">
        <is>
          <t>ÖSTERÅKER</t>
        </is>
      </c>
      <c r="F65" t="inlineStr">
        <is>
          <t>Övriga Aktiebolag</t>
        </is>
      </c>
      <c r="G65" t="n">
        <v>8</v>
      </c>
      <c r="H65" t="n">
        <v>0</v>
      </c>
      <c r="I65" t="n">
        <v>0</v>
      </c>
      <c r="J65" t="n">
        <v>0</v>
      </c>
      <c r="K65" t="n">
        <v>0</v>
      </c>
      <c r="L65" t="n">
        <v>0</v>
      </c>
      <c r="M65" t="n">
        <v>0</v>
      </c>
      <c r="N65" t="n">
        <v>0</v>
      </c>
      <c r="O65" t="n">
        <v>0</v>
      </c>
      <c r="P65" t="n">
        <v>0</v>
      </c>
      <c r="Q65" t="n">
        <v>0</v>
      </c>
      <c r="R65" s="2" t="inlineStr"/>
    </row>
    <row r="66" ht="15" customHeight="1">
      <c r="A66" t="inlineStr">
        <is>
          <t>A 36614-2025</t>
        </is>
      </c>
      <c r="B66" s="1" t="n">
        <v>45870</v>
      </c>
      <c r="C66" s="1" t="n">
        <v>46175</v>
      </c>
      <c r="D66" t="inlineStr">
        <is>
          <t>STOCKHOLMS LÄN</t>
        </is>
      </c>
      <c r="E66" t="inlineStr">
        <is>
          <t>ÖSTERÅKER</t>
        </is>
      </c>
      <c r="G66" t="n">
        <v>1.7</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46175</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46175</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62839-2025</t>
        </is>
      </c>
      <c r="B69" s="1" t="n">
        <v>46008</v>
      </c>
      <c r="C69" s="1" t="n">
        <v>46175</v>
      </c>
      <c r="D69" t="inlineStr">
        <is>
          <t>STOCKHOLMS LÄN</t>
        </is>
      </c>
      <c r="E69" t="inlineStr">
        <is>
          <t>ÖSTERÅKER</t>
        </is>
      </c>
      <c r="G69" t="n">
        <v>1.4</v>
      </c>
      <c r="H69" t="n">
        <v>0</v>
      </c>
      <c r="I69" t="n">
        <v>0</v>
      </c>
      <c r="J69" t="n">
        <v>0</v>
      </c>
      <c r="K69" t="n">
        <v>0</v>
      </c>
      <c r="L69" t="n">
        <v>0</v>
      </c>
      <c r="M69" t="n">
        <v>0</v>
      </c>
      <c r="N69" t="n">
        <v>0</v>
      </c>
      <c r="O69" t="n">
        <v>0</v>
      </c>
      <c r="P69" t="n">
        <v>0</v>
      </c>
      <c r="Q69" t="n">
        <v>0</v>
      </c>
      <c r="R69" s="2" t="inlineStr"/>
    </row>
    <row r="70" ht="15" customHeight="1">
      <c r="A70" t="inlineStr">
        <is>
          <t>A 470-2022</t>
        </is>
      </c>
      <c r="B70" s="1" t="n">
        <v>44565</v>
      </c>
      <c r="C70" s="1" t="n">
        <v>46175</v>
      </c>
      <c r="D70" t="inlineStr">
        <is>
          <t>STOCKHOLMS LÄN</t>
        </is>
      </c>
      <c r="E70" t="inlineStr">
        <is>
          <t>ÖSTERÅKER</t>
        </is>
      </c>
      <c r="F70" t="inlineStr">
        <is>
          <t>Övriga Aktiebolag</t>
        </is>
      </c>
      <c r="G70" t="n">
        <v>4.6</v>
      </c>
      <c r="H70" t="n">
        <v>0</v>
      </c>
      <c r="I70" t="n">
        <v>0</v>
      </c>
      <c r="J70" t="n">
        <v>0</v>
      </c>
      <c r="K70" t="n">
        <v>0</v>
      </c>
      <c r="L70" t="n">
        <v>0</v>
      </c>
      <c r="M70" t="n">
        <v>0</v>
      </c>
      <c r="N70" t="n">
        <v>0</v>
      </c>
      <c r="O70" t="n">
        <v>0</v>
      </c>
      <c r="P70" t="n">
        <v>0</v>
      </c>
      <c r="Q70" t="n">
        <v>0</v>
      </c>
      <c r="R70" s="2" t="inlineStr"/>
    </row>
    <row r="71" ht="15" customHeight="1">
      <c r="A71" t="inlineStr">
        <is>
          <t>A 23198-2026</t>
        </is>
      </c>
      <c r="B71" s="1" t="n">
        <v>46161</v>
      </c>
      <c r="C71" s="1" t="n">
        <v>46175</v>
      </c>
      <c r="D71" t="inlineStr">
        <is>
          <t>STOCKHOLMS LÄN</t>
        </is>
      </c>
      <c r="E71" t="inlineStr">
        <is>
          <t>ÖSTERÅKER</t>
        </is>
      </c>
      <c r="G71" t="n">
        <v>0.6</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46175</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46175</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46175</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13366-2024</t>
        </is>
      </c>
      <c r="B75" s="1" t="n">
        <v>45387</v>
      </c>
      <c r="C75" s="1" t="n">
        <v>46175</v>
      </c>
      <c r="D75" t="inlineStr">
        <is>
          <t>STOCKHOLMS LÄN</t>
        </is>
      </c>
      <c r="E75" t="inlineStr">
        <is>
          <t>ÖSTERÅKER</t>
        </is>
      </c>
      <c r="G75" t="n">
        <v>13.7</v>
      </c>
      <c r="H75" t="n">
        <v>0</v>
      </c>
      <c r="I75" t="n">
        <v>0</v>
      </c>
      <c r="J75" t="n">
        <v>0</v>
      </c>
      <c r="K75" t="n">
        <v>0</v>
      </c>
      <c r="L75" t="n">
        <v>0</v>
      </c>
      <c r="M75" t="n">
        <v>0</v>
      </c>
      <c r="N75" t="n">
        <v>0</v>
      </c>
      <c r="O75" t="n">
        <v>0</v>
      </c>
      <c r="P75" t="n">
        <v>0</v>
      </c>
      <c r="Q75" t="n">
        <v>0</v>
      </c>
      <c r="R75" s="2" t="inlineStr"/>
    </row>
    <row r="76" ht="15" customHeight="1">
      <c r="A76" t="inlineStr">
        <is>
          <t>A 61360-2022</t>
        </is>
      </c>
      <c r="B76" s="1" t="n">
        <v>44915</v>
      </c>
      <c r="C76" s="1" t="n">
        <v>46175</v>
      </c>
      <c r="D76" t="inlineStr">
        <is>
          <t>STOCKHOLMS LÄN</t>
        </is>
      </c>
      <c r="E76" t="inlineStr">
        <is>
          <t>ÖSTERÅKER</t>
        </is>
      </c>
      <c r="G76" t="n">
        <v>2.3</v>
      </c>
      <c r="H76" t="n">
        <v>0</v>
      </c>
      <c r="I76" t="n">
        <v>0</v>
      </c>
      <c r="J76" t="n">
        <v>0</v>
      </c>
      <c r="K76" t="n">
        <v>0</v>
      </c>
      <c r="L76" t="n">
        <v>0</v>
      </c>
      <c r="M76" t="n">
        <v>0</v>
      </c>
      <c r="N76" t="n">
        <v>0</v>
      </c>
      <c r="O76" t="n">
        <v>0</v>
      </c>
      <c r="P76" t="n">
        <v>0</v>
      </c>
      <c r="Q76" t="n">
        <v>0</v>
      </c>
      <c r="R76" s="2" t="inlineStr"/>
    </row>
    <row r="77" ht="15" customHeight="1">
      <c r="A77" t="inlineStr">
        <is>
          <t>A 62108-2022</t>
        </is>
      </c>
      <c r="B77" s="1" t="n">
        <v>44920</v>
      </c>
      <c r="C77" s="1" t="n">
        <v>46175</v>
      </c>
      <c r="D77" t="inlineStr">
        <is>
          <t>STOCKHOLMS LÄN</t>
        </is>
      </c>
      <c r="E77" t="inlineStr">
        <is>
          <t>ÖSTERÅKER</t>
        </is>
      </c>
      <c r="G77" t="n">
        <v>1.5</v>
      </c>
      <c r="H77" t="n">
        <v>0</v>
      </c>
      <c r="I77" t="n">
        <v>0</v>
      </c>
      <c r="J77" t="n">
        <v>0</v>
      </c>
      <c r="K77" t="n">
        <v>0</v>
      </c>
      <c r="L77" t="n">
        <v>0</v>
      </c>
      <c r="M77" t="n">
        <v>0</v>
      </c>
      <c r="N77" t="n">
        <v>0</v>
      </c>
      <c r="O77" t="n">
        <v>0</v>
      </c>
      <c r="P77" t="n">
        <v>0</v>
      </c>
      <c r="Q77" t="n">
        <v>0</v>
      </c>
      <c r="R77" s="2" t="inlineStr"/>
    </row>
    <row r="78" ht="15" customHeight="1">
      <c r="A78" t="inlineStr">
        <is>
          <t>A 6655-2023</t>
        </is>
      </c>
      <c r="B78" s="1" t="n">
        <v>44966.60668981481</v>
      </c>
      <c r="C78" s="1" t="n">
        <v>46175</v>
      </c>
      <c r="D78" t="inlineStr">
        <is>
          <t>STOCKHOLMS LÄN</t>
        </is>
      </c>
      <c r="E78" t="inlineStr">
        <is>
          <t>ÖSTERÅKER</t>
        </is>
      </c>
      <c r="G78" t="n">
        <v>0.8</v>
      </c>
      <c r="H78" t="n">
        <v>0</v>
      </c>
      <c r="I78" t="n">
        <v>0</v>
      </c>
      <c r="J78" t="n">
        <v>0</v>
      </c>
      <c r="K78" t="n">
        <v>0</v>
      </c>
      <c r="L78" t="n">
        <v>0</v>
      </c>
      <c r="M78" t="n">
        <v>0</v>
      </c>
      <c r="N78" t="n">
        <v>0</v>
      </c>
      <c r="O78" t="n">
        <v>0</v>
      </c>
      <c r="P78" t="n">
        <v>0</v>
      </c>
      <c r="Q78" t="n">
        <v>0</v>
      </c>
      <c r="R78" s="2" t="inlineStr"/>
    </row>
    <row r="79" ht="15" customHeight="1">
      <c r="A79" t="inlineStr">
        <is>
          <t>A 31134-2023</t>
        </is>
      </c>
      <c r="B79" s="1" t="n">
        <v>45113</v>
      </c>
      <c r="C79" s="1" t="n">
        <v>46175</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60482-2025</t>
        </is>
      </c>
      <c r="B80" s="1" t="n">
        <v>45995.59832175926</v>
      </c>
      <c r="C80" s="1" t="n">
        <v>46175</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57048-2024</t>
        </is>
      </c>
      <c r="B81" s="1" t="n">
        <v>45629.33938657407</v>
      </c>
      <c r="C81" s="1" t="n">
        <v>46175</v>
      </c>
      <c r="D81" t="inlineStr">
        <is>
          <t>STOCKHOLMS LÄN</t>
        </is>
      </c>
      <c r="E81" t="inlineStr">
        <is>
          <t>ÖSTERÅKER</t>
        </is>
      </c>
      <c r="G81" t="n">
        <v>3</v>
      </c>
      <c r="H81" t="n">
        <v>0</v>
      </c>
      <c r="I81" t="n">
        <v>0</v>
      </c>
      <c r="J81" t="n">
        <v>0</v>
      </c>
      <c r="K81" t="n">
        <v>0</v>
      </c>
      <c r="L81" t="n">
        <v>0</v>
      </c>
      <c r="M81" t="n">
        <v>0</v>
      </c>
      <c r="N81" t="n">
        <v>0</v>
      </c>
      <c r="O81" t="n">
        <v>0</v>
      </c>
      <c r="P81" t="n">
        <v>0</v>
      </c>
      <c r="Q81" t="n">
        <v>0</v>
      </c>
      <c r="R81" s="2" t="inlineStr"/>
    </row>
    <row r="82" ht="15" customHeight="1">
      <c r="A82" t="inlineStr">
        <is>
          <t>A 57055-2024</t>
        </is>
      </c>
      <c r="B82" s="1" t="n">
        <v>45629.34627314815</v>
      </c>
      <c r="C82" s="1" t="n">
        <v>46175</v>
      </c>
      <c r="D82" t="inlineStr">
        <is>
          <t>STOCKHOLMS LÄN</t>
        </is>
      </c>
      <c r="E82" t="inlineStr">
        <is>
          <t>ÖSTERÅKER</t>
        </is>
      </c>
      <c r="G82" t="n">
        <v>0.5</v>
      </c>
      <c r="H82" t="n">
        <v>0</v>
      </c>
      <c r="I82" t="n">
        <v>0</v>
      </c>
      <c r="J82" t="n">
        <v>0</v>
      </c>
      <c r="K82" t="n">
        <v>0</v>
      </c>
      <c r="L82" t="n">
        <v>0</v>
      </c>
      <c r="M82" t="n">
        <v>0</v>
      </c>
      <c r="N82" t="n">
        <v>0</v>
      </c>
      <c r="O82" t="n">
        <v>0</v>
      </c>
      <c r="P82" t="n">
        <v>0</v>
      </c>
      <c r="Q82" t="n">
        <v>0</v>
      </c>
      <c r="R82" s="2" t="inlineStr"/>
    </row>
    <row r="83" ht="15" customHeight="1">
      <c r="A83" t="inlineStr">
        <is>
          <t>A 61781-2025</t>
        </is>
      </c>
      <c r="B83" s="1" t="n">
        <v>46002</v>
      </c>
      <c r="C83" s="1" t="n">
        <v>46175</v>
      </c>
      <c r="D83" t="inlineStr">
        <is>
          <t>STOCKHOLMS LÄN</t>
        </is>
      </c>
      <c r="E83" t="inlineStr">
        <is>
          <t>ÖSTERÅKER</t>
        </is>
      </c>
      <c r="G83" t="n">
        <v>4.9</v>
      </c>
      <c r="H83" t="n">
        <v>0</v>
      </c>
      <c r="I83" t="n">
        <v>0</v>
      </c>
      <c r="J83" t="n">
        <v>0</v>
      </c>
      <c r="K83" t="n">
        <v>0</v>
      </c>
      <c r="L83" t="n">
        <v>0</v>
      </c>
      <c r="M83" t="n">
        <v>0</v>
      </c>
      <c r="N83" t="n">
        <v>0</v>
      </c>
      <c r="O83" t="n">
        <v>0</v>
      </c>
      <c r="P83" t="n">
        <v>0</v>
      </c>
      <c r="Q83" t="n">
        <v>0</v>
      </c>
      <c r="R83" s="2" t="inlineStr"/>
    </row>
    <row r="84" ht="15" customHeight="1">
      <c r="A84" t="inlineStr">
        <is>
          <t>A 23144-2024</t>
        </is>
      </c>
      <c r="B84" s="1" t="n">
        <v>45450.63202546296</v>
      </c>
      <c r="C84" s="1" t="n">
        <v>46175</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46175</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46175</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56909-2024</t>
        </is>
      </c>
      <c r="B87" s="1" t="n">
        <v>45628.59060185185</v>
      </c>
      <c r="C87" s="1" t="n">
        <v>46175</v>
      </c>
      <c r="D87" t="inlineStr">
        <is>
          <t>STOCKHOLMS LÄN</t>
        </is>
      </c>
      <c r="E87" t="inlineStr">
        <is>
          <t>ÖSTERÅKER</t>
        </is>
      </c>
      <c r="G87" t="n">
        <v>1</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46175</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59379-2022</t>
        </is>
      </c>
      <c r="B89" s="1" t="n">
        <v>44905</v>
      </c>
      <c r="C89" s="1" t="n">
        <v>46175</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5038-2026</t>
        </is>
      </c>
      <c r="B90" s="1" t="n">
        <v>46049.46427083333</v>
      </c>
      <c r="C90" s="1" t="n">
        <v>46175</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46175</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16728-2022</t>
        </is>
      </c>
      <c r="B92" s="1" t="n">
        <v>44673</v>
      </c>
      <c r="C92" s="1" t="n">
        <v>46175</v>
      </c>
      <c r="D92" t="inlineStr">
        <is>
          <t>STOCKHOLMS LÄN</t>
        </is>
      </c>
      <c r="E92" t="inlineStr">
        <is>
          <t>ÖSTERÅKER</t>
        </is>
      </c>
      <c r="G92" t="n">
        <v>0.9</v>
      </c>
      <c r="H92" t="n">
        <v>0</v>
      </c>
      <c r="I92" t="n">
        <v>0</v>
      </c>
      <c r="J92" t="n">
        <v>0</v>
      </c>
      <c r="K92" t="n">
        <v>0</v>
      </c>
      <c r="L92" t="n">
        <v>0</v>
      </c>
      <c r="M92" t="n">
        <v>0</v>
      </c>
      <c r="N92" t="n">
        <v>0</v>
      </c>
      <c r="O92" t="n">
        <v>0</v>
      </c>
      <c r="P92" t="n">
        <v>0</v>
      </c>
      <c r="Q92" t="n">
        <v>0</v>
      </c>
      <c r="R92" s="2" t="inlineStr"/>
    </row>
    <row r="93" ht="15" customHeight="1">
      <c r="A93" t="inlineStr">
        <is>
          <t>A 14776-2024</t>
        </is>
      </c>
      <c r="B93" s="1" t="n">
        <v>45397</v>
      </c>
      <c r="C93" s="1" t="n">
        <v>46175</v>
      </c>
      <c r="D93" t="inlineStr">
        <is>
          <t>STOCKHOLMS LÄN</t>
        </is>
      </c>
      <c r="E93" t="inlineStr">
        <is>
          <t>ÖSTERÅKER</t>
        </is>
      </c>
      <c r="G93" t="n">
        <v>13.6</v>
      </c>
      <c r="H93" t="n">
        <v>0</v>
      </c>
      <c r="I93" t="n">
        <v>0</v>
      </c>
      <c r="J93" t="n">
        <v>0</v>
      </c>
      <c r="K93" t="n">
        <v>0</v>
      </c>
      <c r="L93" t="n">
        <v>0</v>
      </c>
      <c r="M93" t="n">
        <v>0</v>
      </c>
      <c r="N93" t="n">
        <v>0</v>
      </c>
      <c r="O93" t="n">
        <v>0</v>
      </c>
      <c r="P93" t="n">
        <v>0</v>
      </c>
      <c r="Q93" t="n">
        <v>0</v>
      </c>
      <c r="R93" s="2" t="inlineStr"/>
    </row>
    <row r="94" ht="15" customHeight="1">
      <c r="A94" t="inlineStr">
        <is>
          <t>A 61370-2022</t>
        </is>
      </c>
      <c r="B94" s="1" t="n">
        <v>44915</v>
      </c>
      <c r="C94" s="1" t="n">
        <v>46175</v>
      </c>
      <c r="D94" t="inlineStr">
        <is>
          <t>STOCKHOLMS LÄN</t>
        </is>
      </c>
      <c r="E94" t="inlineStr">
        <is>
          <t>ÖSTERÅKER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46175</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46175</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46175</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17196-2022</t>
        </is>
      </c>
      <c r="B98" s="1" t="n">
        <v>44677</v>
      </c>
      <c r="C98" s="1" t="n">
        <v>46175</v>
      </c>
      <c r="D98" t="inlineStr">
        <is>
          <t>STOCKHOLMS LÄN</t>
        </is>
      </c>
      <c r="E98" t="inlineStr">
        <is>
          <t>ÖSTERÅKER</t>
        </is>
      </c>
      <c r="G98" t="n">
        <v>5.9</v>
      </c>
      <c r="H98" t="n">
        <v>0</v>
      </c>
      <c r="I98" t="n">
        <v>0</v>
      </c>
      <c r="J98" t="n">
        <v>0</v>
      </c>
      <c r="K98" t="n">
        <v>0</v>
      </c>
      <c r="L98" t="n">
        <v>0</v>
      </c>
      <c r="M98" t="n">
        <v>0</v>
      </c>
      <c r="N98" t="n">
        <v>0</v>
      </c>
      <c r="O98" t="n">
        <v>0</v>
      </c>
      <c r="P98" t="n">
        <v>0</v>
      </c>
      <c r="Q98" t="n">
        <v>0</v>
      </c>
      <c r="R98" s="2" t="inlineStr"/>
    </row>
    <row r="99" ht="15" customHeight="1">
      <c r="A99" t="inlineStr">
        <is>
          <t>A 1603-2023</t>
        </is>
      </c>
      <c r="B99" s="1" t="n">
        <v>44937.68086805556</v>
      </c>
      <c r="C99" s="1" t="n">
        <v>46175</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1605-2023</t>
        </is>
      </c>
      <c r="B100" s="1" t="n">
        <v>44937.68299768519</v>
      </c>
      <c r="C100" s="1" t="n">
        <v>46175</v>
      </c>
      <c r="D100" t="inlineStr">
        <is>
          <t>STOCKHOLMS LÄN</t>
        </is>
      </c>
      <c r="E100" t="inlineStr">
        <is>
          <t>ÖSTERÅKER</t>
        </is>
      </c>
      <c r="G100" t="n">
        <v>2.9</v>
      </c>
      <c r="H100" t="n">
        <v>0</v>
      </c>
      <c r="I100" t="n">
        <v>0</v>
      </c>
      <c r="J100" t="n">
        <v>0</v>
      </c>
      <c r="K100" t="n">
        <v>0</v>
      </c>
      <c r="L100" t="n">
        <v>0</v>
      </c>
      <c r="M100" t="n">
        <v>0</v>
      </c>
      <c r="N100" t="n">
        <v>0</v>
      </c>
      <c r="O100" t="n">
        <v>0</v>
      </c>
      <c r="P100" t="n">
        <v>0</v>
      </c>
      <c r="Q100" t="n">
        <v>0</v>
      </c>
      <c r="R100" s="2" t="inlineStr"/>
    </row>
    <row r="101" ht="15" customHeight="1">
      <c r="A101" t="inlineStr">
        <is>
          <t>A 67265-2021</t>
        </is>
      </c>
      <c r="B101" s="1" t="n">
        <v>44523.59277777778</v>
      </c>
      <c r="C101" s="1" t="n">
        <v>46175</v>
      </c>
      <c r="D101" t="inlineStr">
        <is>
          <t>STOCKHOLMS LÄN</t>
        </is>
      </c>
      <c r="E101" t="inlineStr">
        <is>
          <t>ÖSTERÅKER</t>
        </is>
      </c>
      <c r="F101" t="inlineStr">
        <is>
          <t>Kommuner</t>
        </is>
      </c>
      <c r="G101" t="n">
        <v>2.6</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46175</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45043.6433912037</v>
      </c>
      <c r="C103" s="1" t="n">
        <v>46175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1136-2023</t>
        </is>
      </c>
      <c r="B104" s="1" t="n">
        <v>44935</v>
      </c>
      <c r="C104" s="1" t="n">
        <v>46175</v>
      </c>
      <c r="D104" t="inlineStr">
        <is>
          <t>STOCKHOLMS LÄN</t>
        </is>
      </c>
      <c r="E104" t="inlineStr">
        <is>
          <t>ÖSTERÅKER</t>
        </is>
      </c>
      <c r="G104" t="n">
        <v>0.5</v>
      </c>
      <c r="H104" t="n">
        <v>0</v>
      </c>
      <c r="I104" t="n">
        <v>0</v>
      </c>
      <c r="J104" t="n">
        <v>0</v>
      </c>
      <c r="K104" t="n">
        <v>0</v>
      </c>
      <c r="L104" t="n">
        <v>0</v>
      </c>
      <c r="M104" t="n">
        <v>0</v>
      </c>
      <c r="N104" t="n">
        <v>0</v>
      </c>
      <c r="O104" t="n">
        <v>0</v>
      </c>
      <c r="P104" t="n">
        <v>0</v>
      </c>
      <c r="Q104" t="n">
        <v>0</v>
      </c>
      <c r="R104" s="2" t="inlineStr"/>
    </row>
    <row r="105" ht="15" customHeight="1">
      <c r="A105" t="inlineStr">
        <is>
          <t>A 39394-2023</t>
        </is>
      </c>
      <c r="B105" s="1" t="n">
        <v>45166</v>
      </c>
      <c r="C105" s="1" t="n">
        <v>46175</v>
      </c>
      <c r="D105" t="inlineStr">
        <is>
          <t>STOCKHOLMS LÄN</t>
        </is>
      </c>
      <c r="E105" t="inlineStr">
        <is>
          <t>ÖSTERÅKER</t>
        </is>
      </c>
      <c r="G105" t="n">
        <v>0.4</v>
      </c>
      <c r="H105" t="n">
        <v>0</v>
      </c>
      <c r="I105" t="n">
        <v>0</v>
      </c>
      <c r="J105" t="n">
        <v>0</v>
      </c>
      <c r="K105" t="n">
        <v>0</v>
      </c>
      <c r="L105" t="n">
        <v>0</v>
      </c>
      <c r="M105" t="n">
        <v>0</v>
      </c>
      <c r="N105" t="n">
        <v>0</v>
      </c>
      <c r="O105" t="n">
        <v>0</v>
      </c>
      <c r="P105" t="n">
        <v>0</v>
      </c>
      <c r="Q105" t="n">
        <v>0</v>
      </c>
      <c r="R105" s="2" t="inlineStr"/>
    </row>
    <row r="106" ht="15" customHeight="1">
      <c r="A106" t="inlineStr">
        <is>
          <t>A 30949-2024</t>
        </is>
      </c>
      <c r="B106" s="1" t="n">
        <v>45499</v>
      </c>
      <c r="C106" s="1" t="n">
        <v>46175</v>
      </c>
      <c r="D106" t="inlineStr">
        <is>
          <t>STOCKHOLMS LÄN</t>
        </is>
      </c>
      <c r="E106" t="inlineStr">
        <is>
          <t>ÖSTERÅKER</t>
        </is>
      </c>
      <c r="F106" t="inlineStr">
        <is>
          <t>Övriga Aktiebolag</t>
        </is>
      </c>
      <c r="G106" t="n">
        <v>3.2</v>
      </c>
      <c r="H106" t="n">
        <v>0</v>
      </c>
      <c r="I106" t="n">
        <v>0</v>
      </c>
      <c r="J106" t="n">
        <v>0</v>
      </c>
      <c r="K106" t="n">
        <v>0</v>
      </c>
      <c r="L106" t="n">
        <v>0</v>
      </c>
      <c r="M106" t="n">
        <v>0</v>
      </c>
      <c r="N106" t="n">
        <v>0</v>
      </c>
      <c r="O106" t="n">
        <v>0</v>
      </c>
      <c r="P106" t="n">
        <v>0</v>
      </c>
      <c r="Q106" t="n">
        <v>0</v>
      </c>
      <c r="R106" s="2" t="inlineStr"/>
    </row>
    <row r="107" ht="15" customHeight="1">
      <c r="A107" t="inlineStr">
        <is>
          <t>A 845-2024</t>
        </is>
      </c>
      <c r="B107" s="1" t="n">
        <v>45300.91423611111</v>
      </c>
      <c r="C107" s="1" t="n">
        <v>46175</v>
      </c>
      <c r="D107" t="inlineStr">
        <is>
          <t>STOCKHOLMS LÄN</t>
        </is>
      </c>
      <c r="E107" t="inlineStr">
        <is>
          <t>ÖSTERÅKER</t>
        </is>
      </c>
      <c r="G107" t="n">
        <v>10.1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46175</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19404-2024</t>
        </is>
      </c>
      <c r="B109" s="1" t="n">
        <v>45428</v>
      </c>
      <c r="C109" s="1" t="n">
        <v>46175</v>
      </c>
      <c r="D109" t="inlineStr">
        <is>
          <t>STOCKHOLMS LÄN</t>
        </is>
      </c>
      <c r="E109" t="inlineStr">
        <is>
          <t>ÖSTERÅKER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37244-2024</t>
        </is>
      </c>
      <c r="B110" s="1" t="n">
        <v>45540</v>
      </c>
      <c r="C110" s="1" t="n">
        <v>46175</v>
      </c>
      <c r="D110" t="inlineStr">
        <is>
          <t>STOCKHOLMS LÄN</t>
        </is>
      </c>
      <c r="E110" t="inlineStr">
        <is>
          <t>ÖSTERÅKER</t>
        </is>
      </c>
      <c r="G110" t="n">
        <v>2.6</v>
      </c>
      <c r="H110" t="n">
        <v>0</v>
      </c>
      <c r="I110" t="n">
        <v>0</v>
      </c>
      <c r="J110" t="n">
        <v>0</v>
      </c>
      <c r="K110" t="n">
        <v>0</v>
      </c>
      <c r="L110" t="n">
        <v>0</v>
      </c>
      <c r="M110" t="n">
        <v>0</v>
      </c>
      <c r="N110" t="n">
        <v>0</v>
      </c>
      <c r="O110" t="n">
        <v>0</v>
      </c>
      <c r="P110" t="n">
        <v>0</v>
      </c>
      <c r="Q110" t="n">
        <v>0</v>
      </c>
      <c r="R110" s="2" t="inlineStr"/>
    </row>
    <row r="111" ht="15" customHeight="1">
      <c r="A111" t="inlineStr">
        <is>
          <t>A 21786-2025</t>
        </is>
      </c>
      <c r="B111" s="1" t="n">
        <v>45783.67215277778</v>
      </c>
      <c r="C111" s="1" t="n">
        <v>46175</v>
      </c>
      <c r="D111" t="inlineStr">
        <is>
          <t>STOCKHOLMS LÄN</t>
        </is>
      </c>
      <c r="E111" t="inlineStr">
        <is>
          <t>ÖSTERÅKER</t>
        </is>
      </c>
      <c r="G111" t="n">
        <v>3.8</v>
      </c>
      <c r="H111" t="n">
        <v>0</v>
      </c>
      <c r="I111" t="n">
        <v>0</v>
      </c>
      <c r="J111" t="n">
        <v>0</v>
      </c>
      <c r="K111" t="n">
        <v>0</v>
      </c>
      <c r="L111" t="n">
        <v>0</v>
      </c>
      <c r="M111" t="n">
        <v>0</v>
      </c>
      <c r="N111" t="n">
        <v>0</v>
      </c>
      <c r="O111" t="n">
        <v>0</v>
      </c>
      <c r="P111" t="n">
        <v>0</v>
      </c>
      <c r="Q111" t="n">
        <v>0</v>
      </c>
      <c r="R111" s="2" t="inlineStr"/>
    </row>
    <row r="112" ht="15" customHeight="1">
      <c r="A112" t="inlineStr">
        <is>
          <t>A 21796-2025</t>
        </is>
      </c>
      <c r="B112" s="1" t="n">
        <v>45783.68135416666</v>
      </c>
      <c r="C112" s="1" t="n">
        <v>46175</v>
      </c>
      <c r="D112" t="inlineStr">
        <is>
          <t>STOCKHOLMS LÄN</t>
        </is>
      </c>
      <c r="E112" t="inlineStr">
        <is>
          <t>ÖSTERÅKER</t>
        </is>
      </c>
      <c r="G112" t="n">
        <v>2.5</v>
      </c>
      <c r="H112" t="n">
        <v>0</v>
      </c>
      <c r="I112" t="n">
        <v>0</v>
      </c>
      <c r="J112" t="n">
        <v>0</v>
      </c>
      <c r="K112" t="n">
        <v>0</v>
      </c>
      <c r="L112" t="n">
        <v>0</v>
      </c>
      <c r="M112" t="n">
        <v>0</v>
      </c>
      <c r="N112" t="n">
        <v>0</v>
      </c>
      <c r="O112" t="n">
        <v>0</v>
      </c>
      <c r="P112" t="n">
        <v>0</v>
      </c>
      <c r="Q112" t="n">
        <v>0</v>
      </c>
      <c r="R112" s="2" t="inlineStr"/>
    </row>
    <row r="113" ht="15" customHeight="1">
      <c r="A113" t="inlineStr">
        <is>
          <t>A 27137-2025</t>
        </is>
      </c>
      <c r="B113" s="1" t="n">
        <v>45811.95890046296</v>
      </c>
      <c r="C113" s="1" t="n">
        <v>46175</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27948-2025</t>
        </is>
      </c>
      <c r="B114" s="1" t="n">
        <v>45817.52460648148</v>
      </c>
      <c r="C114" s="1" t="n">
        <v>46175</v>
      </c>
      <c r="D114" t="inlineStr">
        <is>
          <t>STOCKHOLMS LÄN</t>
        </is>
      </c>
      <c r="E114" t="inlineStr">
        <is>
          <t>ÖSTERÅKER</t>
        </is>
      </c>
      <c r="G114" t="n">
        <v>5.6</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2026-06-02T10:57:17Z</dcterms:created>
  <dcterms:modified xmlns:dcterms="http://purl.org/dc/terms/" xmlns:xsi="http://www.w3.org/2001/XMLSchema-instance" xsi:type="dcterms:W3CDTF">2026-06-02T10:57:17Z</dcterms:modified>
</cp:coreProperties>
</file>