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46017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46017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46017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46017</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153-2025</t>
        </is>
      </c>
      <c r="B6" s="1" t="n">
        <v>45659.61650462963</v>
      </c>
      <c r="C6" s="1" t="n">
        <v>46017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34717-2025</t>
        </is>
      </c>
      <c r="B7" s="1" t="n">
        <v>45848</v>
      </c>
      <c r="C7" s="1" t="n">
        <v>46017</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12620-2022</t>
        </is>
      </c>
      <c r="B8" s="1" t="n">
        <v>44638</v>
      </c>
      <c r="C8" s="1" t="n">
        <v>46017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46017</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61275-2021</t>
        </is>
      </c>
      <c r="B10" s="1" t="n">
        <v>44498</v>
      </c>
      <c r="C10" s="1" t="n">
        <v>46017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31523-2022</t>
        </is>
      </c>
      <c r="B11" s="1" t="n">
        <v>44775.22490740741</v>
      </c>
      <c r="C11" s="1" t="n">
        <v>46017</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43308-2024</t>
        </is>
      </c>
      <c r="B12" s="1" t="n">
        <v>45568</v>
      </c>
      <c r="C12" s="1" t="n">
        <v>46017</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34721-2025</t>
        </is>
      </c>
      <c r="B13" s="1" t="n">
        <v>45848</v>
      </c>
      <c r="C13" s="1" t="n">
        <v>46017</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54703-2024</t>
        </is>
      </c>
      <c r="B14" s="1" t="n">
        <v>45618</v>
      </c>
      <c r="C14" s="1" t="n">
        <v>46017</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46017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62642-2025</t>
        </is>
      </c>
      <c r="B16" s="1" t="n">
        <v>46008.37217592593</v>
      </c>
      <c r="C16" s="1" t="n">
        <v>46017</v>
      </c>
      <c r="D16" t="inlineStr">
        <is>
          <t>STOCKHOLMS LÄN</t>
        </is>
      </c>
      <c r="E16" t="inlineStr">
        <is>
          <t>ÖSTERÅKER</t>
        </is>
      </c>
      <c r="G16" t="n">
        <v>2.7</v>
      </c>
      <c r="H16" t="n">
        <v>0</v>
      </c>
      <c r="I16" t="n">
        <v>2</v>
      </c>
      <c r="J16" t="n">
        <v>0</v>
      </c>
      <c r="K16" t="n">
        <v>0</v>
      </c>
      <c r="L16" t="n">
        <v>0</v>
      </c>
      <c r="M16" t="n">
        <v>0</v>
      </c>
      <c r="N16" t="n">
        <v>0</v>
      </c>
      <c r="O16" t="n">
        <v>0</v>
      </c>
      <c r="P16" t="n">
        <v>0</v>
      </c>
      <c r="Q16" t="n">
        <v>2</v>
      </c>
      <c r="R16" s="2" t="inlineStr">
        <is>
          <t>Björksplintborre
Bronshjon</t>
        </is>
      </c>
      <c r="S16">
        <f>HYPERLINK("https://klasma.github.io/Logging_0117/artfynd/A 62642-2025 artfynd.xlsx", "A 62642-2025")</f>
        <v/>
      </c>
      <c r="T16">
        <f>HYPERLINK("https://klasma.github.io/Logging_0117/kartor/A 62642-2025 karta.png", "A 62642-2025")</f>
        <v/>
      </c>
      <c r="V16">
        <f>HYPERLINK("https://klasma.github.io/Logging_0117/klagomål/A 62642-2025 FSC-klagomål.docx", "A 62642-2025")</f>
        <v/>
      </c>
      <c r="W16">
        <f>HYPERLINK("https://klasma.github.io/Logging_0117/klagomålsmail/A 62642-2025 FSC-klagomål mail.docx", "A 62642-2025")</f>
        <v/>
      </c>
      <c r="X16">
        <f>HYPERLINK("https://klasma.github.io/Logging_0117/tillsyn/A 62642-2025 tillsynsbegäran.docx", "A 62642-2025")</f>
        <v/>
      </c>
      <c r="Y16">
        <f>HYPERLINK("https://klasma.github.io/Logging_0117/tillsynsmail/A 62642-2025 tillsynsbegäran mail.docx", "A 62642-2025")</f>
        <v/>
      </c>
    </row>
    <row r="17" ht="15" customHeight="1">
      <c r="A17" t="inlineStr">
        <is>
          <t>A 62578-2025</t>
        </is>
      </c>
      <c r="B17" s="1" t="n">
        <v>46007.76833333333</v>
      </c>
      <c r="C17" s="1" t="n">
        <v>46017</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36366-2025</t>
        </is>
      </c>
      <c r="B18" s="1" t="n">
        <v>45868</v>
      </c>
      <c r="C18" s="1" t="n">
        <v>46017</v>
      </c>
      <c r="D18" t="inlineStr">
        <is>
          <t>STOCKHOLMS LÄN</t>
        </is>
      </c>
      <c r="E18" t="inlineStr">
        <is>
          <t>ÖSTERÅKER</t>
        </is>
      </c>
      <c r="G18" t="n">
        <v>7.2</v>
      </c>
      <c r="H18" t="n">
        <v>0</v>
      </c>
      <c r="I18" t="n">
        <v>1</v>
      </c>
      <c r="J18" t="n">
        <v>1</v>
      </c>
      <c r="K18" t="n">
        <v>0</v>
      </c>
      <c r="L18" t="n">
        <v>0</v>
      </c>
      <c r="M18" t="n">
        <v>0</v>
      </c>
      <c r="N18" t="n">
        <v>0</v>
      </c>
      <c r="O18" t="n">
        <v>1</v>
      </c>
      <c r="P18" t="n">
        <v>0</v>
      </c>
      <c r="Q18" t="n">
        <v>2</v>
      </c>
      <c r="R18" s="2" t="inlineStr">
        <is>
          <t>Garnlav
Björksplintborre</t>
        </is>
      </c>
      <c r="S18">
        <f>HYPERLINK("https://klasma.github.io/Logging_0117/artfynd/A 36366-2025 artfynd.xlsx", "A 36366-2025")</f>
        <v/>
      </c>
      <c r="T18">
        <f>HYPERLINK("https://klasma.github.io/Logging_0117/kartor/A 36366-2025 karta.png", "A 36366-2025")</f>
        <v/>
      </c>
      <c r="V18">
        <f>HYPERLINK("https://klasma.github.io/Logging_0117/klagomål/A 36366-2025 FSC-klagomål.docx", "A 36366-2025")</f>
        <v/>
      </c>
      <c r="W18">
        <f>HYPERLINK("https://klasma.github.io/Logging_0117/klagomålsmail/A 36366-2025 FSC-klagomål mail.docx", "A 36366-2025")</f>
        <v/>
      </c>
      <c r="X18">
        <f>HYPERLINK("https://klasma.github.io/Logging_0117/tillsyn/A 36366-2025 tillsynsbegäran.docx", "A 36366-2025")</f>
        <v/>
      </c>
      <c r="Y18">
        <f>HYPERLINK("https://klasma.github.io/Logging_0117/tillsynsmail/A 36366-2025 tillsynsbegäran mail.docx", "A 36366-2025")</f>
        <v/>
      </c>
    </row>
    <row r="19" ht="15" customHeight="1">
      <c r="A19" t="inlineStr">
        <is>
          <t>A 22172-2022</t>
        </is>
      </c>
      <c r="B19" s="1" t="n">
        <v>44712</v>
      </c>
      <c r="C19" s="1" t="n">
        <v>46017</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3919-2023</t>
        </is>
      </c>
      <c r="B20" s="1" t="n">
        <v>44952</v>
      </c>
      <c r="C20" s="1" t="n">
        <v>46017</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38968-2025</t>
        </is>
      </c>
      <c r="B21" s="1" t="n">
        <v>45887.70863425926</v>
      </c>
      <c r="C21" s="1" t="n">
        <v>46017</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3914-2023</t>
        </is>
      </c>
      <c r="B22" s="1" t="n">
        <v>44952.30934027778</v>
      </c>
      <c r="C22" s="1" t="n">
        <v>46017</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13942-2021</t>
        </is>
      </c>
      <c r="B23" s="1" t="n">
        <v>44277</v>
      </c>
      <c r="C23" s="1" t="n">
        <v>46017</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27921-2025</t>
        </is>
      </c>
      <c r="B24" s="1" t="n">
        <v>45817.4846875</v>
      </c>
      <c r="C24" s="1" t="n">
        <v>46017</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46017</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46017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46017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46017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46017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46017</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46017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46017</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46017</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46017</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28405-2022</t>
        </is>
      </c>
      <c r="B35" s="1" t="n">
        <v>44747</v>
      </c>
      <c r="C35" s="1" t="n">
        <v>46017</v>
      </c>
      <c r="D35" t="inlineStr">
        <is>
          <t>STOCKHOLMS LÄN</t>
        </is>
      </c>
      <c r="E35" t="inlineStr">
        <is>
          <t>ÖSTERÅKER</t>
        </is>
      </c>
      <c r="G35" t="n">
        <v>1.9</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46017</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46017</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46017</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46017</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19934-2022</t>
        </is>
      </c>
      <c r="B40" s="1" t="n">
        <v>44697.46248842592</v>
      </c>
      <c r="C40" s="1" t="n">
        <v>46017</v>
      </c>
      <c r="D40" t="inlineStr">
        <is>
          <t>STOCKHOLMS LÄN</t>
        </is>
      </c>
      <c r="E40" t="inlineStr">
        <is>
          <t>ÖSTERÅKER</t>
        </is>
      </c>
      <c r="G40" t="n">
        <v>0.3</v>
      </c>
      <c r="H40" t="n">
        <v>0</v>
      </c>
      <c r="I40" t="n">
        <v>0</v>
      </c>
      <c r="J40" t="n">
        <v>0</v>
      </c>
      <c r="K40" t="n">
        <v>0</v>
      </c>
      <c r="L40" t="n">
        <v>0</v>
      </c>
      <c r="M40" t="n">
        <v>0</v>
      </c>
      <c r="N40" t="n">
        <v>0</v>
      </c>
      <c r="O40" t="n">
        <v>0</v>
      </c>
      <c r="P40" t="n">
        <v>0</v>
      </c>
      <c r="Q40" t="n">
        <v>0</v>
      </c>
      <c r="R40" s="2" t="inlineStr"/>
    </row>
    <row r="41" ht="15" customHeight="1">
      <c r="A41" t="inlineStr">
        <is>
          <t>A 19944-2022</t>
        </is>
      </c>
      <c r="B41" s="1" t="n">
        <v>44697.47424768518</v>
      </c>
      <c r="C41" s="1" t="n">
        <v>46017</v>
      </c>
      <c r="D41" t="inlineStr">
        <is>
          <t>STOCKHOLMS LÄN</t>
        </is>
      </c>
      <c r="E41" t="inlineStr">
        <is>
          <t>ÖSTERÅKER</t>
        </is>
      </c>
      <c r="G41" t="n">
        <v>3.5</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46017</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46017</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61323-2022</t>
        </is>
      </c>
      <c r="B44" s="1" t="n">
        <v>44915</v>
      </c>
      <c r="C44" s="1" t="n">
        <v>46017</v>
      </c>
      <c r="D44" t="inlineStr">
        <is>
          <t>STOCKHOLMS LÄN</t>
        </is>
      </c>
      <c r="E44" t="inlineStr">
        <is>
          <t>ÖSTERÅKER</t>
        </is>
      </c>
      <c r="G44" t="n">
        <v>2.7</v>
      </c>
      <c r="H44" t="n">
        <v>0</v>
      </c>
      <c r="I44" t="n">
        <v>0</v>
      </c>
      <c r="J44" t="n">
        <v>0</v>
      </c>
      <c r="K44" t="n">
        <v>0</v>
      </c>
      <c r="L44" t="n">
        <v>0</v>
      </c>
      <c r="M44" t="n">
        <v>0</v>
      </c>
      <c r="N44" t="n">
        <v>0</v>
      </c>
      <c r="O44" t="n">
        <v>0</v>
      </c>
      <c r="P44" t="n">
        <v>0</v>
      </c>
      <c r="Q44" t="n">
        <v>0</v>
      </c>
      <c r="R44" s="2" t="inlineStr"/>
    </row>
    <row r="45" ht="15" customHeight="1">
      <c r="A45" t="inlineStr">
        <is>
          <t>A 9865-2025</t>
        </is>
      </c>
      <c r="B45" s="1" t="n">
        <v>45716</v>
      </c>
      <c r="C45" s="1" t="n">
        <v>46017</v>
      </c>
      <c r="D45" t="inlineStr">
        <is>
          <t>STOCKHOLMS LÄN</t>
        </is>
      </c>
      <c r="E45" t="inlineStr">
        <is>
          <t>ÖSTERÅKER</t>
        </is>
      </c>
      <c r="G45" t="n">
        <v>7</v>
      </c>
      <c r="H45" t="n">
        <v>0</v>
      </c>
      <c r="I45" t="n">
        <v>0</v>
      </c>
      <c r="J45" t="n">
        <v>0</v>
      </c>
      <c r="K45" t="n">
        <v>0</v>
      </c>
      <c r="L45" t="n">
        <v>0</v>
      </c>
      <c r="M45" t="n">
        <v>0</v>
      </c>
      <c r="N45" t="n">
        <v>0</v>
      </c>
      <c r="O45" t="n">
        <v>0</v>
      </c>
      <c r="P45" t="n">
        <v>0</v>
      </c>
      <c r="Q45" t="n">
        <v>0</v>
      </c>
      <c r="R45" s="2" t="inlineStr"/>
    </row>
    <row r="46" ht="15" customHeight="1">
      <c r="A46" t="inlineStr">
        <is>
          <t>A 838-2022</t>
        </is>
      </c>
      <c r="B46" s="1" t="n">
        <v>44569</v>
      </c>
      <c r="C46" s="1" t="n">
        <v>46017</v>
      </c>
      <c r="D46" t="inlineStr">
        <is>
          <t>STOCKHOLMS LÄN</t>
        </is>
      </c>
      <c r="E46" t="inlineStr">
        <is>
          <t>ÖSTERÅKER</t>
        </is>
      </c>
      <c r="F46" t="inlineStr">
        <is>
          <t>Övriga Aktiebolag</t>
        </is>
      </c>
      <c r="G46" t="n">
        <v>4.9</v>
      </c>
      <c r="H46" t="n">
        <v>0</v>
      </c>
      <c r="I46" t="n">
        <v>0</v>
      </c>
      <c r="J46" t="n">
        <v>0</v>
      </c>
      <c r="K46" t="n">
        <v>0</v>
      </c>
      <c r="L46" t="n">
        <v>0</v>
      </c>
      <c r="M46" t="n">
        <v>0</v>
      </c>
      <c r="N46" t="n">
        <v>0</v>
      </c>
      <c r="O46" t="n">
        <v>0</v>
      </c>
      <c r="P46" t="n">
        <v>0</v>
      </c>
      <c r="Q46" t="n">
        <v>0</v>
      </c>
      <c r="R46" s="2" t="inlineStr"/>
    </row>
    <row r="47" ht="15" customHeight="1">
      <c r="A47" t="inlineStr">
        <is>
          <t>A 865-2022</t>
        </is>
      </c>
      <c r="B47" s="1" t="n">
        <v>44569</v>
      </c>
      <c r="C47" s="1" t="n">
        <v>46017</v>
      </c>
      <c r="D47" t="inlineStr">
        <is>
          <t>STOCKHOLMS LÄN</t>
        </is>
      </c>
      <c r="E47" t="inlineStr">
        <is>
          <t>ÖSTERÅKER</t>
        </is>
      </c>
      <c r="F47" t="inlineStr">
        <is>
          <t>Övriga Aktiebolag</t>
        </is>
      </c>
      <c r="G47" t="n">
        <v>2.4</v>
      </c>
      <c r="H47" t="n">
        <v>0</v>
      </c>
      <c r="I47" t="n">
        <v>0</v>
      </c>
      <c r="J47" t="n">
        <v>0</v>
      </c>
      <c r="K47" t="n">
        <v>0</v>
      </c>
      <c r="L47" t="n">
        <v>0</v>
      </c>
      <c r="M47" t="n">
        <v>0</v>
      </c>
      <c r="N47" t="n">
        <v>0</v>
      </c>
      <c r="O47" t="n">
        <v>0</v>
      </c>
      <c r="P47" t="n">
        <v>0</v>
      </c>
      <c r="Q47" t="n">
        <v>0</v>
      </c>
      <c r="R47" s="2" t="inlineStr"/>
    </row>
    <row r="48" ht="15" customHeight="1">
      <c r="A48" t="inlineStr">
        <is>
          <t>A 28146-2024</t>
        </is>
      </c>
      <c r="B48" s="1" t="n">
        <v>45476</v>
      </c>
      <c r="C48" s="1" t="n">
        <v>46017</v>
      </c>
      <c r="D48" t="inlineStr">
        <is>
          <t>STOCKHOLMS LÄN</t>
        </is>
      </c>
      <c r="E48" t="inlineStr">
        <is>
          <t>ÖSTERÅKER</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6655-2023</t>
        </is>
      </c>
      <c r="B49" s="1" t="n">
        <v>44966.60668981481</v>
      </c>
      <c r="C49" s="1" t="n">
        <v>46017</v>
      </c>
      <c r="D49" t="inlineStr">
        <is>
          <t>STOCKHOLMS LÄN</t>
        </is>
      </c>
      <c r="E49" t="inlineStr">
        <is>
          <t>ÖSTERÅKER</t>
        </is>
      </c>
      <c r="G49" t="n">
        <v>0.8</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46017</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16803-2022</t>
        </is>
      </c>
      <c r="B51" s="1" t="n">
        <v>44673</v>
      </c>
      <c r="C51" s="1" t="n">
        <v>46017</v>
      </c>
      <c r="D51" t="inlineStr">
        <is>
          <t>STOCKHOLMS LÄN</t>
        </is>
      </c>
      <c r="E51" t="inlineStr">
        <is>
          <t>ÖSTERÅKER</t>
        </is>
      </c>
      <c r="G51" t="n">
        <v>1.9</v>
      </c>
      <c r="H51" t="n">
        <v>0</v>
      </c>
      <c r="I51" t="n">
        <v>0</v>
      </c>
      <c r="J51" t="n">
        <v>0</v>
      </c>
      <c r="K51" t="n">
        <v>0</v>
      </c>
      <c r="L51" t="n">
        <v>0</v>
      </c>
      <c r="M51" t="n">
        <v>0</v>
      </c>
      <c r="N51" t="n">
        <v>0</v>
      </c>
      <c r="O51" t="n">
        <v>0</v>
      </c>
      <c r="P51" t="n">
        <v>0</v>
      </c>
      <c r="Q51" t="n">
        <v>0</v>
      </c>
      <c r="R51" s="2" t="inlineStr"/>
    </row>
    <row r="52" ht="15" customHeight="1">
      <c r="A52" t="inlineStr">
        <is>
          <t>A 13118-2021</t>
        </is>
      </c>
      <c r="B52" s="1" t="n">
        <v>44272</v>
      </c>
      <c r="C52" s="1" t="n">
        <v>46017</v>
      </c>
      <c r="D52" t="inlineStr">
        <is>
          <t>STOCKHOLMS LÄN</t>
        </is>
      </c>
      <c r="E52" t="inlineStr">
        <is>
          <t>ÖSTERÅKER</t>
        </is>
      </c>
      <c r="F52" t="inlineStr">
        <is>
          <t>Kyrkan</t>
        </is>
      </c>
      <c r="G52" t="n">
        <v>4</v>
      </c>
      <c r="H52" t="n">
        <v>0</v>
      </c>
      <c r="I52" t="n">
        <v>0</v>
      </c>
      <c r="J52" t="n">
        <v>0</v>
      </c>
      <c r="K52" t="n">
        <v>0</v>
      </c>
      <c r="L52" t="n">
        <v>0</v>
      </c>
      <c r="M52" t="n">
        <v>0</v>
      </c>
      <c r="N52" t="n">
        <v>0</v>
      </c>
      <c r="O52" t="n">
        <v>0</v>
      </c>
      <c r="P52" t="n">
        <v>0</v>
      </c>
      <c r="Q52" t="n">
        <v>0</v>
      </c>
      <c r="R52" s="2" t="inlineStr"/>
    </row>
    <row r="53" ht="15" customHeight="1">
      <c r="A53" t="inlineStr">
        <is>
          <t>A 46688-2022</t>
        </is>
      </c>
      <c r="B53" s="1" t="n">
        <v>44851</v>
      </c>
      <c r="C53" s="1" t="n">
        <v>46017</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31134-2023</t>
        </is>
      </c>
      <c r="B54" s="1" t="n">
        <v>45113</v>
      </c>
      <c r="C54" s="1" t="n">
        <v>46017</v>
      </c>
      <c r="D54" t="inlineStr">
        <is>
          <t>STOCKHOLMS LÄN</t>
        </is>
      </c>
      <c r="E54" t="inlineStr">
        <is>
          <t>ÖSTERÅKER</t>
        </is>
      </c>
      <c r="G54" t="n">
        <v>2.1</v>
      </c>
      <c r="H54" t="n">
        <v>0</v>
      </c>
      <c r="I54" t="n">
        <v>0</v>
      </c>
      <c r="J54" t="n">
        <v>0</v>
      </c>
      <c r="K54" t="n">
        <v>0</v>
      </c>
      <c r="L54" t="n">
        <v>0</v>
      </c>
      <c r="M54" t="n">
        <v>0</v>
      </c>
      <c r="N54" t="n">
        <v>0</v>
      </c>
      <c r="O54" t="n">
        <v>0</v>
      </c>
      <c r="P54" t="n">
        <v>0</v>
      </c>
      <c r="Q54" t="n">
        <v>0</v>
      </c>
      <c r="R54" s="2" t="inlineStr"/>
    </row>
    <row r="55" ht="15" customHeight="1">
      <c r="A55" t="inlineStr">
        <is>
          <t>A 57048-2024</t>
        </is>
      </c>
      <c r="B55" s="1" t="n">
        <v>45629.33938657407</v>
      </c>
      <c r="C55" s="1" t="n">
        <v>46017</v>
      </c>
      <c r="D55" t="inlineStr">
        <is>
          <t>STOCKHOLMS LÄN</t>
        </is>
      </c>
      <c r="E55" t="inlineStr">
        <is>
          <t>ÖSTERÅKER</t>
        </is>
      </c>
      <c r="G55" t="n">
        <v>3</v>
      </c>
      <c r="H55" t="n">
        <v>0</v>
      </c>
      <c r="I55" t="n">
        <v>0</v>
      </c>
      <c r="J55" t="n">
        <v>0</v>
      </c>
      <c r="K55" t="n">
        <v>0</v>
      </c>
      <c r="L55" t="n">
        <v>0</v>
      </c>
      <c r="M55" t="n">
        <v>0</v>
      </c>
      <c r="N55" t="n">
        <v>0</v>
      </c>
      <c r="O55" t="n">
        <v>0</v>
      </c>
      <c r="P55" t="n">
        <v>0</v>
      </c>
      <c r="Q55" t="n">
        <v>0</v>
      </c>
      <c r="R55" s="2" t="inlineStr"/>
    </row>
    <row r="56" ht="15" customHeight="1">
      <c r="A56" t="inlineStr">
        <is>
          <t>A 57055-2024</t>
        </is>
      </c>
      <c r="B56" s="1" t="n">
        <v>45629.34627314815</v>
      </c>
      <c r="C56" s="1" t="n">
        <v>46017</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61710-2022</t>
        </is>
      </c>
      <c r="B57" s="1" t="n">
        <v>44917</v>
      </c>
      <c r="C57" s="1" t="n">
        <v>46017</v>
      </c>
      <c r="D57" t="inlineStr">
        <is>
          <t>STOCKHOLMS LÄN</t>
        </is>
      </c>
      <c r="E57" t="inlineStr">
        <is>
          <t>ÖSTERÅKER</t>
        </is>
      </c>
      <c r="G57" t="n">
        <v>6.2</v>
      </c>
      <c r="H57" t="n">
        <v>0</v>
      </c>
      <c r="I57" t="n">
        <v>0</v>
      </c>
      <c r="J57" t="n">
        <v>0</v>
      </c>
      <c r="K57" t="n">
        <v>0</v>
      </c>
      <c r="L57" t="n">
        <v>0</v>
      </c>
      <c r="M57" t="n">
        <v>0</v>
      </c>
      <c r="N57" t="n">
        <v>0</v>
      </c>
      <c r="O57" t="n">
        <v>0</v>
      </c>
      <c r="P57" t="n">
        <v>0</v>
      </c>
      <c r="Q57" t="n">
        <v>0</v>
      </c>
      <c r="R57" s="2" t="inlineStr"/>
    </row>
    <row r="58" ht="15" customHeight="1">
      <c r="A58" t="inlineStr">
        <is>
          <t>A 23144-2024</t>
        </is>
      </c>
      <c r="B58" s="1" t="n">
        <v>45450.63202546296</v>
      </c>
      <c r="C58" s="1" t="n">
        <v>46017</v>
      </c>
      <c r="D58" t="inlineStr">
        <is>
          <t>STOCKHOLMS LÄN</t>
        </is>
      </c>
      <c r="E58" t="inlineStr">
        <is>
          <t>ÖSTERÅKER</t>
        </is>
      </c>
      <c r="F58" t="inlineStr">
        <is>
          <t>Övriga Aktiebolag</t>
        </is>
      </c>
      <c r="G58" t="n">
        <v>4.7</v>
      </c>
      <c r="H58" t="n">
        <v>0</v>
      </c>
      <c r="I58" t="n">
        <v>0</v>
      </c>
      <c r="J58" t="n">
        <v>0</v>
      </c>
      <c r="K58" t="n">
        <v>0</v>
      </c>
      <c r="L58" t="n">
        <v>0</v>
      </c>
      <c r="M58" t="n">
        <v>0</v>
      </c>
      <c r="N58" t="n">
        <v>0</v>
      </c>
      <c r="O58" t="n">
        <v>0</v>
      </c>
      <c r="P58" t="n">
        <v>0</v>
      </c>
      <c r="Q58" t="n">
        <v>0</v>
      </c>
      <c r="R58" s="2" t="inlineStr"/>
    </row>
    <row r="59" ht="15" customHeight="1">
      <c r="A59" t="inlineStr">
        <is>
          <t>A 17353-2025</t>
        </is>
      </c>
      <c r="B59" s="1" t="n">
        <v>45756</v>
      </c>
      <c r="C59" s="1" t="n">
        <v>46017</v>
      </c>
      <c r="D59" t="inlineStr">
        <is>
          <t>STOCKHOLMS LÄN</t>
        </is>
      </c>
      <c r="E59" t="inlineStr">
        <is>
          <t>ÖSTERÅKER</t>
        </is>
      </c>
      <c r="F59" t="inlineStr">
        <is>
          <t>Övriga Aktiebolag</t>
        </is>
      </c>
      <c r="G59" t="n">
        <v>5.5</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46017</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5286-2025</t>
        </is>
      </c>
      <c r="B61" s="1" t="n">
        <v>45692.44144675926</v>
      </c>
      <c r="C61" s="1" t="n">
        <v>46017</v>
      </c>
      <c r="D61" t="inlineStr">
        <is>
          <t>STOCKHOLMS LÄN</t>
        </is>
      </c>
      <c r="E61" t="inlineStr">
        <is>
          <t>ÖSTERÅKER</t>
        </is>
      </c>
      <c r="G61" t="n">
        <v>11.2</v>
      </c>
      <c r="H61" t="n">
        <v>0</v>
      </c>
      <c r="I61" t="n">
        <v>0</v>
      </c>
      <c r="J61" t="n">
        <v>0</v>
      </c>
      <c r="K61" t="n">
        <v>0</v>
      </c>
      <c r="L61" t="n">
        <v>0</v>
      </c>
      <c r="M61" t="n">
        <v>0</v>
      </c>
      <c r="N61" t="n">
        <v>0</v>
      </c>
      <c r="O61" t="n">
        <v>0</v>
      </c>
      <c r="P61" t="n">
        <v>0</v>
      </c>
      <c r="Q61" t="n">
        <v>0</v>
      </c>
      <c r="R61" s="2" t="inlineStr"/>
    </row>
    <row r="62" ht="15" customHeight="1">
      <c r="A62" t="inlineStr">
        <is>
          <t>A 28143-2024</t>
        </is>
      </c>
      <c r="B62" s="1" t="n">
        <v>45476</v>
      </c>
      <c r="C62" s="1" t="n">
        <v>46017</v>
      </c>
      <c r="D62" t="inlineStr">
        <is>
          <t>STOCKHOLMS LÄN</t>
        </is>
      </c>
      <c r="E62" t="inlineStr">
        <is>
          <t>ÖSTERÅKER</t>
        </is>
      </c>
      <c r="F62" t="inlineStr">
        <is>
          <t>Övriga Aktiebolag</t>
        </is>
      </c>
      <c r="G62" t="n">
        <v>2.2</v>
      </c>
      <c r="H62" t="n">
        <v>0</v>
      </c>
      <c r="I62" t="n">
        <v>0</v>
      </c>
      <c r="J62" t="n">
        <v>0</v>
      </c>
      <c r="K62" t="n">
        <v>0</v>
      </c>
      <c r="L62" t="n">
        <v>0</v>
      </c>
      <c r="M62" t="n">
        <v>0</v>
      </c>
      <c r="N62" t="n">
        <v>0</v>
      </c>
      <c r="O62" t="n">
        <v>0</v>
      </c>
      <c r="P62" t="n">
        <v>0</v>
      </c>
      <c r="Q62" t="n">
        <v>0</v>
      </c>
      <c r="R62" s="2" t="inlineStr"/>
    </row>
    <row r="63" ht="15" customHeight="1">
      <c r="A63" t="inlineStr">
        <is>
          <t>A 3326-2022</t>
        </is>
      </c>
      <c r="B63" s="1" t="n">
        <v>44583</v>
      </c>
      <c r="C63" s="1" t="n">
        <v>46017</v>
      </c>
      <c r="D63" t="inlineStr">
        <is>
          <t>STOCKHOLMS LÄN</t>
        </is>
      </c>
      <c r="E63" t="inlineStr">
        <is>
          <t>ÖSTERÅKER</t>
        </is>
      </c>
      <c r="F63" t="inlineStr">
        <is>
          <t>Övriga Aktiebolag</t>
        </is>
      </c>
      <c r="G63" t="n">
        <v>2.7</v>
      </c>
      <c r="H63" t="n">
        <v>0</v>
      </c>
      <c r="I63" t="n">
        <v>0</v>
      </c>
      <c r="J63" t="n">
        <v>0</v>
      </c>
      <c r="K63" t="n">
        <v>0</v>
      </c>
      <c r="L63" t="n">
        <v>0</v>
      </c>
      <c r="M63" t="n">
        <v>0</v>
      </c>
      <c r="N63" t="n">
        <v>0</v>
      </c>
      <c r="O63" t="n">
        <v>0</v>
      </c>
      <c r="P63" t="n">
        <v>0</v>
      </c>
      <c r="Q63" t="n">
        <v>0</v>
      </c>
      <c r="R63" s="2" t="inlineStr"/>
    </row>
    <row r="64" ht="15" customHeight="1">
      <c r="A64" t="inlineStr">
        <is>
          <t>A 9842-2025</t>
        </is>
      </c>
      <c r="B64" s="1" t="n">
        <v>45716</v>
      </c>
      <c r="C64" s="1" t="n">
        <v>46017</v>
      </c>
      <c r="D64" t="inlineStr">
        <is>
          <t>STOCKHOLMS LÄN</t>
        </is>
      </c>
      <c r="E64" t="inlineStr">
        <is>
          <t>ÖSTERÅKER</t>
        </is>
      </c>
      <c r="G64" t="n">
        <v>4.8</v>
      </c>
      <c r="H64" t="n">
        <v>0</v>
      </c>
      <c r="I64" t="n">
        <v>0</v>
      </c>
      <c r="J64" t="n">
        <v>0</v>
      </c>
      <c r="K64" t="n">
        <v>0</v>
      </c>
      <c r="L64" t="n">
        <v>0</v>
      </c>
      <c r="M64" t="n">
        <v>0</v>
      </c>
      <c r="N64" t="n">
        <v>0</v>
      </c>
      <c r="O64" t="n">
        <v>0</v>
      </c>
      <c r="P64" t="n">
        <v>0</v>
      </c>
      <c r="Q64" t="n">
        <v>0</v>
      </c>
      <c r="R64" s="2" t="inlineStr"/>
    </row>
    <row r="65" ht="15" customHeight="1">
      <c r="A65" t="inlineStr">
        <is>
          <t>A 56909-2024</t>
        </is>
      </c>
      <c r="B65" s="1" t="n">
        <v>45628.59060185185</v>
      </c>
      <c r="C65" s="1" t="n">
        <v>46017</v>
      </c>
      <c r="D65" t="inlineStr">
        <is>
          <t>STOCKHOLMS LÄN</t>
        </is>
      </c>
      <c r="E65" t="inlineStr">
        <is>
          <t>ÖSTERÅKER</t>
        </is>
      </c>
      <c r="G65" t="n">
        <v>1</v>
      </c>
      <c r="H65" t="n">
        <v>0</v>
      </c>
      <c r="I65" t="n">
        <v>0</v>
      </c>
      <c r="J65" t="n">
        <v>0</v>
      </c>
      <c r="K65" t="n">
        <v>0</v>
      </c>
      <c r="L65" t="n">
        <v>0</v>
      </c>
      <c r="M65" t="n">
        <v>0</v>
      </c>
      <c r="N65" t="n">
        <v>0</v>
      </c>
      <c r="O65" t="n">
        <v>0</v>
      </c>
      <c r="P65" t="n">
        <v>0</v>
      </c>
      <c r="Q65" t="n">
        <v>0</v>
      </c>
      <c r="R65" s="2" t="inlineStr"/>
    </row>
    <row r="66" ht="15" customHeight="1">
      <c r="A66" t="inlineStr">
        <is>
          <t>A 3917-2023</t>
        </is>
      </c>
      <c r="B66" s="1" t="n">
        <v>44952</v>
      </c>
      <c r="C66" s="1" t="n">
        <v>46017</v>
      </c>
      <c r="D66" t="inlineStr">
        <is>
          <t>STOCKHOLMS LÄN</t>
        </is>
      </c>
      <c r="E66" t="inlineStr">
        <is>
          <t>ÖSTERÅKER</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18711-2023</t>
        </is>
      </c>
      <c r="B67" s="1" t="n">
        <v>45043.6433912037</v>
      </c>
      <c r="C67" s="1" t="n">
        <v>46017</v>
      </c>
      <c r="D67" t="inlineStr">
        <is>
          <t>STOCKHOLMS LÄN</t>
        </is>
      </c>
      <c r="E67" t="inlineStr">
        <is>
          <t>ÖSTERÅKER</t>
        </is>
      </c>
      <c r="G67" t="n">
        <v>3</v>
      </c>
      <c r="H67" t="n">
        <v>0</v>
      </c>
      <c r="I67" t="n">
        <v>0</v>
      </c>
      <c r="J67" t="n">
        <v>0</v>
      </c>
      <c r="K67" t="n">
        <v>0</v>
      </c>
      <c r="L67" t="n">
        <v>0</v>
      </c>
      <c r="M67" t="n">
        <v>0</v>
      </c>
      <c r="N67" t="n">
        <v>0</v>
      </c>
      <c r="O67" t="n">
        <v>0</v>
      </c>
      <c r="P67" t="n">
        <v>0</v>
      </c>
      <c r="Q67" t="n">
        <v>0</v>
      </c>
      <c r="R67" s="2" t="inlineStr"/>
    </row>
    <row r="68" ht="15" customHeight="1">
      <c r="A68" t="inlineStr">
        <is>
          <t>A 1136-2023</t>
        </is>
      </c>
      <c r="B68" s="1" t="n">
        <v>44935</v>
      </c>
      <c r="C68" s="1" t="n">
        <v>46017</v>
      </c>
      <c r="D68" t="inlineStr">
        <is>
          <t>STOCKHOLMS LÄN</t>
        </is>
      </c>
      <c r="E68" t="inlineStr">
        <is>
          <t>ÖSTERÅKER</t>
        </is>
      </c>
      <c r="G68" t="n">
        <v>0.5</v>
      </c>
      <c r="H68" t="n">
        <v>0</v>
      </c>
      <c r="I68" t="n">
        <v>0</v>
      </c>
      <c r="J68" t="n">
        <v>0</v>
      </c>
      <c r="K68" t="n">
        <v>0</v>
      </c>
      <c r="L68" t="n">
        <v>0</v>
      </c>
      <c r="M68" t="n">
        <v>0</v>
      </c>
      <c r="N68" t="n">
        <v>0</v>
      </c>
      <c r="O68" t="n">
        <v>0</v>
      </c>
      <c r="P68" t="n">
        <v>0</v>
      </c>
      <c r="Q68" t="n">
        <v>0</v>
      </c>
      <c r="R68" s="2" t="inlineStr"/>
    </row>
    <row r="69" ht="15" customHeight="1">
      <c r="A69" t="inlineStr">
        <is>
          <t>A 39394-2023</t>
        </is>
      </c>
      <c r="B69" s="1" t="n">
        <v>45166</v>
      </c>
      <c r="C69" s="1" t="n">
        <v>46017</v>
      </c>
      <c r="D69" t="inlineStr">
        <is>
          <t>STOCKHOLMS LÄN</t>
        </is>
      </c>
      <c r="E69" t="inlineStr">
        <is>
          <t>ÖSTERÅKER</t>
        </is>
      </c>
      <c r="G69" t="n">
        <v>0.4</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46017</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30949-2024</t>
        </is>
      </c>
      <c r="B71" s="1" t="n">
        <v>45499</v>
      </c>
      <c r="C71" s="1" t="n">
        <v>46017</v>
      </c>
      <c r="D71" t="inlineStr">
        <is>
          <t>STOCKHOLMS LÄN</t>
        </is>
      </c>
      <c r="E71" t="inlineStr">
        <is>
          <t>ÖSTERÅKER</t>
        </is>
      </c>
      <c r="F71" t="inlineStr">
        <is>
          <t>Övriga Aktiebolag</t>
        </is>
      </c>
      <c r="G71" t="n">
        <v>3.2</v>
      </c>
      <c r="H71" t="n">
        <v>0</v>
      </c>
      <c r="I71" t="n">
        <v>0</v>
      </c>
      <c r="J71" t="n">
        <v>0</v>
      </c>
      <c r="K71" t="n">
        <v>0</v>
      </c>
      <c r="L71" t="n">
        <v>0</v>
      </c>
      <c r="M71" t="n">
        <v>0</v>
      </c>
      <c r="N71" t="n">
        <v>0</v>
      </c>
      <c r="O71" t="n">
        <v>0</v>
      </c>
      <c r="P71" t="n">
        <v>0</v>
      </c>
      <c r="Q71" t="n">
        <v>0</v>
      </c>
      <c r="R71" s="2" t="inlineStr"/>
    </row>
    <row r="72" ht="15" customHeight="1">
      <c r="A72" t="inlineStr">
        <is>
          <t>A 59379-2022</t>
        </is>
      </c>
      <c r="B72" s="1" t="n">
        <v>44905</v>
      </c>
      <c r="C72" s="1" t="n">
        <v>46017</v>
      </c>
      <c r="D72" t="inlineStr">
        <is>
          <t>STOCKHOLMS LÄN</t>
        </is>
      </c>
      <c r="E72" t="inlineStr">
        <is>
          <t>ÖSTERÅKER</t>
        </is>
      </c>
      <c r="F72" t="inlineStr">
        <is>
          <t>Kommuner</t>
        </is>
      </c>
      <c r="G72" t="n">
        <v>4.7</v>
      </c>
      <c r="H72" t="n">
        <v>0</v>
      </c>
      <c r="I72" t="n">
        <v>0</v>
      </c>
      <c r="J72" t="n">
        <v>0</v>
      </c>
      <c r="K72" t="n">
        <v>0</v>
      </c>
      <c r="L72" t="n">
        <v>0</v>
      </c>
      <c r="M72" t="n">
        <v>0</v>
      </c>
      <c r="N72" t="n">
        <v>0</v>
      </c>
      <c r="O72" t="n">
        <v>0</v>
      </c>
      <c r="P72" t="n">
        <v>0</v>
      </c>
      <c r="Q72" t="n">
        <v>0</v>
      </c>
      <c r="R72" s="2" t="inlineStr"/>
    </row>
    <row r="73" ht="15" customHeight="1">
      <c r="A73" t="inlineStr">
        <is>
          <t>A 10185-2025</t>
        </is>
      </c>
      <c r="B73" s="1" t="n">
        <v>45719</v>
      </c>
      <c r="C73" s="1" t="n">
        <v>46017</v>
      </c>
      <c r="D73" t="inlineStr">
        <is>
          <t>STOCKHOLMS LÄN</t>
        </is>
      </c>
      <c r="E73" t="inlineStr">
        <is>
          <t>ÖSTERÅKER</t>
        </is>
      </c>
      <c r="G73" t="n">
        <v>4.1</v>
      </c>
      <c r="H73" t="n">
        <v>0</v>
      </c>
      <c r="I73" t="n">
        <v>0</v>
      </c>
      <c r="J73" t="n">
        <v>0</v>
      </c>
      <c r="K73" t="n">
        <v>0</v>
      </c>
      <c r="L73" t="n">
        <v>0</v>
      </c>
      <c r="M73" t="n">
        <v>0</v>
      </c>
      <c r="N73" t="n">
        <v>0</v>
      </c>
      <c r="O73" t="n">
        <v>0</v>
      </c>
      <c r="P73" t="n">
        <v>0</v>
      </c>
      <c r="Q73" t="n">
        <v>0</v>
      </c>
      <c r="R73" s="2" t="inlineStr"/>
    </row>
    <row r="74" ht="15" customHeight="1">
      <c r="A74" t="inlineStr">
        <is>
          <t>A 544-2023</t>
        </is>
      </c>
      <c r="B74" s="1" t="n">
        <v>44924</v>
      </c>
      <c r="C74" s="1" t="n">
        <v>46017</v>
      </c>
      <c r="D74" t="inlineStr">
        <is>
          <t>STOCKHOLMS LÄN</t>
        </is>
      </c>
      <c r="E74" t="inlineStr">
        <is>
          <t>ÖSTERÅKER</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16728-2022</t>
        </is>
      </c>
      <c r="B75" s="1" t="n">
        <v>44673</v>
      </c>
      <c r="C75" s="1" t="n">
        <v>46017</v>
      </c>
      <c r="D75" t="inlineStr">
        <is>
          <t>STOCKHOLMS LÄN</t>
        </is>
      </c>
      <c r="E75" t="inlineStr">
        <is>
          <t>ÖSTERÅKER</t>
        </is>
      </c>
      <c r="G75" t="n">
        <v>0.9</v>
      </c>
      <c r="H75" t="n">
        <v>0</v>
      </c>
      <c r="I75" t="n">
        <v>0</v>
      </c>
      <c r="J75" t="n">
        <v>0</v>
      </c>
      <c r="K75" t="n">
        <v>0</v>
      </c>
      <c r="L75" t="n">
        <v>0</v>
      </c>
      <c r="M75" t="n">
        <v>0</v>
      </c>
      <c r="N75" t="n">
        <v>0</v>
      </c>
      <c r="O75" t="n">
        <v>0</v>
      </c>
      <c r="P75" t="n">
        <v>0</v>
      </c>
      <c r="Q75" t="n">
        <v>0</v>
      </c>
      <c r="R75" s="2" t="inlineStr"/>
    </row>
    <row r="76" ht="15" customHeight="1">
      <c r="A76" t="inlineStr">
        <is>
          <t>A 14776-2024</t>
        </is>
      </c>
      <c r="B76" s="1" t="n">
        <v>45397</v>
      </c>
      <c r="C76" s="1" t="n">
        <v>46017</v>
      </c>
      <c r="D76" t="inlineStr">
        <is>
          <t>STOCKHOLMS LÄN</t>
        </is>
      </c>
      <c r="E76" t="inlineStr">
        <is>
          <t>ÖSTERÅKER</t>
        </is>
      </c>
      <c r="G76" t="n">
        <v>13.6</v>
      </c>
      <c r="H76" t="n">
        <v>0</v>
      </c>
      <c r="I76" t="n">
        <v>0</v>
      </c>
      <c r="J76" t="n">
        <v>0</v>
      </c>
      <c r="K76" t="n">
        <v>0</v>
      </c>
      <c r="L76" t="n">
        <v>0</v>
      </c>
      <c r="M76" t="n">
        <v>0</v>
      </c>
      <c r="N76" t="n">
        <v>0</v>
      </c>
      <c r="O76" t="n">
        <v>0</v>
      </c>
      <c r="P76" t="n">
        <v>0</v>
      </c>
      <c r="Q76" t="n">
        <v>0</v>
      </c>
      <c r="R76" s="2" t="inlineStr"/>
    </row>
    <row r="77" ht="15" customHeight="1">
      <c r="A77" t="inlineStr">
        <is>
          <t>A 34713-2025</t>
        </is>
      </c>
      <c r="B77" s="1" t="n">
        <v>45848</v>
      </c>
      <c r="C77" s="1" t="n">
        <v>46017</v>
      </c>
      <c r="D77" t="inlineStr">
        <is>
          <t>STOCKHOLMS LÄN</t>
        </is>
      </c>
      <c r="E77" t="inlineStr">
        <is>
          <t>ÖSTERÅKER</t>
        </is>
      </c>
      <c r="G77" t="n">
        <v>0.9</v>
      </c>
      <c r="H77" t="n">
        <v>0</v>
      </c>
      <c r="I77" t="n">
        <v>0</v>
      </c>
      <c r="J77" t="n">
        <v>0</v>
      </c>
      <c r="K77" t="n">
        <v>0</v>
      </c>
      <c r="L77" t="n">
        <v>0</v>
      </c>
      <c r="M77" t="n">
        <v>0</v>
      </c>
      <c r="N77" t="n">
        <v>0</v>
      </c>
      <c r="O77" t="n">
        <v>0</v>
      </c>
      <c r="P77" t="n">
        <v>0</v>
      </c>
      <c r="Q77" t="n">
        <v>0</v>
      </c>
      <c r="R77" s="2" t="inlineStr"/>
    </row>
    <row r="78" ht="15" customHeight="1">
      <c r="A78" t="inlineStr">
        <is>
          <t>A 845-2024</t>
        </is>
      </c>
      <c r="B78" s="1" t="n">
        <v>45300.91423611111</v>
      </c>
      <c r="C78" s="1" t="n">
        <v>46017</v>
      </c>
      <c r="D78" t="inlineStr">
        <is>
          <t>STOCKHOLMS LÄN</t>
        </is>
      </c>
      <c r="E78" t="inlineStr">
        <is>
          <t>ÖSTERÅKER</t>
        </is>
      </c>
      <c r="G78" t="n">
        <v>10.1</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46017</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61370-2022</t>
        </is>
      </c>
      <c r="B80" s="1" t="n">
        <v>44915</v>
      </c>
      <c r="C80" s="1" t="n">
        <v>46017</v>
      </c>
      <c r="D80" t="inlineStr">
        <is>
          <t>STOCKHOLMS LÄN</t>
        </is>
      </c>
      <c r="E80" t="inlineStr">
        <is>
          <t>ÖSTERÅKER</t>
        </is>
      </c>
      <c r="G80" t="n">
        <v>3.2</v>
      </c>
      <c r="H80" t="n">
        <v>0</v>
      </c>
      <c r="I80" t="n">
        <v>0</v>
      </c>
      <c r="J80" t="n">
        <v>0</v>
      </c>
      <c r="K80" t="n">
        <v>0</v>
      </c>
      <c r="L80" t="n">
        <v>0</v>
      </c>
      <c r="M80" t="n">
        <v>0</v>
      </c>
      <c r="N80" t="n">
        <v>0</v>
      </c>
      <c r="O80" t="n">
        <v>0</v>
      </c>
      <c r="P80" t="n">
        <v>0</v>
      </c>
      <c r="Q80" t="n">
        <v>0</v>
      </c>
      <c r="R80" s="2" t="inlineStr"/>
    </row>
    <row r="81" ht="15" customHeight="1">
      <c r="A81" t="inlineStr">
        <is>
          <t>A 37037-2023</t>
        </is>
      </c>
      <c r="B81" s="1" t="n">
        <v>45155</v>
      </c>
      <c r="C81" s="1" t="n">
        <v>46017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31575-2022</t>
        </is>
      </c>
      <c r="B82" s="1" t="n">
        <v>44775.45063657407</v>
      </c>
      <c r="C82" s="1" t="n">
        <v>46017</v>
      </c>
      <c r="D82" t="inlineStr">
        <is>
          <t>STOCKHOLMS LÄN</t>
        </is>
      </c>
      <c r="E82" t="inlineStr">
        <is>
          <t>ÖSTERÅKER</t>
        </is>
      </c>
      <c r="G82" t="n">
        <v>5</v>
      </c>
      <c r="H82" t="n">
        <v>0</v>
      </c>
      <c r="I82" t="n">
        <v>0</v>
      </c>
      <c r="J82" t="n">
        <v>0</v>
      </c>
      <c r="K82" t="n">
        <v>0</v>
      </c>
      <c r="L82" t="n">
        <v>0</v>
      </c>
      <c r="M82" t="n">
        <v>0</v>
      </c>
      <c r="N82" t="n">
        <v>0</v>
      </c>
      <c r="O82" t="n">
        <v>0</v>
      </c>
      <c r="P82" t="n">
        <v>0</v>
      </c>
      <c r="Q82" t="n">
        <v>0</v>
      </c>
      <c r="R82" s="2" t="inlineStr"/>
    </row>
    <row r="83" ht="15" customHeight="1">
      <c r="A83" t="inlineStr">
        <is>
          <t>A 3817-2023</t>
        </is>
      </c>
      <c r="B83" s="1" t="n">
        <v>44951</v>
      </c>
      <c r="C83" s="1" t="n">
        <v>46017</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3828-2023</t>
        </is>
      </c>
      <c r="B84" s="1" t="n">
        <v>44951</v>
      </c>
      <c r="C84" s="1" t="n">
        <v>46017</v>
      </c>
      <c r="D84" t="inlineStr">
        <is>
          <t>STOCKHOLMS LÄN</t>
        </is>
      </c>
      <c r="E84" t="inlineStr">
        <is>
          <t>ÖSTERÅKER</t>
        </is>
      </c>
      <c r="F84" t="inlineStr">
        <is>
          <t>Kommuner</t>
        </is>
      </c>
      <c r="G84" t="n">
        <v>3.2</v>
      </c>
      <c r="H84" t="n">
        <v>0</v>
      </c>
      <c r="I84" t="n">
        <v>0</v>
      </c>
      <c r="J84" t="n">
        <v>0</v>
      </c>
      <c r="K84" t="n">
        <v>0</v>
      </c>
      <c r="L84" t="n">
        <v>0</v>
      </c>
      <c r="M84" t="n">
        <v>0</v>
      </c>
      <c r="N84" t="n">
        <v>0</v>
      </c>
      <c r="O84" t="n">
        <v>0</v>
      </c>
      <c r="P84" t="n">
        <v>0</v>
      </c>
      <c r="Q84" t="n">
        <v>0</v>
      </c>
      <c r="R84" s="2" t="inlineStr"/>
    </row>
    <row r="85" ht="15" customHeight="1">
      <c r="A85" t="inlineStr">
        <is>
          <t>A 33158-2024</t>
        </is>
      </c>
      <c r="B85" s="1" t="n">
        <v>45518</v>
      </c>
      <c r="C85" s="1" t="n">
        <v>46017</v>
      </c>
      <c r="D85" t="inlineStr">
        <is>
          <t>STOCKHOLMS LÄN</t>
        </is>
      </c>
      <c r="E85" t="inlineStr">
        <is>
          <t>ÖSTERÅKER</t>
        </is>
      </c>
      <c r="G85" t="n">
        <v>1.6</v>
      </c>
      <c r="H85" t="n">
        <v>0</v>
      </c>
      <c r="I85" t="n">
        <v>0</v>
      </c>
      <c r="J85" t="n">
        <v>0</v>
      </c>
      <c r="K85" t="n">
        <v>0</v>
      </c>
      <c r="L85" t="n">
        <v>0</v>
      </c>
      <c r="M85" t="n">
        <v>0</v>
      </c>
      <c r="N85" t="n">
        <v>0</v>
      </c>
      <c r="O85" t="n">
        <v>0</v>
      </c>
      <c r="P85" t="n">
        <v>0</v>
      </c>
      <c r="Q85" t="n">
        <v>0</v>
      </c>
      <c r="R85" s="2" t="inlineStr"/>
    </row>
    <row r="86" ht="15" customHeight="1">
      <c r="A86" t="inlineStr">
        <is>
          <t>A 24499-2023</t>
        </is>
      </c>
      <c r="B86" s="1" t="n">
        <v>45082</v>
      </c>
      <c r="C86" s="1" t="n">
        <v>46017</v>
      </c>
      <c r="D86" t="inlineStr">
        <is>
          <t>STOCKHOLMS LÄN</t>
        </is>
      </c>
      <c r="E86" t="inlineStr">
        <is>
          <t>ÖSTERÅKER</t>
        </is>
      </c>
      <c r="G86" t="n">
        <v>0.1</v>
      </c>
      <c r="H86" t="n">
        <v>0</v>
      </c>
      <c r="I86" t="n">
        <v>0</v>
      </c>
      <c r="J86" t="n">
        <v>0</v>
      </c>
      <c r="K86" t="n">
        <v>0</v>
      </c>
      <c r="L86" t="n">
        <v>0</v>
      </c>
      <c r="M86" t="n">
        <v>0</v>
      </c>
      <c r="N86" t="n">
        <v>0</v>
      </c>
      <c r="O86" t="n">
        <v>0</v>
      </c>
      <c r="P86" t="n">
        <v>0</v>
      </c>
      <c r="Q86" t="n">
        <v>0</v>
      </c>
      <c r="R86" s="2" t="inlineStr"/>
    </row>
    <row r="87" ht="15" customHeight="1">
      <c r="A87" t="inlineStr">
        <is>
          <t>A 13366-2024</t>
        </is>
      </c>
      <c r="B87" s="1" t="n">
        <v>45387</v>
      </c>
      <c r="C87" s="1" t="n">
        <v>46017</v>
      </c>
      <c r="D87" t="inlineStr">
        <is>
          <t>STOCKHOLMS LÄN</t>
        </is>
      </c>
      <c r="E87" t="inlineStr">
        <is>
          <t>ÖSTERÅKER</t>
        </is>
      </c>
      <c r="G87" t="n">
        <v>13.7</v>
      </c>
      <c r="H87" t="n">
        <v>0</v>
      </c>
      <c r="I87" t="n">
        <v>0</v>
      </c>
      <c r="J87" t="n">
        <v>0</v>
      </c>
      <c r="K87" t="n">
        <v>0</v>
      </c>
      <c r="L87" t="n">
        <v>0</v>
      </c>
      <c r="M87" t="n">
        <v>0</v>
      </c>
      <c r="N87" t="n">
        <v>0</v>
      </c>
      <c r="O87" t="n">
        <v>0</v>
      </c>
      <c r="P87" t="n">
        <v>0</v>
      </c>
      <c r="Q87" t="n">
        <v>0</v>
      </c>
      <c r="R87" s="2" t="inlineStr"/>
    </row>
    <row r="88" ht="15" customHeight="1">
      <c r="A88" t="inlineStr">
        <is>
          <t>A 61360-2022</t>
        </is>
      </c>
      <c r="B88" s="1" t="n">
        <v>44915</v>
      </c>
      <c r="C88" s="1" t="n">
        <v>46017</v>
      </c>
      <c r="D88" t="inlineStr">
        <is>
          <t>STOCKHOLMS LÄN</t>
        </is>
      </c>
      <c r="E88" t="inlineStr">
        <is>
          <t>ÖSTERÅKER</t>
        </is>
      </c>
      <c r="G88" t="n">
        <v>2.3</v>
      </c>
      <c r="H88" t="n">
        <v>0</v>
      </c>
      <c r="I88" t="n">
        <v>0</v>
      </c>
      <c r="J88" t="n">
        <v>0</v>
      </c>
      <c r="K88" t="n">
        <v>0</v>
      </c>
      <c r="L88" t="n">
        <v>0</v>
      </c>
      <c r="M88" t="n">
        <v>0</v>
      </c>
      <c r="N88" t="n">
        <v>0</v>
      </c>
      <c r="O88" t="n">
        <v>0</v>
      </c>
      <c r="P88" t="n">
        <v>0</v>
      </c>
      <c r="Q88" t="n">
        <v>0</v>
      </c>
      <c r="R88" s="2" t="inlineStr"/>
    </row>
    <row r="89" ht="15" customHeight="1">
      <c r="A89" t="inlineStr">
        <is>
          <t>A 17196-2022</t>
        </is>
      </c>
      <c r="B89" s="1" t="n">
        <v>44677</v>
      </c>
      <c r="C89" s="1" t="n">
        <v>46017</v>
      </c>
      <c r="D89" t="inlineStr">
        <is>
          <t>STOCKHOLMS LÄN</t>
        </is>
      </c>
      <c r="E89" t="inlineStr">
        <is>
          <t>ÖSTERÅKER</t>
        </is>
      </c>
      <c r="G89" t="n">
        <v>5.9</v>
      </c>
      <c r="H89" t="n">
        <v>0</v>
      </c>
      <c r="I89" t="n">
        <v>0</v>
      </c>
      <c r="J89" t="n">
        <v>0</v>
      </c>
      <c r="K89" t="n">
        <v>0</v>
      </c>
      <c r="L89" t="n">
        <v>0</v>
      </c>
      <c r="M89" t="n">
        <v>0</v>
      </c>
      <c r="N89" t="n">
        <v>0</v>
      </c>
      <c r="O89" t="n">
        <v>0</v>
      </c>
      <c r="P89" t="n">
        <v>0</v>
      </c>
      <c r="Q89" t="n">
        <v>0</v>
      </c>
      <c r="R89" s="2" t="inlineStr"/>
    </row>
    <row r="90" ht="15" customHeight="1">
      <c r="A90" t="inlineStr">
        <is>
          <t>A 19404-2024</t>
        </is>
      </c>
      <c r="B90" s="1" t="n">
        <v>45428</v>
      </c>
      <c r="C90" s="1" t="n">
        <v>46017</v>
      </c>
      <c r="D90" t="inlineStr">
        <is>
          <t>STOCKHOLMS LÄN</t>
        </is>
      </c>
      <c r="E90" t="inlineStr">
        <is>
          <t>ÖSTERÅKER</t>
        </is>
      </c>
      <c r="F90" t="inlineStr">
        <is>
          <t>Övriga Aktiebolag</t>
        </is>
      </c>
      <c r="G90" t="n">
        <v>2.2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46017</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1603-2023</t>
        </is>
      </c>
      <c r="B92" s="1" t="n">
        <v>44937.68086805556</v>
      </c>
      <c r="C92" s="1" t="n">
        <v>46017</v>
      </c>
      <c r="D92" t="inlineStr">
        <is>
          <t>STOCKHOLMS LÄN</t>
        </is>
      </c>
      <c r="E92" t="inlineStr">
        <is>
          <t>ÖSTERÅKER</t>
        </is>
      </c>
      <c r="G92" t="n">
        <v>1.7</v>
      </c>
      <c r="H92" t="n">
        <v>0</v>
      </c>
      <c r="I92" t="n">
        <v>0</v>
      </c>
      <c r="J92" t="n">
        <v>0</v>
      </c>
      <c r="K92" t="n">
        <v>0</v>
      </c>
      <c r="L92" t="n">
        <v>0</v>
      </c>
      <c r="M92" t="n">
        <v>0</v>
      </c>
      <c r="N92" t="n">
        <v>0</v>
      </c>
      <c r="O92" t="n">
        <v>0</v>
      </c>
      <c r="P92" t="n">
        <v>0</v>
      </c>
      <c r="Q92" t="n">
        <v>0</v>
      </c>
      <c r="R92" s="2" t="inlineStr"/>
    </row>
    <row r="93" ht="15" customHeight="1">
      <c r="A93" t="inlineStr">
        <is>
          <t>A 1605-2023</t>
        </is>
      </c>
      <c r="B93" s="1" t="n">
        <v>44937.68299768519</v>
      </c>
      <c r="C93" s="1" t="n">
        <v>46017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46017</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37244-2024</t>
        </is>
      </c>
      <c r="B95" s="1" t="n">
        <v>45540</v>
      </c>
      <c r="C95" s="1" t="n">
        <v>46017</v>
      </c>
      <c r="D95" t="inlineStr">
        <is>
          <t>STOCKHOLMS LÄN</t>
        </is>
      </c>
      <c r="E95" t="inlineStr">
        <is>
          <t>ÖSTERÅKER</t>
        </is>
      </c>
      <c r="G95" t="n">
        <v>2.6</v>
      </c>
      <c r="H95" t="n">
        <v>0</v>
      </c>
      <c r="I95" t="n">
        <v>0</v>
      </c>
      <c r="J95" t="n">
        <v>0</v>
      </c>
      <c r="K95" t="n">
        <v>0</v>
      </c>
      <c r="L95" t="n">
        <v>0</v>
      </c>
      <c r="M95" t="n">
        <v>0</v>
      </c>
      <c r="N95" t="n">
        <v>0</v>
      </c>
      <c r="O95" t="n">
        <v>0</v>
      </c>
      <c r="P95" t="n">
        <v>0</v>
      </c>
      <c r="Q95" t="n">
        <v>0</v>
      </c>
      <c r="R95" s="2" t="inlineStr"/>
    </row>
    <row r="96" ht="15" customHeight="1">
      <c r="A96" t="inlineStr">
        <is>
          <t>A 60482-2025</t>
        </is>
      </c>
      <c r="B96" s="1" t="n">
        <v>45995.59832175926</v>
      </c>
      <c r="C96" s="1" t="n">
        <v>46017</v>
      </c>
      <c r="D96" t="inlineStr">
        <is>
          <t>STOCKHOLMS LÄN</t>
        </is>
      </c>
      <c r="E96" t="inlineStr">
        <is>
          <t>ÖSTERÅKER</t>
        </is>
      </c>
      <c r="G96" t="n">
        <v>1.4</v>
      </c>
      <c r="H96" t="n">
        <v>0</v>
      </c>
      <c r="I96" t="n">
        <v>0</v>
      </c>
      <c r="J96" t="n">
        <v>0</v>
      </c>
      <c r="K96" t="n">
        <v>0</v>
      </c>
      <c r="L96" t="n">
        <v>0</v>
      </c>
      <c r="M96" t="n">
        <v>0</v>
      </c>
      <c r="N96" t="n">
        <v>0</v>
      </c>
      <c r="O96" t="n">
        <v>0</v>
      </c>
      <c r="P96" t="n">
        <v>0</v>
      </c>
      <c r="Q96" t="n">
        <v>0</v>
      </c>
      <c r="R96" s="2" t="inlineStr"/>
    </row>
    <row r="97" ht="15" customHeight="1">
      <c r="A97" t="inlineStr">
        <is>
          <t>A 52220-2025</t>
        </is>
      </c>
      <c r="B97" s="1" t="n">
        <v>45953</v>
      </c>
      <c r="C97" s="1" t="n">
        <v>46017</v>
      </c>
      <c r="D97" t="inlineStr">
        <is>
          <t>STOCKHOLMS LÄN</t>
        </is>
      </c>
      <c r="E97" t="inlineStr">
        <is>
          <t>ÖSTERÅKER</t>
        </is>
      </c>
      <c r="G97" t="n">
        <v>0.8</v>
      </c>
      <c r="H97" t="n">
        <v>0</v>
      </c>
      <c r="I97" t="n">
        <v>0</v>
      </c>
      <c r="J97" t="n">
        <v>0</v>
      </c>
      <c r="K97" t="n">
        <v>0</v>
      </c>
      <c r="L97" t="n">
        <v>0</v>
      </c>
      <c r="M97" t="n">
        <v>0</v>
      </c>
      <c r="N97" t="n">
        <v>0</v>
      </c>
      <c r="O97" t="n">
        <v>0</v>
      </c>
      <c r="P97" t="n">
        <v>0</v>
      </c>
      <c r="Q97" t="n">
        <v>0</v>
      </c>
      <c r="R97" s="2" t="inlineStr"/>
    </row>
    <row r="98" ht="15" customHeight="1">
      <c r="A98" t="inlineStr">
        <is>
          <t>A 21786-2025</t>
        </is>
      </c>
      <c r="B98" s="1" t="n">
        <v>45783.67215277778</v>
      </c>
      <c r="C98" s="1" t="n">
        <v>46017</v>
      </c>
      <c r="D98" t="inlineStr">
        <is>
          <t>STOCKHOLMS LÄN</t>
        </is>
      </c>
      <c r="E98" t="inlineStr">
        <is>
          <t>ÖSTERÅKER</t>
        </is>
      </c>
      <c r="G98" t="n">
        <v>3.8</v>
      </c>
      <c r="H98" t="n">
        <v>0</v>
      </c>
      <c r="I98" t="n">
        <v>0</v>
      </c>
      <c r="J98" t="n">
        <v>0</v>
      </c>
      <c r="K98" t="n">
        <v>0</v>
      </c>
      <c r="L98" t="n">
        <v>0</v>
      </c>
      <c r="M98" t="n">
        <v>0</v>
      </c>
      <c r="N98" t="n">
        <v>0</v>
      </c>
      <c r="O98" t="n">
        <v>0</v>
      </c>
      <c r="P98" t="n">
        <v>0</v>
      </c>
      <c r="Q98" t="n">
        <v>0</v>
      </c>
      <c r="R98" s="2" t="inlineStr"/>
    </row>
    <row r="99" ht="15" customHeight="1">
      <c r="A99" t="inlineStr">
        <is>
          <t>A 21796-2025</t>
        </is>
      </c>
      <c r="B99" s="1" t="n">
        <v>45783.68135416666</v>
      </c>
      <c r="C99" s="1" t="n">
        <v>46017</v>
      </c>
      <c r="D99" t="inlineStr">
        <is>
          <t>STOCKHOLMS LÄN</t>
        </is>
      </c>
      <c r="E99" t="inlineStr">
        <is>
          <t>ÖSTERÅKER</t>
        </is>
      </c>
      <c r="G99" t="n">
        <v>2.5</v>
      </c>
      <c r="H99" t="n">
        <v>0</v>
      </c>
      <c r="I99" t="n">
        <v>0</v>
      </c>
      <c r="J99" t="n">
        <v>0</v>
      </c>
      <c r="K99" t="n">
        <v>0</v>
      </c>
      <c r="L99" t="n">
        <v>0</v>
      </c>
      <c r="M99" t="n">
        <v>0</v>
      </c>
      <c r="N99" t="n">
        <v>0</v>
      </c>
      <c r="O99" t="n">
        <v>0</v>
      </c>
      <c r="P99" t="n">
        <v>0</v>
      </c>
      <c r="Q99" t="n">
        <v>0</v>
      </c>
      <c r="R99" s="2" t="inlineStr"/>
    </row>
    <row r="100" ht="15" customHeight="1">
      <c r="A100" t="inlineStr">
        <is>
          <t>A 62831-2025</t>
        </is>
      </c>
      <c r="B100" s="1" t="n">
        <v>46008.67471064815</v>
      </c>
      <c r="C100" s="1" t="n">
        <v>46017</v>
      </c>
      <c r="D100" t="inlineStr">
        <is>
          <t>STOCKHOLMS LÄN</t>
        </is>
      </c>
      <c r="E100" t="inlineStr">
        <is>
          <t>ÖSTERÅKER</t>
        </is>
      </c>
      <c r="G100" t="n">
        <v>1.6</v>
      </c>
      <c r="H100" t="n">
        <v>0</v>
      </c>
      <c r="I100" t="n">
        <v>0</v>
      </c>
      <c r="J100" t="n">
        <v>0</v>
      </c>
      <c r="K100" t="n">
        <v>0</v>
      </c>
      <c r="L100" t="n">
        <v>0</v>
      </c>
      <c r="M100" t="n">
        <v>0</v>
      </c>
      <c r="N100" t="n">
        <v>0</v>
      </c>
      <c r="O100" t="n">
        <v>0</v>
      </c>
      <c r="P100" t="n">
        <v>0</v>
      </c>
      <c r="Q100" t="n">
        <v>0</v>
      </c>
      <c r="R100" s="2" t="inlineStr"/>
    </row>
    <row r="101" ht="15" customHeight="1">
      <c r="A101" t="inlineStr">
        <is>
          <t>A 62839-2025</t>
        </is>
      </c>
      <c r="B101" s="1" t="n">
        <v>46008.68847222222</v>
      </c>
      <c r="C101" s="1" t="n">
        <v>46017</v>
      </c>
      <c r="D101" t="inlineStr">
        <is>
          <t>STOCKHOLMS LÄN</t>
        </is>
      </c>
      <c r="E101" t="inlineStr">
        <is>
          <t>ÖSTERÅKER</t>
        </is>
      </c>
      <c r="G101" t="n">
        <v>1.4</v>
      </c>
      <c r="H101" t="n">
        <v>0</v>
      </c>
      <c r="I101" t="n">
        <v>0</v>
      </c>
      <c r="J101" t="n">
        <v>0</v>
      </c>
      <c r="K101" t="n">
        <v>0</v>
      </c>
      <c r="L101" t="n">
        <v>0</v>
      </c>
      <c r="M101" t="n">
        <v>0</v>
      </c>
      <c r="N101" t="n">
        <v>0</v>
      </c>
      <c r="O101" t="n">
        <v>0</v>
      </c>
      <c r="P101" t="n">
        <v>0</v>
      </c>
      <c r="Q101" t="n">
        <v>0</v>
      </c>
      <c r="R101" s="2" t="inlineStr"/>
    </row>
    <row r="102" ht="15" customHeight="1">
      <c r="A102" t="inlineStr">
        <is>
          <t>A 61781-2025</t>
        </is>
      </c>
      <c r="B102" s="1" t="n">
        <v>46002</v>
      </c>
      <c r="C102" s="1" t="n">
        <v>46017</v>
      </c>
      <c r="D102" t="inlineStr">
        <is>
          <t>STOCKHOLMS LÄN</t>
        </is>
      </c>
      <c r="E102" t="inlineStr">
        <is>
          <t>ÖSTERÅKER</t>
        </is>
      </c>
      <c r="G102" t="n">
        <v>4.9</v>
      </c>
      <c r="H102" t="n">
        <v>0</v>
      </c>
      <c r="I102" t="n">
        <v>0</v>
      </c>
      <c r="J102" t="n">
        <v>0</v>
      </c>
      <c r="K102" t="n">
        <v>0</v>
      </c>
      <c r="L102" t="n">
        <v>0</v>
      </c>
      <c r="M102" t="n">
        <v>0</v>
      </c>
      <c r="N102" t="n">
        <v>0</v>
      </c>
      <c r="O102" t="n">
        <v>0</v>
      </c>
      <c r="P102" t="n">
        <v>0</v>
      </c>
      <c r="Q102" t="n">
        <v>0</v>
      </c>
      <c r="R102" s="2" t="inlineStr"/>
    </row>
    <row r="103" ht="15" customHeight="1">
      <c r="A103" t="inlineStr">
        <is>
          <t>A 27137-2025</t>
        </is>
      </c>
      <c r="B103" s="1" t="n">
        <v>45811.95890046296</v>
      </c>
      <c r="C103" s="1" t="n">
        <v>46017</v>
      </c>
      <c r="D103" t="inlineStr">
        <is>
          <t>STOCKHOLMS LÄN</t>
        </is>
      </c>
      <c r="E103" t="inlineStr">
        <is>
          <t>ÖSTERÅKER</t>
        </is>
      </c>
      <c r="G103" t="n">
        <v>3.8</v>
      </c>
      <c r="H103" t="n">
        <v>0</v>
      </c>
      <c r="I103" t="n">
        <v>0</v>
      </c>
      <c r="J103" t="n">
        <v>0</v>
      </c>
      <c r="K103" t="n">
        <v>0</v>
      </c>
      <c r="L103" t="n">
        <v>0</v>
      </c>
      <c r="M103" t="n">
        <v>0</v>
      </c>
      <c r="N103" t="n">
        <v>0</v>
      </c>
      <c r="O103" t="n">
        <v>0</v>
      </c>
      <c r="P103" t="n">
        <v>0</v>
      </c>
      <c r="Q103" t="n">
        <v>0</v>
      </c>
      <c r="R103" s="2" t="inlineStr"/>
    </row>
    <row r="104" ht="15" customHeight="1">
      <c r="A104" t="inlineStr">
        <is>
          <t>A 27948-2025</t>
        </is>
      </c>
      <c r="B104" s="1" t="n">
        <v>45817.52460648148</v>
      </c>
      <c r="C104" s="1" t="n">
        <v>46017</v>
      </c>
      <c r="D104" t="inlineStr">
        <is>
          <t>STOCKHOLMS LÄN</t>
        </is>
      </c>
      <c r="E104" t="inlineStr">
        <is>
          <t>ÖSTERÅKER</t>
        </is>
      </c>
      <c r="G104" t="n">
        <v>5.6</v>
      </c>
      <c r="H104" t="n">
        <v>0</v>
      </c>
      <c r="I104" t="n">
        <v>0</v>
      </c>
      <c r="J104" t="n">
        <v>0</v>
      </c>
      <c r="K104" t="n">
        <v>0</v>
      </c>
      <c r="L104" t="n">
        <v>0</v>
      </c>
      <c r="M104" t="n">
        <v>0</v>
      </c>
      <c r="N104" t="n">
        <v>0</v>
      </c>
      <c r="O104" t="n">
        <v>0</v>
      </c>
      <c r="P104" t="n">
        <v>0</v>
      </c>
      <c r="Q104" t="n">
        <v>0</v>
      </c>
      <c r="R104" s="2" t="inlineStr"/>
    </row>
    <row r="105" ht="15" customHeight="1">
      <c r="A105" t="inlineStr">
        <is>
          <t>A 464-2022</t>
        </is>
      </c>
      <c r="B105" s="1" t="n">
        <v>44565</v>
      </c>
      <c r="C105" s="1" t="n">
        <v>46017</v>
      </c>
      <c r="D105" t="inlineStr">
        <is>
          <t>STOCKHOLMS LÄN</t>
        </is>
      </c>
      <c r="E105" t="inlineStr">
        <is>
          <t>ÖSTERÅKER</t>
        </is>
      </c>
      <c r="F105" t="inlineStr">
        <is>
          <t>Övriga Aktiebolag</t>
        </is>
      </c>
      <c r="G105" t="n">
        <v>7.6</v>
      </c>
      <c r="H105" t="n">
        <v>0</v>
      </c>
      <c r="I105" t="n">
        <v>0</v>
      </c>
      <c r="J105" t="n">
        <v>0</v>
      </c>
      <c r="K105" t="n">
        <v>0</v>
      </c>
      <c r="L105" t="n">
        <v>0</v>
      </c>
      <c r="M105" t="n">
        <v>0</v>
      </c>
      <c r="N105" t="n">
        <v>0</v>
      </c>
      <c r="O105" t="n">
        <v>0</v>
      </c>
      <c r="P105" t="n">
        <v>0</v>
      </c>
      <c r="Q105" t="n">
        <v>0</v>
      </c>
      <c r="R105" s="2" t="inlineStr"/>
    </row>
    <row r="106" ht="15" customHeight="1">
      <c r="A106" t="inlineStr">
        <is>
          <t>A 31456-2025</t>
        </is>
      </c>
      <c r="B106" s="1" t="n">
        <v>45833.5402662037</v>
      </c>
      <c r="C106" s="1" t="n">
        <v>46017</v>
      </c>
      <c r="D106" t="inlineStr">
        <is>
          <t>STOCKHOLMS LÄN</t>
        </is>
      </c>
      <c r="E106" t="inlineStr">
        <is>
          <t>ÖSTERÅKER</t>
        </is>
      </c>
      <c r="G106" t="n">
        <v>4.3</v>
      </c>
      <c r="H106" t="n">
        <v>0</v>
      </c>
      <c r="I106" t="n">
        <v>0</v>
      </c>
      <c r="J106" t="n">
        <v>0</v>
      </c>
      <c r="K106" t="n">
        <v>0</v>
      </c>
      <c r="L106" t="n">
        <v>0</v>
      </c>
      <c r="M106" t="n">
        <v>0</v>
      </c>
      <c r="N106" t="n">
        <v>0</v>
      </c>
      <c r="O106" t="n">
        <v>0</v>
      </c>
      <c r="P106" t="n">
        <v>0</v>
      </c>
      <c r="Q106" t="n">
        <v>0</v>
      </c>
      <c r="R106" s="2" t="inlineStr"/>
    </row>
    <row r="107" ht="15" customHeight="1">
      <c r="A107" t="inlineStr">
        <is>
          <t>A 34034-2025</t>
        </is>
      </c>
      <c r="B107" s="1" t="n">
        <v>45842</v>
      </c>
      <c r="C107" s="1" t="n">
        <v>46017</v>
      </c>
      <c r="D107" t="inlineStr">
        <is>
          <t>STOCKHOLMS LÄN</t>
        </is>
      </c>
      <c r="E107" t="inlineStr">
        <is>
          <t>ÖSTERÅKER</t>
        </is>
      </c>
      <c r="F107" t="inlineStr">
        <is>
          <t>Övriga Aktiebolag</t>
        </is>
      </c>
      <c r="G107" t="n">
        <v>3.9</v>
      </c>
      <c r="H107" t="n">
        <v>0</v>
      </c>
      <c r="I107" t="n">
        <v>0</v>
      </c>
      <c r="J107" t="n">
        <v>0</v>
      </c>
      <c r="K107" t="n">
        <v>0</v>
      </c>
      <c r="L107" t="n">
        <v>0</v>
      </c>
      <c r="M107" t="n">
        <v>0</v>
      </c>
      <c r="N107" t="n">
        <v>0</v>
      </c>
      <c r="O107" t="n">
        <v>0</v>
      </c>
      <c r="P107" t="n">
        <v>0</v>
      </c>
      <c r="Q107" t="n">
        <v>0</v>
      </c>
      <c r="R107" s="2" t="inlineStr"/>
    </row>
    <row r="108" ht="15" customHeight="1">
      <c r="A108" t="inlineStr">
        <is>
          <t>A 34038-2025</t>
        </is>
      </c>
      <c r="B108" s="1" t="n">
        <v>45842</v>
      </c>
      <c r="C108" s="1" t="n">
        <v>46017</v>
      </c>
      <c r="D108" t="inlineStr">
        <is>
          <t>STOCKHOLMS LÄN</t>
        </is>
      </c>
      <c r="E108" t="inlineStr">
        <is>
          <t>ÖSTERÅKER</t>
        </is>
      </c>
      <c r="F108" t="inlineStr">
        <is>
          <t>Övriga Aktiebolag</t>
        </is>
      </c>
      <c r="G108" t="n">
        <v>4.7</v>
      </c>
      <c r="H108" t="n">
        <v>0</v>
      </c>
      <c r="I108" t="n">
        <v>0</v>
      </c>
      <c r="J108" t="n">
        <v>0</v>
      </c>
      <c r="K108" t="n">
        <v>0</v>
      </c>
      <c r="L108" t="n">
        <v>0</v>
      </c>
      <c r="M108" t="n">
        <v>0</v>
      </c>
      <c r="N108" t="n">
        <v>0</v>
      </c>
      <c r="O108" t="n">
        <v>0</v>
      </c>
      <c r="P108" t="n">
        <v>0</v>
      </c>
      <c r="Q108" t="n">
        <v>0</v>
      </c>
      <c r="R108" s="2" t="inlineStr"/>
    </row>
    <row r="109" ht="15" customHeight="1">
      <c r="A109" t="inlineStr">
        <is>
          <t>A 34079-2025</t>
        </is>
      </c>
      <c r="B109" s="1" t="n">
        <v>45842</v>
      </c>
      <c r="C109" s="1" t="n">
        <v>46017</v>
      </c>
      <c r="D109" t="inlineStr">
        <is>
          <t>STOCKHOLMS LÄN</t>
        </is>
      </c>
      <c r="E109" t="inlineStr">
        <is>
          <t>ÖSTERÅKER</t>
        </is>
      </c>
      <c r="F109" t="inlineStr">
        <is>
          <t>Övriga Aktiebolag</t>
        </is>
      </c>
      <c r="G109" t="n">
        <v>4.1</v>
      </c>
      <c r="H109" t="n">
        <v>0</v>
      </c>
      <c r="I109" t="n">
        <v>0</v>
      </c>
      <c r="J109" t="n">
        <v>0</v>
      </c>
      <c r="K109" t="n">
        <v>0</v>
      </c>
      <c r="L109" t="n">
        <v>0</v>
      </c>
      <c r="M109" t="n">
        <v>0</v>
      </c>
      <c r="N109" t="n">
        <v>0</v>
      </c>
      <c r="O109" t="n">
        <v>0</v>
      </c>
      <c r="P109" t="n">
        <v>0</v>
      </c>
      <c r="Q109" t="n">
        <v>0</v>
      </c>
      <c r="R109" s="2" t="inlineStr"/>
    </row>
    <row r="110" ht="15" customHeight="1">
      <c r="A110" t="inlineStr">
        <is>
          <t>A 35656-2025</t>
        </is>
      </c>
      <c r="B110" s="1" t="n">
        <v>45859</v>
      </c>
      <c r="C110" s="1" t="n">
        <v>46017</v>
      </c>
      <c r="D110" t="inlineStr">
        <is>
          <t>STOCKHOLMS LÄN</t>
        </is>
      </c>
      <c r="E110" t="inlineStr">
        <is>
          <t>ÖSTERÅKER</t>
        </is>
      </c>
      <c r="G110" t="n">
        <v>1.5</v>
      </c>
      <c r="H110" t="n">
        <v>0</v>
      </c>
      <c r="I110" t="n">
        <v>0</v>
      </c>
      <c r="J110" t="n">
        <v>0</v>
      </c>
      <c r="K110" t="n">
        <v>0</v>
      </c>
      <c r="L110" t="n">
        <v>0</v>
      </c>
      <c r="M110" t="n">
        <v>0</v>
      </c>
      <c r="N110" t="n">
        <v>0</v>
      </c>
      <c r="O110" t="n">
        <v>0</v>
      </c>
      <c r="P110" t="n">
        <v>0</v>
      </c>
      <c r="Q110" t="n">
        <v>0</v>
      </c>
      <c r="R110" s="2" t="inlineStr"/>
    </row>
    <row r="111" ht="15" customHeight="1">
      <c r="A111" t="inlineStr">
        <is>
          <t>A 35819-2025</t>
        </is>
      </c>
      <c r="B111" s="1" t="n">
        <v>45861</v>
      </c>
      <c r="C111" s="1" t="n">
        <v>46017</v>
      </c>
      <c r="D111" t="inlineStr">
        <is>
          <t>STOCKHOLMS LÄN</t>
        </is>
      </c>
      <c r="E111" t="inlineStr">
        <is>
          <t>ÖSTERÅKER</t>
        </is>
      </c>
      <c r="F111" t="inlineStr">
        <is>
          <t>Övriga Aktiebolag</t>
        </is>
      </c>
      <c r="G111" t="n">
        <v>8</v>
      </c>
      <c r="H111" t="n">
        <v>0</v>
      </c>
      <c r="I111" t="n">
        <v>0</v>
      </c>
      <c r="J111" t="n">
        <v>0</v>
      </c>
      <c r="K111" t="n">
        <v>0</v>
      </c>
      <c r="L111" t="n">
        <v>0</v>
      </c>
      <c r="M111" t="n">
        <v>0</v>
      </c>
      <c r="N111" t="n">
        <v>0</v>
      </c>
      <c r="O111" t="n">
        <v>0</v>
      </c>
      <c r="P111" t="n">
        <v>0</v>
      </c>
      <c r="Q111" t="n">
        <v>0</v>
      </c>
      <c r="R111" s="2" t="inlineStr"/>
    </row>
    <row r="112" ht="15" customHeight="1">
      <c r="A112" t="inlineStr">
        <is>
          <t>A 36614-2025</t>
        </is>
      </c>
      <c r="B112" s="1" t="n">
        <v>45870</v>
      </c>
      <c r="C112" s="1" t="n">
        <v>46017</v>
      </c>
      <c r="D112" t="inlineStr">
        <is>
          <t>STOCKHOLMS LÄN</t>
        </is>
      </c>
      <c r="E112" t="inlineStr">
        <is>
          <t>ÖSTERÅKER</t>
        </is>
      </c>
      <c r="G112" t="n">
        <v>1.7</v>
      </c>
      <c r="H112" t="n">
        <v>0</v>
      </c>
      <c r="I112" t="n">
        <v>0</v>
      </c>
      <c r="J112" t="n">
        <v>0</v>
      </c>
      <c r="K112" t="n">
        <v>0</v>
      </c>
      <c r="L112" t="n">
        <v>0</v>
      </c>
      <c r="M112" t="n">
        <v>0</v>
      </c>
      <c r="N112" t="n">
        <v>0</v>
      </c>
      <c r="O112" t="n">
        <v>0</v>
      </c>
      <c r="P112" t="n">
        <v>0</v>
      </c>
      <c r="Q112" t="n">
        <v>0</v>
      </c>
      <c r="R112" s="2" t="inlineStr"/>
    </row>
    <row r="113" ht="15" customHeight="1">
      <c r="A113" t="inlineStr">
        <is>
          <t>A 36612-2025</t>
        </is>
      </c>
      <c r="B113" s="1" t="n">
        <v>45870</v>
      </c>
      <c r="C113" s="1" t="n">
        <v>46017</v>
      </c>
      <c r="D113" t="inlineStr">
        <is>
          <t>STOCKHOLMS LÄN</t>
        </is>
      </c>
      <c r="E113" t="inlineStr">
        <is>
          <t>ÖSTERÅKER</t>
        </is>
      </c>
      <c r="F113" t="inlineStr">
        <is>
          <t>Övriga Aktiebolag</t>
        </is>
      </c>
      <c r="G113" t="n">
        <v>2.1</v>
      </c>
      <c r="H113" t="n">
        <v>0</v>
      </c>
      <c r="I113" t="n">
        <v>0</v>
      </c>
      <c r="J113" t="n">
        <v>0</v>
      </c>
      <c r="K113" t="n">
        <v>0</v>
      </c>
      <c r="L113" t="n">
        <v>0</v>
      </c>
      <c r="M113" t="n">
        <v>0</v>
      </c>
      <c r="N113" t="n">
        <v>0</v>
      </c>
      <c r="O113" t="n">
        <v>0</v>
      </c>
      <c r="P113" t="n">
        <v>0</v>
      </c>
      <c r="Q113" t="n">
        <v>0</v>
      </c>
      <c r="R113" s="2" t="inlineStr"/>
    </row>
    <row r="114">
      <c r="A114" t="inlineStr">
        <is>
          <t>A 36611-2025</t>
        </is>
      </c>
      <c r="B114" s="1" t="n">
        <v>45870</v>
      </c>
      <c r="C114" s="1" t="n">
        <v>46017</v>
      </c>
      <c r="D114" t="inlineStr">
        <is>
          <t>STOCKHOLMS LÄN</t>
        </is>
      </c>
      <c r="E114" t="inlineStr">
        <is>
          <t>ÖSTERÅKER</t>
        </is>
      </c>
      <c r="F114" t="inlineStr">
        <is>
          <t>Övriga Aktiebolag</t>
        </is>
      </c>
      <c r="G114" t="n">
        <v>2.6</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2025-12-26T09:31:43Z</dcterms:created>
  <dcterms:modified xmlns:dcterms="http://purl.org/dc/terms/" xmlns:xsi="http://www.w3.org/2001/XMLSchema-instance" xsi:type="dcterms:W3CDTF">2025-12-26T09:31:43Z</dcterms:modified>
</cp:coreProperties>
</file>