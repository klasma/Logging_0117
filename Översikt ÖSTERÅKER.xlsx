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46011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46011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46011</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31015-2024</t>
        </is>
      </c>
      <c r="B5" s="1" t="n">
        <v>45499</v>
      </c>
      <c r="C5" s="1" t="n">
        <v>46011</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46011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34717-2025</t>
        </is>
      </c>
      <c r="B7" s="1" t="n">
        <v>45848</v>
      </c>
      <c r="C7" s="1" t="n">
        <v>46011</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12620-2022</t>
        </is>
      </c>
      <c r="B8" s="1" t="n">
        <v>44638</v>
      </c>
      <c r="C8" s="1" t="n">
        <v>46011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46011</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61275-2021</t>
        </is>
      </c>
      <c r="B10" s="1" t="n">
        <v>44498</v>
      </c>
      <c r="C10" s="1" t="n">
        <v>46011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34721-2025</t>
        </is>
      </c>
      <c r="B11" s="1" t="n">
        <v>45848</v>
      </c>
      <c r="C11" s="1" t="n">
        <v>46011</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36366-2025</t>
        </is>
      </c>
      <c r="B12" s="1" t="n">
        <v>45868</v>
      </c>
      <c r="C12" s="1" t="n">
        <v>46011</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31523-2022</t>
        </is>
      </c>
      <c r="B13" s="1" t="n">
        <v>44775.22490740741</v>
      </c>
      <c r="C13" s="1" t="n">
        <v>46011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46011</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62642-2025</t>
        </is>
      </c>
      <c r="B15" s="1" t="n">
        <v>46008.37217592593</v>
      </c>
      <c r="C15" s="1" t="n">
        <v>46011</v>
      </c>
      <c r="D15" t="inlineStr">
        <is>
          <t>STOCKHOLMS LÄN</t>
        </is>
      </c>
      <c r="E15" t="inlineStr">
        <is>
          <t>ÖSTERÅKER</t>
        </is>
      </c>
      <c r="G15" t="n">
        <v>2.7</v>
      </c>
      <c r="H15" t="n">
        <v>0</v>
      </c>
      <c r="I15" t="n">
        <v>2</v>
      </c>
      <c r="J15" t="n">
        <v>0</v>
      </c>
      <c r="K15" t="n">
        <v>0</v>
      </c>
      <c r="L15" t="n">
        <v>0</v>
      </c>
      <c r="M15" t="n">
        <v>0</v>
      </c>
      <c r="N15" t="n">
        <v>0</v>
      </c>
      <c r="O15" t="n">
        <v>0</v>
      </c>
      <c r="P15" t="n">
        <v>0</v>
      </c>
      <c r="Q15" t="n">
        <v>2</v>
      </c>
      <c r="R15" s="2" t="inlineStr">
        <is>
          <t>Björksplintborre
Bronshjon</t>
        </is>
      </c>
      <c r="S15">
        <f>HYPERLINK("https://klasma.github.io/Logging_0117/artfynd/A 62642-2025 artfynd.xlsx", "A 62642-2025")</f>
        <v/>
      </c>
      <c r="T15">
        <f>HYPERLINK("https://klasma.github.io/Logging_0117/kartor/A 62642-2025 karta.png", "A 62642-2025")</f>
        <v/>
      </c>
      <c r="V15">
        <f>HYPERLINK("https://klasma.github.io/Logging_0117/klagomål/A 62642-2025 FSC-klagomål.docx", "A 62642-2025")</f>
        <v/>
      </c>
      <c r="W15">
        <f>HYPERLINK("https://klasma.github.io/Logging_0117/klagomålsmail/A 62642-2025 FSC-klagomål mail.docx", "A 62642-2025")</f>
        <v/>
      </c>
      <c r="X15">
        <f>HYPERLINK("https://klasma.github.io/Logging_0117/tillsyn/A 62642-2025 tillsynsbegäran.docx", "A 62642-2025")</f>
        <v/>
      </c>
      <c r="Y15">
        <f>HYPERLINK("https://klasma.github.io/Logging_0117/tillsynsmail/A 62642-2025 tillsynsbegäran mail.docx", "A 62642-2025")</f>
        <v/>
      </c>
    </row>
    <row r="16" ht="15" customHeight="1">
      <c r="A16" t="inlineStr">
        <is>
          <t>A 62578-2025</t>
        </is>
      </c>
      <c r="B16" s="1" t="n">
        <v>46007.76833333333</v>
      </c>
      <c r="C16" s="1" t="n">
        <v>46011</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46011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46011</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46011</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46011</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46011</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46011</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46011</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46011</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46011</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46011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46011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46011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46011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46011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46011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46011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46011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46011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46011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46011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46011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46011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46011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46011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46011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46011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46011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46011</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46011</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46011</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46011</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46011</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46011</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46011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46011</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46011</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28146-2024</t>
        </is>
      </c>
      <c r="B53" s="1" t="n">
        <v>45476</v>
      </c>
      <c r="C53" s="1" t="n">
        <v>46011</v>
      </c>
      <c r="D53" t="inlineStr">
        <is>
          <t>STOCKHOLMS LÄN</t>
        </is>
      </c>
      <c r="E53" t="inlineStr">
        <is>
          <t>ÖSTERÅKER</t>
        </is>
      </c>
      <c r="F53" t="inlineStr">
        <is>
          <t>Övriga Aktiebolag</t>
        </is>
      </c>
      <c r="G53" t="n">
        <v>2.7</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46011</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16803-2022</t>
        </is>
      </c>
      <c r="B55" s="1" t="n">
        <v>44673</v>
      </c>
      <c r="C55" s="1" t="n">
        <v>46011</v>
      </c>
      <c r="D55" t="inlineStr">
        <is>
          <t>STOCKHOLMS LÄN</t>
        </is>
      </c>
      <c r="E55" t="inlineStr">
        <is>
          <t>ÖSTERÅKER</t>
        </is>
      </c>
      <c r="G55" t="n">
        <v>1.9</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46011</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46011</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46011</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46011</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46011</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46011</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46011</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46011</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46011</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3917-2023</t>
        </is>
      </c>
      <c r="B65" s="1" t="n">
        <v>44952</v>
      </c>
      <c r="C65" s="1" t="n">
        <v>46011</v>
      </c>
      <c r="D65" t="inlineStr">
        <is>
          <t>STOCKHOLMS LÄN</t>
        </is>
      </c>
      <c r="E65" t="inlineStr">
        <is>
          <t>ÖSTERÅKER</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46011</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46011</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46011</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46011</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46011</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46011</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46011</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46011</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46011</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31575-2022</t>
        </is>
      </c>
      <c r="B75" s="1" t="n">
        <v>44775.45063657407</v>
      </c>
      <c r="C75" s="1" t="n">
        <v>46011</v>
      </c>
      <c r="D75" t="inlineStr">
        <is>
          <t>STOCKHOLMS LÄN</t>
        </is>
      </c>
      <c r="E75" t="inlineStr">
        <is>
          <t>ÖSTERÅKER</t>
        </is>
      </c>
      <c r="G75" t="n">
        <v>5</v>
      </c>
      <c r="H75" t="n">
        <v>0</v>
      </c>
      <c r="I75" t="n">
        <v>0</v>
      </c>
      <c r="J75" t="n">
        <v>0</v>
      </c>
      <c r="K75" t="n">
        <v>0</v>
      </c>
      <c r="L75" t="n">
        <v>0</v>
      </c>
      <c r="M75" t="n">
        <v>0</v>
      </c>
      <c r="N75" t="n">
        <v>0</v>
      </c>
      <c r="O75" t="n">
        <v>0</v>
      </c>
      <c r="P75" t="n">
        <v>0</v>
      </c>
      <c r="Q75" t="n">
        <v>0</v>
      </c>
      <c r="R75" s="2" t="inlineStr"/>
    </row>
    <row r="76" ht="15" customHeight="1">
      <c r="A76" t="inlineStr">
        <is>
          <t>A 33158-2024</t>
        </is>
      </c>
      <c r="B76" s="1" t="n">
        <v>45518</v>
      </c>
      <c r="C76" s="1" t="n">
        <v>46011</v>
      </c>
      <c r="D76" t="inlineStr">
        <is>
          <t>STOCKHOLMS LÄN</t>
        </is>
      </c>
      <c r="E76" t="inlineStr">
        <is>
          <t>ÖSTERÅKER</t>
        </is>
      </c>
      <c r="G76" t="n">
        <v>1.6</v>
      </c>
      <c r="H76" t="n">
        <v>0</v>
      </c>
      <c r="I76" t="n">
        <v>0</v>
      </c>
      <c r="J76" t="n">
        <v>0</v>
      </c>
      <c r="K76" t="n">
        <v>0</v>
      </c>
      <c r="L76" t="n">
        <v>0</v>
      </c>
      <c r="M76" t="n">
        <v>0</v>
      </c>
      <c r="N76" t="n">
        <v>0</v>
      </c>
      <c r="O76" t="n">
        <v>0</v>
      </c>
      <c r="P76" t="n">
        <v>0</v>
      </c>
      <c r="Q76" t="n">
        <v>0</v>
      </c>
      <c r="R76" s="2" t="inlineStr"/>
    </row>
    <row r="77" ht="15" customHeight="1">
      <c r="A77" t="inlineStr">
        <is>
          <t>A 13366-2024</t>
        </is>
      </c>
      <c r="B77" s="1" t="n">
        <v>45387</v>
      </c>
      <c r="C77" s="1" t="n">
        <v>46011</v>
      </c>
      <c r="D77" t="inlineStr">
        <is>
          <t>STOCKHOLMS LÄN</t>
        </is>
      </c>
      <c r="E77" t="inlineStr">
        <is>
          <t>ÖSTERÅKER</t>
        </is>
      </c>
      <c r="G77" t="n">
        <v>13.7</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46011</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62831-2025</t>
        </is>
      </c>
      <c r="B79" s="1" t="n">
        <v>46008.67471064815</v>
      </c>
      <c r="C79" s="1" t="n">
        <v>46011</v>
      </c>
      <c r="D79" t="inlineStr">
        <is>
          <t>STOCKHOLMS LÄN</t>
        </is>
      </c>
      <c r="E79" t="inlineStr">
        <is>
          <t>ÖSTERÅKER</t>
        </is>
      </c>
      <c r="G79" t="n">
        <v>1.6</v>
      </c>
      <c r="H79" t="n">
        <v>0</v>
      </c>
      <c r="I79" t="n">
        <v>0</v>
      </c>
      <c r="J79" t="n">
        <v>0</v>
      </c>
      <c r="K79" t="n">
        <v>0</v>
      </c>
      <c r="L79" t="n">
        <v>0</v>
      </c>
      <c r="M79" t="n">
        <v>0</v>
      </c>
      <c r="N79" t="n">
        <v>0</v>
      </c>
      <c r="O79" t="n">
        <v>0</v>
      </c>
      <c r="P79" t="n">
        <v>0</v>
      </c>
      <c r="Q79" t="n">
        <v>0</v>
      </c>
      <c r="R79" s="2" t="inlineStr"/>
    </row>
    <row r="80" ht="15" customHeight="1">
      <c r="A80" t="inlineStr">
        <is>
          <t>A 62839-2025</t>
        </is>
      </c>
      <c r="B80" s="1" t="n">
        <v>46008.68847222222</v>
      </c>
      <c r="C80" s="1" t="n">
        <v>46011</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61781-2025</t>
        </is>
      </c>
      <c r="B81" s="1" t="n">
        <v>46002</v>
      </c>
      <c r="C81" s="1" t="n">
        <v>46011</v>
      </c>
      <c r="D81" t="inlineStr">
        <is>
          <t>STOCKHOLMS LÄN</t>
        </is>
      </c>
      <c r="E81" t="inlineStr">
        <is>
          <t>ÖSTERÅKER</t>
        </is>
      </c>
      <c r="G81" t="n">
        <v>4.9</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46011</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46011</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31134-2023</t>
        </is>
      </c>
      <c r="B84" s="1" t="n">
        <v>45113</v>
      </c>
      <c r="C84" s="1" t="n">
        <v>46011</v>
      </c>
      <c r="D84" t="inlineStr">
        <is>
          <t>STOCKHOLMS LÄN</t>
        </is>
      </c>
      <c r="E84" t="inlineStr">
        <is>
          <t>ÖSTERÅKER</t>
        </is>
      </c>
      <c r="G84" t="n">
        <v>2.1</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46011</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57055-2024</t>
        </is>
      </c>
      <c r="B86" s="1" t="n">
        <v>45629.34627314815</v>
      </c>
      <c r="C86" s="1" t="n">
        <v>46011</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23144-2024</t>
        </is>
      </c>
      <c r="B87" s="1" t="n">
        <v>45450.63202546296</v>
      </c>
      <c r="C87" s="1" t="n">
        <v>46011</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46011</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46011</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46011</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46011</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46011</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46011</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46011</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46011</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46011</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46011</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46011</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46011</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46011</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46011</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46011</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46011</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46011</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46011</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46011</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46011</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46011</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46011</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46011</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46011</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46011</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46011</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46011</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2025-12-20T14:05:57Z</dcterms:created>
  <dcterms:modified xmlns:dcterms="http://purl.org/dc/terms/" xmlns:xsi="http://www.w3.org/2001/XMLSchema-instance" xsi:type="dcterms:W3CDTF">2025-12-20T14:05:57Z</dcterms:modified>
</cp:coreProperties>
</file>