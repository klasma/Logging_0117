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46249</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46249</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46249</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46249</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46249</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46249</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46249</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46249</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46249</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46249</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46249</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54703-2024</t>
        </is>
      </c>
      <c r="B13" t="inlineStr">
        <is>
          <t>avverkningsanmälan</t>
        </is>
      </c>
      <c r="C13" t="inlineStr">
        <is>
          <t>Avverkning för annat ändamål</t>
        </is>
      </c>
      <c r="D13" s="1" t="n">
        <v>45618</v>
      </c>
      <c r="E13" s="1" t="n">
        <v>46249</v>
      </c>
      <c r="F13" t="inlineStr">
        <is>
          <t>STOCKHOLMS LÄN</t>
        </is>
      </c>
      <c r="G13" t="inlineStr">
        <is>
          <t>ÖSTERÅKER</t>
        </is>
      </c>
      <c r="I13" t="n">
        <v>7.7</v>
      </c>
      <c r="J13" t="n">
        <v>2</v>
      </c>
      <c r="K13" t="n">
        <v>0</v>
      </c>
      <c r="L13" t="n">
        <v>1</v>
      </c>
      <c r="M13" t="n">
        <v>0</v>
      </c>
      <c r="N13" t="n">
        <v>0</v>
      </c>
      <c r="O13" t="n">
        <v>0</v>
      </c>
      <c r="P13" t="n">
        <v>0</v>
      </c>
      <c r="Q13" t="n">
        <v>1</v>
      </c>
      <c r="R13" t="n">
        <v>0</v>
      </c>
      <c r="S13" t="n">
        <v>3</v>
      </c>
      <c r="T13" t="n">
        <v>6</v>
      </c>
      <c r="U13" t="n">
        <v>0</v>
      </c>
      <c r="V13" s="2" t="inlineStr">
        <is>
          <t>Tallticka
Spillkråka
Kungsfågel</t>
        </is>
      </c>
      <c r="W13">
        <f>HYPERLINK("https://klasma.github.io/Logging_0117/artfynd/A 54703-2024 artfynd.xlsx", "A 54703-2024")</f>
        <v/>
      </c>
      <c r="X13">
        <f>HYPERLINK("https://klasma.github.io/Logging_0117/kartor/A 54703-2024 karta.png", "A 54703-2024")</f>
        <v/>
      </c>
      <c r="Y13">
        <f>HYPERLINK("https://klasma.github.io/Logging_0117/kartor_geotiff/A 54703-2024 georefererad karta.tif", "A 54703-2024")</f>
        <v/>
      </c>
      <c r="AA13">
        <f>HYPERLINK("https://klasma.github.io/Logging_0117/klagomål/A 54703-2024 FSC-klagomål.docx", "A 54703-2024")</f>
        <v/>
      </c>
      <c r="AB13">
        <f>HYPERLINK("https://klasma.github.io/Logging_0117/klagomålsmail/A 54703-2024 FSC-klagomål mail.docx", "A 54703-2024")</f>
        <v/>
      </c>
      <c r="AC13">
        <f>HYPERLINK("https://klasma.github.io/Logging_0117/tillsyn/A 54703-2024 tillsynsbegäran.docx", "A 54703-2024")</f>
        <v/>
      </c>
      <c r="AD13">
        <f>HYPERLINK("https://klasma.github.io/Logging_0117/tillsynsmail/A 54703-2024 tillsynsbegäran mail.docx", "A 54703-2024")</f>
        <v/>
      </c>
      <c r="AE13">
        <f>HYPERLINK("https://klasma.github.io/Logging_0117/fåglar/A 54703-2024 prioriterade fågelarter.docx", "A 54703-2024")</f>
        <v/>
      </c>
    </row>
    <row r="14" ht="15" customHeight="1">
      <c r="A14" t="inlineStr">
        <is>
          <t>A 61363-2022</t>
        </is>
      </c>
      <c r="B14" t="inlineStr">
        <is>
          <t>avverkningsanmälan</t>
        </is>
      </c>
      <c r="C14" t="inlineStr">
        <is>
          <t>Föryngringsavverkning</t>
        </is>
      </c>
      <c r="D14" s="1" t="n">
        <v>44915</v>
      </c>
      <c r="E14" s="1" t="n">
        <v>46249</v>
      </c>
      <c r="F14" t="inlineStr">
        <is>
          <t>STOCKHOLMS LÄN</t>
        </is>
      </c>
      <c r="G14" t="inlineStr">
        <is>
          <t>ÖSTERÅKER</t>
        </is>
      </c>
      <c r="I14" t="n">
        <v>5.3</v>
      </c>
      <c r="J14" t="n">
        <v>1</v>
      </c>
      <c r="K14" t="n">
        <v>0</v>
      </c>
      <c r="L14" t="n">
        <v>2</v>
      </c>
      <c r="M14" t="n">
        <v>0</v>
      </c>
      <c r="N14" t="n">
        <v>0</v>
      </c>
      <c r="O14" t="n">
        <v>0</v>
      </c>
      <c r="P14" t="n">
        <v>0</v>
      </c>
      <c r="Q14" t="n">
        <v>2</v>
      </c>
      <c r="R14" t="n">
        <v>0</v>
      </c>
      <c r="S14" t="n">
        <v>3</v>
      </c>
      <c r="T14" t="n">
        <v>3</v>
      </c>
      <c r="U14" t="n">
        <v>3</v>
      </c>
      <c r="V14" s="2" t="inlineStr">
        <is>
          <t>Motaggsvamp
Skuggblåslav
Tjäder</t>
        </is>
      </c>
      <c r="W14">
        <f>HYPERLINK("https://klasma.github.io/Logging_0117/artfynd/A 61363-2022 artfynd.xlsx", "A 61363-2022")</f>
        <v/>
      </c>
      <c r="X14">
        <f>HYPERLINK("https://klasma.github.io/Logging_0117/kartor/A 61363-2022 karta.png", "A 61363-2022")</f>
        <v/>
      </c>
      <c r="Y14">
        <f>HYPERLINK("https://klasma.github.io/Logging_0117/kartor_geotiff/A 61363-2022 georefererad karta.tif", "A 61363-2022")</f>
        <v/>
      </c>
      <c r="AA14">
        <f>HYPERLINK("https://klasma.github.io/Logging_0117/klagomål/A 61363-2022 FSC-klagomål.docx", "A 61363-2022")</f>
        <v/>
      </c>
      <c r="AB14">
        <f>HYPERLINK("https://klasma.github.io/Logging_0117/klagomålsmail/A 61363-2022 FSC-klagomål mail.docx", "A 61363-2022")</f>
        <v/>
      </c>
      <c r="AC14">
        <f>HYPERLINK("https://klasma.github.io/Logging_0117/tillsyn/A 61363-2022 tillsynsbegäran.docx", "A 61363-2022")</f>
        <v/>
      </c>
      <c r="AD14">
        <f>HYPERLINK("https://klasma.github.io/Logging_0117/tillsynsmail/A 61363-2022 tillsynsbegäran mail.docx", "A 61363-2022")</f>
        <v/>
      </c>
      <c r="AE14">
        <f>HYPERLINK("https://klasma.github.io/Logging_0117/fåglar/A 61363-2022 prioriterade fågelarter.docx", "A 61363-2022")</f>
        <v/>
      </c>
    </row>
    <row r="15" ht="15" customHeight="1">
      <c r="A15" t="inlineStr">
        <is>
          <t>A 62578-2025</t>
        </is>
      </c>
      <c r="B15" t="inlineStr">
        <is>
          <t>avverkningsanmälan</t>
        </is>
      </c>
      <c r="C15" t="inlineStr">
        <is>
          <t>Föryngringsavverkning</t>
        </is>
      </c>
      <c r="D15" s="1" t="n">
        <v>46007</v>
      </c>
      <c r="E15" s="1" t="n">
        <v>46249</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12620-2022</t>
        </is>
      </c>
      <c r="B16" t="inlineStr">
        <is>
          <t>avverkningsanmälan</t>
        </is>
      </c>
      <c r="C16" t="inlineStr">
        <is>
          <t>Föryngringsavverkning</t>
        </is>
      </c>
      <c r="D16" s="1" t="n">
        <v>44638</v>
      </c>
      <c r="E16" s="1" t="n">
        <v>46249</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27948-2025</t>
        </is>
      </c>
      <c r="B17" t="inlineStr">
        <is>
          <t>avverkningsanmälan</t>
        </is>
      </c>
      <c r="C17" t="inlineStr">
        <is>
          <t>Föryngringsavverkning</t>
        </is>
      </c>
      <c r="D17" s="1" t="n">
        <v>45817</v>
      </c>
      <c r="E17" s="1" t="n">
        <v>46249</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46249</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46249</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46249</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46249</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46249</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46249</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62831-2025</t>
        </is>
      </c>
      <c r="B24" t="inlineStr">
        <is>
          <t>avverkningsanmälan</t>
        </is>
      </c>
      <c r="C24" t="inlineStr">
        <is>
          <t>Föryngringsavverkning</t>
        </is>
      </c>
      <c r="D24" s="1" t="n">
        <v>46008</v>
      </c>
      <c r="E24" s="1" t="n">
        <v>46249</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67265-2021</t>
        </is>
      </c>
      <c r="B25" t="inlineStr">
        <is>
          <t>avverkningsanmälan</t>
        </is>
      </c>
      <c r="C25" t="inlineStr">
        <is>
          <t>Föryngringsavverkning</t>
        </is>
      </c>
      <c r="D25" s="1" t="n">
        <v>44523</v>
      </c>
      <c r="E25" s="1" t="n">
        <v>46249</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62839-2025</t>
        </is>
      </c>
      <c r="B26" t="inlineStr">
        <is>
          <t>avverkningsanmälan</t>
        </is>
      </c>
      <c r="C26" t="inlineStr">
        <is>
          <t>Föryngringsavverkning</t>
        </is>
      </c>
      <c r="D26" s="1" t="n">
        <v>46008</v>
      </c>
      <c r="E26" s="1" t="n">
        <v>46249</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31716-2025</t>
        </is>
      </c>
      <c r="B27" t="inlineStr">
        <is>
          <t>avverkningsanmälan</t>
        </is>
      </c>
      <c r="C27" t="inlineStr">
        <is>
          <t>Föryngringsavverkning</t>
        </is>
      </c>
      <c r="D27" s="1" t="n">
        <v>45834</v>
      </c>
      <c r="E27" s="1" t="n">
        <v>46249</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46249</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46249</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46249</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46249</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46249</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46249</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46249</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46249</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46249</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46249</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46249</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46249</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46249</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46249</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59379-2022</t>
        </is>
      </c>
      <c r="B42" t="inlineStr">
        <is>
          <t>avverkningsanmälan</t>
        </is>
      </c>
      <c r="C42" t="inlineStr">
        <is>
          <t>Föryngringsavverkning</t>
        </is>
      </c>
      <c r="D42" s="1" t="n">
        <v>44905</v>
      </c>
      <c r="E42" s="1" t="n">
        <v>46249</v>
      </c>
      <c r="F42" t="inlineStr">
        <is>
          <t>STOCKHOLMS LÄN</t>
        </is>
      </c>
      <c r="G42" t="inlineStr">
        <is>
          <t>ÖSTERÅKER</t>
        </is>
      </c>
      <c r="H42" t="inlineStr">
        <is>
          <t>Kommuner</t>
        </is>
      </c>
      <c r="I42" t="n">
        <v>4.7</v>
      </c>
      <c r="J42" t="n">
        <v>0</v>
      </c>
      <c r="K42" t="n">
        <v>0</v>
      </c>
      <c r="L42" t="n">
        <v>0</v>
      </c>
      <c r="M42" t="n">
        <v>0</v>
      </c>
      <c r="N42" t="n">
        <v>0</v>
      </c>
      <c r="O42" t="n">
        <v>0</v>
      </c>
      <c r="P42" t="n">
        <v>0</v>
      </c>
      <c r="Q42" t="n">
        <v>0</v>
      </c>
      <c r="R42" t="n">
        <v>0</v>
      </c>
      <c r="S42" t="n">
        <v>0</v>
      </c>
      <c r="T42" t="n">
        <v>0</v>
      </c>
      <c r="U42" t="n">
        <v>0</v>
      </c>
      <c r="V42" s="2" t="inlineStr"/>
    </row>
    <row r="43" ht="15" customHeight="1">
      <c r="A43" t="inlineStr">
        <is>
          <t>A 46688-2022</t>
        </is>
      </c>
      <c r="B43" t="inlineStr">
        <is>
          <t>avverkningsanmälan</t>
        </is>
      </c>
      <c r="C43" t="inlineStr">
        <is>
          <t>Föryngringsavverkning</t>
        </is>
      </c>
      <c r="D43" s="1" t="n">
        <v>44851</v>
      </c>
      <c r="E43" s="1" t="n">
        <v>46249</v>
      </c>
      <c r="F43" t="inlineStr">
        <is>
          <t>STOCKHOLMS LÄN</t>
        </is>
      </c>
      <c r="G43" t="inlineStr">
        <is>
          <t>ÖSTERÅKER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10185-2025</t>
        </is>
      </c>
      <c r="B44" t="inlineStr">
        <is>
          <t>avverkningsanmälan</t>
        </is>
      </c>
      <c r="C44" t="inlineStr">
        <is>
          <t>Föryngringsavverkning</t>
        </is>
      </c>
      <c r="D44" s="1" t="n">
        <v>45719</v>
      </c>
      <c r="E44" s="1" t="n">
        <v>46249</v>
      </c>
      <c r="F44" t="inlineStr">
        <is>
          <t>STOCKHOLMS LÄN</t>
        </is>
      </c>
      <c r="G44" t="inlineStr">
        <is>
          <t>ÖSTERÅKER</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18091-2022</t>
        </is>
      </c>
      <c r="B45" t="inlineStr">
        <is>
          <t>avverkningsanmälan</t>
        </is>
      </c>
      <c r="C45" t="inlineStr">
        <is>
          <t>Föryngringsavverkning</t>
        </is>
      </c>
      <c r="D45" s="1" t="n">
        <v>44684</v>
      </c>
      <c r="E45" s="1" t="n">
        <v>46249</v>
      </c>
      <c r="F45" t="inlineStr">
        <is>
          <t>STOCKHOLMS LÄN</t>
        </is>
      </c>
      <c r="G45" t="inlineStr">
        <is>
          <t>ÖSTERÅKER</t>
        </is>
      </c>
      <c r="I45" t="n">
        <v>6.1</v>
      </c>
      <c r="J45" t="n">
        <v>0</v>
      </c>
      <c r="K45" t="n">
        <v>0</v>
      </c>
      <c r="L45" t="n">
        <v>0</v>
      </c>
      <c r="M45" t="n">
        <v>0</v>
      </c>
      <c r="N45" t="n">
        <v>0</v>
      </c>
      <c r="O45" t="n">
        <v>0</v>
      </c>
      <c r="P45" t="n">
        <v>0</v>
      </c>
      <c r="Q45" t="n">
        <v>0</v>
      </c>
      <c r="R45" t="n">
        <v>0</v>
      </c>
      <c r="S45" t="n">
        <v>0</v>
      </c>
      <c r="T45" t="n">
        <v>0</v>
      </c>
      <c r="U45" t="n">
        <v>0</v>
      </c>
      <c r="V45" s="2" t="inlineStr"/>
    </row>
    <row r="46" ht="15" customHeight="1">
      <c r="A46" t="inlineStr">
        <is>
          <t>A 28399-2022</t>
        </is>
      </c>
      <c r="B46" t="inlineStr">
        <is>
          <t>avverkningsanmälan</t>
        </is>
      </c>
      <c r="C46" t="inlineStr">
        <is>
          <t>Föryngringsavverkning</t>
        </is>
      </c>
      <c r="D46" s="1" t="n">
        <v>44747</v>
      </c>
      <c r="E46" s="1" t="n">
        <v>46249</v>
      </c>
      <c r="F46" t="inlineStr">
        <is>
          <t>STOCKHOLMS LÄN</t>
        </is>
      </c>
      <c r="G46" t="inlineStr">
        <is>
          <t>ÖSTERÅKER</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28143-2024</t>
        </is>
      </c>
      <c r="B47" t="inlineStr">
        <is>
          <t>avverkningsanmälan</t>
        </is>
      </c>
      <c r="C47" t="inlineStr">
        <is>
          <t>Föryngringsavverkning</t>
        </is>
      </c>
      <c r="D47" s="1" t="n">
        <v>45476</v>
      </c>
      <c r="E47" s="1" t="n">
        <v>46249</v>
      </c>
      <c r="F47" t="inlineStr">
        <is>
          <t>STOCKHOLMS LÄN</t>
        </is>
      </c>
      <c r="G47" t="inlineStr">
        <is>
          <t>ÖSTERÅKER</t>
        </is>
      </c>
      <c r="H47" t="inlineStr">
        <is>
          <t>Övriga Aktiebolag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28146-2024</t>
        </is>
      </c>
      <c r="B48" t="inlineStr">
        <is>
          <t>avverkningsanmälan</t>
        </is>
      </c>
      <c r="C48" t="inlineStr">
        <is>
          <t>Föryngringsavverkning</t>
        </is>
      </c>
      <c r="D48" s="1" t="n">
        <v>45476</v>
      </c>
      <c r="E48" s="1" t="n">
        <v>46249</v>
      </c>
      <c r="F48" t="inlineStr">
        <is>
          <t>STOCKHOLMS LÄN</t>
        </is>
      </c>
      <c r="G48" t="inlineStr">
        <is>
          <t>ÖSTERÅKER</t>
        </is>
      </c>
      <c r="H48" t="inlineStr">
        <is>
          <t>Övriga Aktiebolag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12345-2026</t>
        </is>
      </c>
      <c r="B49" t="inlineStr">
        <is>
          <t>avverkningsanmälan</t>
        </is>
      </c>
      <c r="C49" t="inlineStr">
        <is>
          <t>Föryngringsavverkning</t>
        </is>
      </c>
      <c r="D49" s="1" t="n">
        <v>46087</v>
      </c>
      <c r="E49" s="1" t="n">
        <v>46249</v>
      </c>
      <c r="F49" t="inlineStr">
        <is>
          <t>STOCKHOLMS LÄN</t>
        </is>
      </c>
      <c r="G49" t="inlineStr">
        <is>
          <t>ÖSTERÅKER</t>
        </is>
      </c>
      <c r="H49" t="inlineStr">
        <is>
          <t>Övriga Aktiebolag</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16728-2022</t>
        </is>
      </c>
      <c r="B50" t="inlineStr">
        <is>
          <t>avverkningsanmälan</t>
        </is>
      </c>
      <c r="C50" t="inlineStr">
        <is>
          <t>Föryngringsavverkning</t>
        </is>
      </c>
      <c r="D50" s="1" t="n">
        <v>44673</v>
      </c>
      <c r="E50" s="1" t="n">
        <v>46249</v>
      </c>
      <c r="F50" t="inlineStr">
        <is>
          <t>STOCKHOLMS LÄN</t>
        </is>
      </c>
      <c r="G50" t="inlineStr">
        <is>
          <t>ÖSTERÅKER</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22528-2024</t>
        </is>
      </c>
      <c r="B51" t="inlineStr">
        <is>
          <t>avverkningsanmälan</t>
        </is>
      </c>
      <c r="C51" t="inlineStr">
        <is>
          <t>Föryngringsavverkning</t>
        </is>
      </c>
      <c r="D51" s="1" t="n">
        <v>45447</v>
      </c>
      <c r="E51" s="1" t="n">
        <v>46249</v>
      </c>
      <c r="F51" t="inlineStr">
        <is>
          <t>STOCKHOLMS LÄN</t>
        </is>
      </c>
      <c r="G51" t="inlineStr">
        <is>
          <t>ÖSTERÅKER</t>
        </is>
      </c>
      <c r="H51" t="inlineStr">
        <is>
          <t>Övriga Aktiebolag</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16803-2022</t>
        </is>
      </c>
      <c r="B52" t="inlineStr">
        <is>
          <t>avverkningsanmälan</t>
        </is>
      </c>
      <c r="C52" t="inlineStr">
        <is>
          <t>Föryngringsavverkning</t>
        </is>
      </c>
      <c r="D52" s="1" t="n">
        <v>44673</v>
      </c>
      <c r="E52" s="1" t="n">
        <v>46249</v>
      </c>
      <c r="F52" t="inlineStr">
        <is>
          <t>STOCKHOLMS LÄN</t>
        </is>
      </c>
      <c r="G52" t="inlineStr">
        <is>
          <t>ÖSTERÅKER</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14776-2024</t>
        </is>
      </c>
      <c r="B53" t="inlineStr">
        <is>
          <t>avverkningsanmälan</t>
        </is>
      </c>
      <c r="C53" t="inlineStr">
        <is>
          <t>Föryngringsavverkning</t>
        </is>
      </c>
      <c r="D53" s="1" t="n">
        <v>45397</v>
      </c>
      <c r="E53" s="1" t="n">
        <v>46249</v>
      </c>
      <c r="F53" t="inlineStr">
        <is>
          <t>STOCKHOLMS LÄN</t>
        </is>
      </c>
      <c r="G53" t="inlineStr">
        <is>
          <t>ÖSTERÅKER</t>
        </is>
      </c>
      <c r="I53" t="n">
        <v>13.6</v>
      </c>
      <c r="J53" t="n">
        <v>0</v>
      </c>
      <c r="K53" t="n">
        <v>0</v>
      </c>
      <c r="L53" t="n">
        <v>0</v>
      </c>
      <c r="M53" t="n">
        <v>0</v>
      </c>
      <c r="N53" t="n">
        <v>0</v>
      </c>
      <c r="O53" t="n">
        <v>0</v>
      </c>
      <c r="P53" t="n">
        <v>0</v>
      </c>
      <c r="Q53" t="n">
        <v>0</v>
      </c>
      <c r="R53" t="n">
        <v>0</v>
      </c>
      <c r="S53" t="n">
        <v>0</v>
      </c>
      <c r="T53" t="n">
        <v>0</v>
      </c>
      <c r="U53" t="n">
        <v>0</v>
      </c>
      <c r="V53" s="2" t="inlineStr"/>
    </row>
    <row r="54" ht="15" customHeight="1">
      <c r="A54" t="inlineStr">
        <is>
          <t>A 52220-2025</t>
        </is>
      </c>
      <c r="B54" t="inlineStr">
        <is>
          <t>avverkningsanmälan</t>
        </is>
      </c>
      <c r="C54" t="inlineStr">
        <is>
          <t>Avverkning för annat ändamål</t>
        </is>
      </c>
      <c r="D54" s="1" t="n">
        <v>45953</v>
      </c>
      <c r="E54" s="1" t="n">
        <v>46249</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61710-2022</t>
        </is>
      </c>
      <c r="B55" t="inlineStr">
        <is>
          <t>avverkningsanmälan</t>
        </is>
      </c>
      <c r="C55" t="inlineStr">
        <is>
          <t>Föryngringsavverkning</t>
        </is>
      </c>
      <c r="D55" s="1" t="n">
        <v>44917</v>
      </c>
      <c r="E55" s="1" t="n">
        <v>46249</v>
      </c>
      <c r="F55" t="inlineStr">
        <is>
          <t>STOCKHOLMS LÄN</t>
        </is>
      </c>
      <c r="G55" t="inlineStr">
        <is>
          <t>ÖSTERÅKER</t>
        </is>
      </c>
      <c r="I55" t="n">
        <v>6.2</v>
      </c>
      <c r="J55" t="n">
        <v>0</v>
      </c>
      <c r="K55" t="n">
        <v>0</v>
      </c>
      <c r="L55" t="n">
        <v>0</v>
      </c>
      <c r="M55" t="n">
        <v>0</v>
      </c>
      <c r="N55" t="n">
        <v>0</v>
      </c>
      <c r="O55" t="n">
        <v>0</v>
      </c>
      <c r="P55" t="n">
        <v>0</v>
      </c>
      <c r="Q55" t="n">
        <v>0</v>
      </c>
      <c r="R55" t="n">
        <v>0</v>
      </c>
      <c r="S55" t="n">
        <v>0</v>
      </c>
      <c r="T55" t="n">
        <v>0</v>
      </c>
      <c r="U55" t="n">
        <v>0</v>
      </c>
      <c r="V55" s="2" t="inlineStr"/>
    </row>
    <row r="56" ht="15" customHeight="1">
      <c r="A56" t="inlineStr">
        <is>
          <t>A 17353-2025</t>
        </is>
      </c>
      <c r="B56" t="inlineStr">
        <is>
          <t>avverkningsanmälan</t>
        </is>
      </c>
      <c r="C56" t="inlineStr">
        <is>
          <t>Föryngringsavverkning</t>
        </is>
      </c>
      <c r="D56" s="1" t="n">
        <v>45756</v>
      </c>
      <c r="E56" s="1" t="n">
        <v>46249</v>
      </c>
      <c r="F56" t="inlineStr">
        <is>
          <t>STOCKHOLMS LÄN</t>
        </is>
      </c>
      <c r="G56" t="inlineStr">
        <is>
          <t>ÖSTERÅKER</t>
        </is>
      </c>
      <c r="H56" t="inlineStr">
        <is>
          <t>Övriga Aktiebolag</t>
        </is>
      </c>
      <c r="I56" t="n">
        <v>5.5</v>
      </c>
      <c r="J56" t="n">
        <v>0</v>
      </c>
      <c r="K56" t="n">
        <v>0</v>
      </c>
      <c r="L56" t="n">
        <v>0</v>
      </c>
      <c r="M56" t="n">
        <v>0</v>
      </c>
      <c r="N56" t="n">
        <v>0</v>
      </c>
      <c r="O56" t="n">
        <v>0</v>
      </c>
      <c r="P56" t="n">
        <v>0</v>
      </c>
      <c r="Q56" t="n">
        <v>0</v>
      </c>
      <c r="R56" t="n">
        <v>0</v>
      </c>
      <c r="S56" t="n">
        <v>0</v>
      </c>
      <c r="T56" t="n">
        <v>0</v>
      </c>
      <c r="U56" t="n">
        <v>0</v>
      </c>
      <c r="V56" s="2" t="inlineStr"/>
    </row>
    <row r="57" ht="15" customHeight="1">
      <c r="A57" t="inlineStr">
        <is>
          <t>A 61370-2022</t>
        </is>
      </c>
      <c r="B57" t="inlineStr">
        <is>
          <t>avverkningsanmälan</t>
        </is>
      </c>
      <c r="C57" t="inlineStr">
        <is>
          <t>Föryngringsavverkning</t>
        </is>
      </c>
      <c r="D57" s="1" t="n">
        <v>44915</v>
      </c>
      <c r="E57" s="1" t="n">
        <v>46249</v>
      </c>
      <c r="F57" t="inlineStr">
        <is>
          <t>STOCKHOLMS LÄN</t>
        </is>
      </c>
      <c r="G57" t="inlineStr">
        <is>
          <t>ÖSTERÅKER</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3817-2023</t>
        </is>
      </c>
      <c r="B58" t="inlineStr">
        <is>
          <t>avverkningsanmälan</t>
        </is>
      </c>
      <c r="C58" t="inlineStr">
        <is>
          <t>Föryngringsavverkning</t>
        </is>
      </c>
      <c r="D58" s="1" t="n">
        <v>44951</v>
      </c>
      <c r="E58" s="1" t="n">
        <v>46249</v>
      </c>
      <c r="F58" t="inlineStr">
        <is>
          <t>STOCKHOLMS LÄN</t>
        </is>
      </c>
      <c r="G58" t="inlineStr">
        <is>
          <t>ÖSTERÅKER</t>
        </is>
      </c>
      <c r="H58" t="inlineStr">
        <is>
          <t>Kommuner</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3828-2023</t>
        </is>
      </c>
      <c r="B59" t="inlineStr">
        <is>
          <t>avverkningsanmälan</t>
        </is>
      </c>
      <c r="C59" t="inlineStr">
        <is>
          <t>Föryngringsavverkning</t>
        </is>
      </c>
      <c r="D59" s="1" t="n">
        <v>44951</v>
      </c>
      <c r="E59" s="1" t="n">
        <v>46249</v>
      </c>
      <c r="F59" t="inlineStr">
        <is>
          <t>STOCKHOLMS LÄN</t>
        </is>
      </c>
      <c r="G59" t="inlineStr">
        <is>
          <t>ÖSTERÅKER</t>
        </is>
      </c>
      <c r="H59" t="inlineStr">
        <is>
          <t>Kommuner</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3917-2023</t>
        </is>
      </c>
      <c r="B60" t="inlineStr">
        <is>
          <t>avverkningsanmälan</t>
        </is>
      </c>
      <c r="C60" t="inlineStr">
        <is>
          <t>Föryngringsavverkning</t>
        </is>
      </c>
      <c r="D60" s="1" t="n">
        <v>44952</v>
      </c>
      <c r="E60" s="1" t="n">
        <v>46249</v>
      </c>
      <c r="F60" t="inlineStr">
        <is>
          <t>STOCKHOLMS LÄN</t>
        </is>
      </c>
      <c r="G60" t="inlineStr">
        <is>
          <t>ÖSTERÅKER</t>
        </is>
      </c>
      <c r="H60" t="inlineStr">
        <is>
          <t>Kommuner</t>
        </is>
      </c>
      <c r="I60" t="n">
        <v>2.8</v>
      </c>
      <c r="J60" t="n">
        <v>0</v>
      </c>
      <c r="K60" t="n">
        <v>0</v>
      </c>
      <c r="L60" t="n">
        <v>0</v>
      </c>
      <c r="M60" t="n">
        <v>0</v>
      </c>
      <c r="N60" t="n">
        <v>0</v>
      </c>
      <c r="O60" t="n">
        <v>0</v>
      </c>
      <c r="P60" t="n">
        <v>0</v>
      </c>
      <c r="Q60" t="n">
        <v>0</v>
      </c>
      <c r="R60" t="n">
        <v>0</v>
      </c>
      <c r="S60" t="n">
        <v>0</v>
      </c>
      <c r="T60" t="n">
        <v>0</v>
      </c>
      <c r="U60" t="n">
        <v>0</v>
      </c>
      <c r="V60" s="2" t="inlineStr"/>
    </row>
    <row r="61" ht="15" customHeight="1">
      <c r="A61" t="inlineStr">
        <is>
          <t>A 24499-2023</t>
        </is>
      </c>
      <c r="B61" t="inlineStr">
        <is>
          <t>avverkningsanmälan</t>
        </is>
      </c>
      <c r="C61" t="inlineStr">
        <is>
          <t>Föryngringsavverkning</t>
        </is>
      </c>
      <c r="D61" s="1" t="n">
        <v>45082</v>
      </c>
      <c r="E61" s="1" t="n">
        <v>46249</v>
      </c>
      <c r="F61" t="inlineStr">
        <is>
          <t>STOCKHOLMS LÄN</t>
        </is>
      </c>
      <c r="G61" t="inlineStr">
        <is>
          <t>ÖSTERÅKER</t>
        </is>
      </c>
      <c r="I61" t="n">
        <v>0.1</v>
      </c>
      <c r="J61" t="n">
        <v>0</v>
      </c>
      <c r="K61" t="n">
        <v>0</v>
      </c>
      <c r="L61" t="n">
        <v>0</v>
      </c>
      <c r="M61" t="n">
        <v>0</v>
      </c>
      <c r="N61" t="n">
        <v>0</v>
      </c>
      <c r="O61" t="n">
        <v>0</v>
      </c>
      <c r="P61" t="n">
        <v>0</v>
      </c>
      <c r="Q61" t="n">
        <v>0</v>
      </c>
      <c r="R61" t="n">
        <v>0</v>
      </c>
      <c r="S61" t="n">
        <v>0</v>
      </c>
      <c r="T61" t="n">
        <v>0</v>
      </c>
      <c r="U61" t="n">
        <v>0</v>
      </c>
      <c r="V61" s="2" t="inlineStr"/>
    </row>
    <row r="62" ht="15" customHeight="1">
      <c r="A62" t="inlineStr">
        <is>
          <t>A 21796-2025</t>
        </is>
      </c>
      <c r="B62" t="inlineStr">
        <is>
          <t>avverkningsanmälan</t>
        </is>
      </c>
      <c r="C62" t="inlineStr">
        <is>
          <t>Föryngringsavverkning</t>
        </is>
      </c>
      <c r="D62" s="1" t="n">
        <v>45783</v>
      </c>
      <c r="E62" s="1" t="n">
        <v>46249</v>
      </c>
      <c r="F62" t="inlineStr">
        <is>
          <t>STOCKHOLMS LÄN</t>
        </is>
      </c>
      <c r="G62" t="inlineStr">
        <is>
          <t>ÖSTERÅKER</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544-2023</t>
        </is>
      </c>
      <c r="B63" t="inlineStr">
        <is>
          <t>avverkningsanmälan</t>
        </is>
      </c>
      <c r="C63" t="inlineStr">
        <is>
          <t>Avverkning för annat ändamål</t>
        </is>
      </c>
      <c r="D63" s="1" t="n">
        <v>44924</v>
      </c>
      <c r="E63" s="1" t="n">
        <v>46249</v>
      </c>
      <c r="F63" t="inlineStr">
        <is>
          <t>STOCKHOLMS LÄN</t>
        </is>
      </c>
      <c r="G63" t="inlineStr">
        <is>
          <t>ÖSTERÅKER</t>
        </is>
      </c>
      <c r="H63" t="inlineStr">
        <is>
          <t>Övriga Aktiebolag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17196-2022</t>
        </is>
      </c>
      <c r="B64" t="inlineStr">
        <is>
          <t>avverkningsanmälan</t>
        </is>
      </c>
      <c r="C64" t="inlineStr">
        <is>
          <t>Föryngringsavverkning</t>
        </is>
      </c>
      <c r="D64" s="1" t="n">
        <v>44677</v>
      </c>
      <c r="E64" s="1" t="n">
        <v>46249</v>
      </c>
      <c r="F64" t="inlineStr">
        <is>
          <t>STOCKHOLMS LÄN</t>
        </is>
      </c>
      <c r="G64" t="inlineStr">
        <is>
          <t>ÖSTERÅKER</t>
        </is>
      </c>
      <c r="I64" t="n">
        <v>5.9</v>
      </c>
      <c r="J64" t="n">
        <v>0</v>
      </c>
      <c r="K64" t="n">
        <v>0</v>
      </c>
      <c r="L64" t="n">
        <v>0</v>
      </c>
      <c r="M64" t="n">
        <v>0</v>
      </c>
      <c r="N64" t="n">
        <v>0</v>
      </c>
      <c r="O64" t="n">
        <v>0</v>
      </c>
      <c r="P64" t="n">
        <v>0</v>
      </c>
      <c r="Q64" t="n">
        <v>0</v>
      </c>
      <c r="R64" t="n">
        <v>0</v>
      </c>
      <c r="S64" t="n">
        <v>0</v>
      </c>
      <c r="T64" t="n">
        <v>0</v>
      </c>
      <c r="U64" t="n">
        <v>0</v>
      </c>
      <c r="V64" s="2" t="inlineStr"/>
    </row>
    <row r="65" ht="15" customHeight="1">
      <c r="A65" t="inlineStr">
        <is>
          <t>A 60482-2025</t>
        </is>
      </c>
      <c r="B65" t="inlineStr">
        <is>
          <t>avverkningsanmälan</t>
        </is>
      </c>
      <c r="C65" t="inlineStr">
        <is>
          <t>Föryngringsavverkning</t>
        </is>
      </c>
      <c r="D65" s="1" t="n">
        <v>45995</v>
      </c>
      <c r="E65" s="1" t="n">
        <v>46249</v>
      </c>
      <c r="F65" t="inlineStr">
        <is>
          <t>STOCKHOLMS LÄN</t>
        </is>
      </c>
      <c r="G65" t="inlineStr">
        <is>
          <t>ÖSTERÅKER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18711-2023</t>
        </is>
      </c>
      <c r="B66" t="inlineStr">
        <is>
          <t>avverkningsanmälan</t>
        </is>
      </c>
      <c r="C66" t="inlineStr">
        <is>
          <t>Föryngringsavverkning</t>
        </is>
      </c>
      <c r="D66" s="1" t="n">
        <v>45043</v>
      </c>
      <c r="E66" s="1" t="n">
        <v>46249</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5038-2026</t>
        </is>
      </c>
      <c r="B67" t="inlineStr">
        <is>
          <t>avverkningsanmälan</t>
        </is>
      </c>
      <c r="C67" t="inlineStr">
        <is>
          <t>Föryngringsavverkning</t>
        </is>
      </c>
      <c r="D67" s="1" t="n">
        <v>46049</v>
      </c>
      <c r="E67" s="1" t="n">
        <v>46249</v>
      </c>
      <c r="F67" t="inlineStr">
        <is>
          <t>STOCKHOLMS LÄN</t>
        </is>
      </c>
      <c r="G67" t="inlineStr">
        <is>
          <t>ÖSTERÅKER</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1603-2023</t>
        </is>
      </c>
      <c r="B68" t="inlineStr">
        <is>
          <t>avverkningsanmälan</t>
        </is>
      </c>
      <c r="C68" t="inlineStr">
        <is>
          <t>Föryngringsavverkning</t>
        </is>
      </c>
      <c r="D68" s="1" t="n">
        <v>44937</v>
      </c>
      <c r="E68" s="1" t="n">
        <v>46249</v>
      </c>
      <c r="F68" t="inlineStr">
        <is>
          <t>STOCKHOLMS LÄN</t>
        </is>
      </c>
      <c r="G68" t="inlineStr">
        <is>
          <t>ÖSTERÅKER</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1605-2023</t>
        </is>
      </c>
      <c r="B69" t="inlineStr">
        <is>
          <t>avverkningsanmälan</t>
        </is>
      </c>
      <c r="C69" t="inlineStr">
        <is>
          <t>Föryngringsavverkning</t>
        </is>
      </c>
      <c r="D69" s="1" t="n">
        <v>44937</v>
      </c>
      <c r="E69" s="1" t="n">
        <v>46249</v>
      </c>
      <c r="F69" t="inlineStr">
        <is>
          <t>STOCKHOLMS LÄN</t>
        </is>
      </c>
      <c r="G69" t="inlineStr">
        <is>
          <t>ÖSTERÅKER</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34713-2025</t>
        </is>
      </c>
      <c r="B70" t="inlineStr">
        <is>
          <t>avverkningsanmälan</t>
        </is>
      </c>
      <c r="C70" t="inlineStr">
        <is>
          <t>Föryngringsavverkning</t>
        </is>
      </c>
      <c r="D70" s="1" t="n">
        <v>45848</v>
      </c>
      <c r="E70" s="1" t="n">
        <v>46249</v>
      </c>
      <c r="F70" t="inlineStr">
        <is>
          <t>STOCKHOLMS LÄN</t>
        </is>
      </c>
      <c r="G70" t="inlineStr">
        <is>
          <t>ÖSTERÅKER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470-2022</t>
        </is>
      </c>
      <c r="B71" t="inlineStr">
        <is>
          <t>avverkningsanmälan</t>
        </is>
      </c>
      <c r="C71" t="inlineStr">
        <is>
          <t>Föryngringsavverkning</t>
        </is>
      </c>
      <c r="D71" s="1" t="n">
        <v>44565</v>
      </c>
      <c r="E71" s="1" t="n">
        <v>46249</v>
      </c>
      <c r="F71" t="inlineStr">
        <is>
          <t>STOCKHOLMS LÄN</t>
        </is>
      </c>
      <c r="G71" t="inlineStr">
        <is>
          <t>ÖSTERÅKER</t>
        </is>
      </c>
      <c r="H71" t="inlineStr">
        <is>
          <t>Övriga Aktiebolag</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23144-2024</t>
        </is>
      </c>
      <c r="B72" t="inlineStr">
        <is>
          <t>avverkningsanmälan</t>
        </is>
      </c>
      <c r="C72" t="inlineStr">
        <is>
          <t>Föryngringsavverkning</t>
        </is>
      </c>
      <c r="D72" s="1" t="n">
        <v>45450</v>
      </c>
      <c r="E72" s="1" t="n">
        <v>46249</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5286-2025</t>
        </is>
      </c>
      <c r="B73" t="inlineStr">
        <is>
          <t>avverkningsanmälan</t>
        </is>
      </c>
      <c r="C73" t="inlineStr">
        <is>
          <t>Föryngringsavverkning</t>
        </is>
      </c>
      <c r="D73" s="1" t="n">
        <v>45692</v>
      </c>
      <c r="E73" s="1" t="n">
        <v>46249</v>
      </c>
      <c r="F73" t="inlineStr">
        <is>
          <t>STOCKHOLMS LÄN</t>
        </is>
      </c>
      <c r="G73" t="inlineStr">
        <is>
          <t>ÖSTERÅKER</t>
        </is>
      </c>
      <c r="I73" t="n">
        <v>11.2</v>
      </c>
      <c r="J73" t="n">
        <v>0</v>
      </c>
      <c r="K73" t="n">
        <v>0</v>
      </c>
      <c r="L73" t="n">
        <v>0</v>
      </c>
      <c r="M73" t="n">
        <v>0</v>
      </c>
      <c r="N73" t="n">
        <v>0</v>
      </c>
      <c r="O73" t="n">
        <v>0</v>
      </c>
      <c r="P73" t="n">
        <v>0</v>
      </c>
      <c r="Q73" t="n">
        <v>0</v>
      </c>
      <c r="R73" t="n">
        <v>0</v>
      </c>
      <c r="S73" t="n">
        <v>0</v>
      </c>
      <c r="T73" t="n">
        <v>0</v>
      </c>
      <c r="U73" t="n">
        <v>0</v>
      </c>
      <c r="V73" s="2" t="inlineStr"/>
    </row>
    <row r="74" ht="15" customHeight="1">
      <c r="A74" t="inlineStr">
        <is>
          <t>A 1136-2023</t>
        </is>
      </c>
      <c r="B74" t="inlineStr">
        <is>
          <t>avverkningsanmälan</t>
        </is>
      </c>
      <c r="C74" t="inlineStr">
        <is>
          <t>Avverkning för annat ändamål</t>
        </is>
      </c>
      <c r="D74" s="1" t="n">
        <v>44935</v>
      </c>
      <c r="E74" s="1" t="n">
        <v>46249</v>
      </c>
      <c r="F74" t="inlineStr">
        <is>
          <t>STOCKHOLMS LÄN</t>
        </is>
      </c>
      <c r="G74" t="inlineStr">
        <is>
          <t>ÖSTERÅKER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39394-2023</t>
        </is>
      </c>
      <c r="B75" t="inlineStr">
        <is>
          <t>avverkningsanmälan</t>
        </is>
      </c>
      <c r="C75" t="inlineStr">
        <is>
          <t>Föryngringsavverkning</t>
        </is>
      </c>
      <c r="D75" s="1" t="n">
        <v>45166</v>
      </c>
      <c r="E75" s="1" t="n">
        <v>46249</v>
      </c>
      <c r="F75" t="inlineStr">
        <is>
          <t>STOCKHOLMS LÄN</t>
        </is>
      </c>
      <c r="G75" t="inlineStr">
        <is>
          <t>ÖSTERÅKER</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17263-2022</t>
        </is>
      </c>
      <c r="B76" t="inlineStr">
        <is>
          <t>avverkningsanmälan</t>
        </is>
      </c>
      <c r="C76" t="inlineStr">
        <is>
          <t>Föryngringsavverkning</t>
        </is>
      </c>
      <c r="D76" s="1" t="n">
        <v>44678</v>
      </c>
      <c r="E76" s="1" t="n">
        <v>46249</v>
      </c>
      <c r="F76" t="inlineStr">
        <is>
          <t>STOCKHOLMS LÄN</t>
        </is>
      </c>
      <c r="G76" t="inlineStr">
        <is>
          <t>ÖSTERÅKER</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33158-2024</t>
        </is>
      </c>
      <c r="B77" t="inlineStr">
        <is>
          <t>avverkningsanmälan</t>
        </is>
      </c>
      <c r="C77" t="inlineStr">
        <is>
          <t>Avverkning för annat ändamål</t>
        </is>
      </c>
      <c r="D77" s="1" t="n">
        <v>45518</v>
      </c>
      <c r="E77" s="1" t="n">
        <v>46249</v>
      </c>
      <c r="F77" t="inlineStr">
        <is>
          <t>STOCKHOLMS LÄN</t>
        </is>
      </c>
      <c r="G77" t="inlineStr">
        <is>
          <t>ÖSTERÅKER</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845-2024</t>
        </is>
      </c>
      <c r="B78" t="inlineStr">
        <is>
          <t>avverkningsanmälan</t>
        </is>
      </c>
      <c r="C78" t="inlineStr">
        <is>
          <t>Föryngringsavverkning</t>
        </is>
      </c>
      <c r="D78" s="1" t="n">
        <v>45300</v>
      </c>
      <c r="E78" s="1" t="n">
        <v>46249</v>
      </c>
      <c r="F78" t="inlineStr">
        <is>
          <t>STOCKHOLMS LÄN</t>
        </is>
      </c>
      <c r="G78" t="inlineStr">
        <is>
          <t>ÖSTERÅKER</t>
        </is>
      </c>
      <c r="I78" t="n">
        <v>10.1</v>
      </c>
      <c r="J78" t="n">
        <v>0</v>
      </c>
      <c r="K78" t="n">
        <v>0</v>
      </c>
      <c r="L78" t="n">
        <v>0</v>
      </c>
      <c r="M78" t="n">
        <v>0</v>
      </c>
      <c r="N78" t="n">
        <v>0</v>
      </c>
      <c r="O78" t="n">
        <v>0</v>
      </c>
      <c r="P78" t="n">
        <v>0</v>
      </c>
      <c r="Q78" t="n">
        <v>0</v>
      </c>
      <c r="R78" t="n">
        <v>0</v>
      </c>
      <c r="S78" t="n">
        <v>0</v>
      </c>
      <c r="T78" t="n">
        <v>0</v>
      </c>
      <c r="U78" t="n">
        <v>0</v>
      </c>
      <c r="V78" s="2" t="inlineStr"/>
    </row>
    <row r="79" ht="15" customHeight="1">
      <c r="A79" t="inlineStr">
        <is>
          <t>A 37037-2023</t>
        </is>
      </c>
      <c r="B79" t="inlineStr">
        <is>
          <t>avverkningsanmälan</t>
        </is>
      </c>
      <c r="C79" t="inlineStr">
        <is>
          <t>Föryngringsavverkning</t>
        </is>
      </c>
      <c r="D79" s="1" t="n">
        <v>45155</v>
      </c>
      <c r="E79" s="1" t="n">
        <v>46249</v>
      </c>
      <c r="F79" t="inlineStr">
        <is>
          <t>STOCKHOLMS LÄN</t>
        </is>
      </c>
      <c r="G79" t="inlineStr">
        <is>
          <t>ÖSTERÅKER</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13366-2024</t>
        </is>
      </c>
      <c r="B80" t="inlineStr">
        <is>
          <t>avverkningsanmälan</t>
        </is>
      </c>
      <c r="C80" t="inlineStr">
        <is>
          <t>Föryngringsavverkning</t>
        </is>
      </c>
      <c r="D80" s="1" t="n">
        <v>45387</v>
      </c>
      <c r="E80" s="1" t="n">
        <v>46249</v>
      </c>
      <c r="F80" t="inlineStr">
        <is>
          <t>STOCKHOLMS LÄN</t>
        </is>
      </c>
      <c r="G80" t="inlineStr">
        <is>
          <t>ÖSTERÅKER</t>
        </is>
      </c>
      <c r="I80" t="n">
        <v>13.7</v>
      </c>
      <c r="J80" t="n">
        <v>0</v>
      </c>
      <c r="K80" t="n">
        <v>0</v>
      </c>
      <c r="L80" t="n">
        <v>0</v>
      </c>
      <c r="M80" t="n">
        <v>0</v>
      </c>
      <c r="N80" t="n">
        <v>0</v>
      </c>
      <c r="O80" t="n">
        <v>0</v>
      </c>
      <c r="P80" t="n">
        <v>0</v>
      </c>
      <c r="Q80" t="n">
        <v>0</v>
      </c>
      <c r="R80" t="n">
        <v>0</v>
      </c>
      <c r="S80" t="n">
        <v>0</v>
      </c>
      <c r="T80" t="n">
        <v>0</v>
      </c>
      <c r="U80" t="n">
        <v>0</v>
      </c>
      <c r="V80" s="2" t="inlineStr"/>
    </row>
    <row r="81" ht="15" customHeight="1">
      <c r="A81" t="inlineStr">
        <is>
          <t>A 34038-2025</t>
        </is>
      </c>
      <c r="B81" t="inlineStr">
        <is>
          <t>avverkningsanmälan</t>
        </is>
      </c>
      <c r="C81" t="inlineStr">
        <is>
          <t>Föryngringsavverkning</t>
        </is>
      </c>
      <c r="D81" s="1" t="n">
        <v>45842</v>
      </c>
      <c r="E81" s="1" t="n">
        <v>46249</v>
      </c>
      <c r="F81" t="inlineStr">
        <is>
          <t>STOCKHOLMS LÄN</t>
        </is>
      </c>
      <c r="G81" t="inlineStr">
        <is>
          <t>ÖSTERÅKER</t>
        </is>
      </c>
      <c r="H81" t="inlineStr">
        <is>
          <t>Övriga Aktiebolag</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61360-2022</t>
        </is>
      </c>
      <c r="B82" t="inlineStr">
        <is>
          <t>avverkningsanmälan</t>
        </is>
      </c>
      <c r="C82" t="inlineStr">
        <is>
          <t>Föryngringsavverkning</t>
        </is>
      </c>
      <c r="D82" s="1" t="n">
        <v>44915</v>
      </c>
      <c r="E82" s="1" t="n">
        <v>46249</v>
      </c>
      <c r="F82" t="inlineStr">
        <is>
          <t>STOCKHOLMS LÄN</t>
        </is>
      </c>
      <c r="G82" t="inlineStr">
        <is>
          <t>ÖSTERÅKER</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62108-2022</t>
        </is>
      </c>
      <c r="B83" t="inlineStr">
        <is>
          <t>avverkningsanmälan</t>
        </is>
      </c>
      <c r="C83" t="inlineStr">
        <is>
          <t>Föryngringsavverkning</t>
        </is>
      </c>
      <c r="D83" s="1" t="n">
        <v>44920</v>
      </c>
      <c r="E83" s="1" t="n">
        <v>46249</v>
      </c>
      <c r="F83" t="inlineStr">
        <is>
          <t>STOCKHOLMS LÄN</t>
        </is>
      </c>
      <c r="G83" t="inlineStr">
        <is>
          <t>ÖSTERÅKER</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23198-2026</t>
        </is>
      </c>
      <c r="B84" t="inlineStr">
        <is>
          <t>avverkningsanmälan</t>
        </is>
      </c>
      <c r="C84" t="inlineStr">
        <is>
          <t>Avverkning för annat ändamål</t>
        </is>
      </c>
      <c r="D84" s="1" t="n">
        <v>46161</v>
      </c>
      <c r="E84" s="1" t="n">
        <v>46249</v>
      </c>
      <c r="F84" t="inlineStr">
        <is>
          <t>STOCKHOLMS LÄN</t>
        </is>
      </c>
      <c r="G84" t="inlineStr">
        <is>
          <t>ÖSTERÅKER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30599-2026</t>
        </is>
      </c>
      <c r="B85" t="inlineStr">
        <is>
          <t>avverkningsanmälan</t>
        </is>
      </c>
      <c r="C85" t="inlineStr">
        <is>
          <t>Föryngringsavverkning</t>
        </is>
      </c>
      <c r="D85" s="1" t="n">
        <v>46210</v>
      </c>
      <c r="E85" s="1" t="n">
        <v>46249</v>
      </c>
      <c r="F85" t="inlineStr">
        <is>
          <t>STOCKHOLMS LÄN</t>
        </is>
      </c>
      <c r="G85" t="inlineStr">
        <is>
          <t>ÖSTERÅKER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9865-2025</t>
        </is>
      </c>
      <c r="B86" t="inlineStr">
        <is>
          <t>avverkningsanmälan</t>
        </is>
      </c>
      <c r="C86" t="inlineStr">
        <is>
          <t>Föryngringsavverkning</t>
        </is>
      </c>
      <c r="D86" s="1" t="n">
        <v>45716</v>
      </c>
      <c r="E86" s="1" t="n">
        <v>46249</v>
      </c>
      <c r="F86" t="inlineStr">
        <is>
          <t>STOCKHOLMS LÄN</t>
        </is>
      </c>
      <c r="G86" t="inlineStr">
        <is>
          <t>ÖSTERÅKER</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6655-2023</t>
        </is>
      </c>
      <c r="B87" t="inlineStr">
        <is>
          <t>avverkningsanmälan</t>
        </is>
      </c>
      <c r="C87" t="inlineStr">
        <is>
          <t>Föryngringsavverkning</t>
        </is>
      </c>
      <c r="D87" s="1" t="n">
        <v>44966</v>
      </c>
      <c r="E87" s="1" t="n">
        <v>46249</v>
      </c>
      <c r="F87" t="inlineStr">
        <is>
          <t>STOCKHOLMS LÄN</t>
        </is>
      </c>
      <c r="G87" t="inlineStr">
        <is>
          <t>ÖSTERÅKER</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31146-2026</t>
        </is>
      </c>
      <c r="B88" t="inlineStr">
        <is>
          <t>avverkningsanmälan</t>
        </is>
      </c>
      <c r="C88" t="inlineStr">
        <is>
          <t>Föryngringsavverkning</t>
        </is>
      </c>
      <c r="D88" s="1" t="n">
        <v>46216</v>
      </c>
      <c r="E88" s="1" t="n">
        <v>46249</v>
      </c>
      <c r="F88" t="inlineStr">
        <is>
          <t>STOCKHOLMS LÄN</t>
        </is>
      </c>
      <c r="G88" t="inlineStr">
        <is>
          <t>ÖSTERÅKER</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31149-2026</t>
        </is>
      </c>
      <c r="B89" t="inlineStr">
        <is>
          <t>avverkningsanmälan</t>
        </is>
      </c>
      <c r="C89" t="inlineStr">
        <is>
          <t>Föryngringsavverkning</t>
        </is>
      </c>
      <c r="D89" s="1" t="n">
        <v>46216</v>
      </c>
      <c r="E89" s="1" t="n">
        <v>46249</v>
      </c>
      <c r="F89" t="inlineStr">
        <is>
          <t>STOCKHOLMS LÄN</t>
        </is>
      </c>
      <c r="G89" t="inlineStr">
        <is>
          <t>ÖSTERÅKER</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31154-2026</t>
        </is>
      </c>
      <c r="B90" t="inlineStr">
        <is>
          <t>avverkningsanmälan</t>
        </is>
      </c>
      <c r="C90" t="inlineStr">
        <is>
          <t>Föryngringsavverkning</t>
        </is>
      </c>
      <c r="D90" s="1" t="n">
        <v>46216</v>
      </c>
      <c r="E90" s="1" t="n">
        <v>46249</v>
      </c>
      <c r="F90" t="inlineStr">
        <is>
          <t>STOCKHOLMS LÄN</t>
        </is>
      </c>
      <c r="G90" t="inlineStr">
        <is>
          <t>ÖSTERÅKER</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31156-2026</t>
        </is>
      </c>
      <c r="B91" t="inlineStr">
        <is>
          <t>avverkningsanmälan</t>
        </is>
      </c>
      <c r="C91" t="inlineStr">
        <is>
          <t>Föryngringsavverkning</t>
        </is>
      </c>
      <c r="D91" s="1" t="n">
        <v>46216</v>
      </c>
      <c r="E91" s="1" t="n">
        <v>46249</v>
      </c>
      <c r="F91" t="inlineStr">
        <is>
          <t>STOCKHOLMS LÄN</t>
        </is>
      </c>
      <c r="G91" t="inlineStr">
        <is>
          <t>ÖSTERÅKER</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31134-2023</t>
        </is>
      </c>
      <c r="B92" t="inlineStr">
        <is>
          <t>avverkningsanmälan</t>
        </is>
      </c>
      <c r="C92" t="inlineStr">
        <is>
          <t>Föryngringsavverkning</t>
        </is>
      </c>
      <c r="D92" s="1" t="n">
        <v>45113</v>
      </c>
      <c r="E92" s="1" t="n">
        <v>46249</v>
      </c>
      <c r="F92" t="inlineStr">
        <is>
          <t>STOCKHOLMS LÄN</t>
        </is>
      </c>
      <c r="G92" t="inlineStr">
        <is>
          <t>ÖSTERÅKER</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57048-2024</t>
        </is>
      </c>
      <c r="B93" t="inlineStr">
        <is>
          <t>avverkningsanmälan</t>
        </is>
      </c>
      <c r="C93" t="inlineStr">
        <is>
          <t>Föryngringsavverkning</t>
        </is>
      </c>
      <c r="D93" s="1" t="n">
        <v>45629</v>
      </c>
      <c r="E93" s="1" t="n">
        <v>46249</v>
      </c>
      <c r="F93" t="inlineStr">
        <is>
          <t>STOCKHOLMS LÄN</t>
        </is>
      </c>
      <c r="G93" t="inlineStr">
        <is>
          <t>ÖSTERÅKER</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57055-2024</t>
        </is>
      </c>
      <c r="B94" t="inlineStr">
        <is>
          <t>avverkningsanmälan</t>
        </is>
      </c>
      <c r="C94" t="inlineStr">
        <is>
          <t>Föryngringsavverkning</t>
        </is>
      </c>
      <c r="D94" s="1" t="n">
        <v>45629</v>
      </c>
      <c r="E94" s="1" t="n">
        <v>46249</v>
      </c>
      <c r="F94" t="inlineStr">
        <is>
          <t>STOCKHOLMS LÄN</t>
        </is>
      </c>
      <c r="G94" t="inlineStr">
        <is>
          <t>ÖSTERÅKER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26249-2026</t>
        </is>
      </c>
      <c r="B95" t="inlineStr">
        <is>
          <t>avverkningsanmälan</t>
        </is>
      </c>
      <c r="C95" t="inlineStr">
        <is>
          <t>Avverkning för annat ändamål</t>
        </is>
      </c>
      <c r="D95" s="1" t="n">
        <v>46182</v>
      </c>
      <c r="E95" s="1" t="n">
        <v>46249</v>
      </c>
      <c r="F95" t="inlineStr">
        <is>
          <t>STOCKHOLMS LÄN</t>
        </is>
      </c>
      <c r="G95" t="inlineStr">
        <is>
          <t>ÖSTERÅKER</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27137-2025</t>
        </is>
      </c>
      <c r="B96" t="inlineStr">
        <is>
          <t>avverkningsanmälan</t>
        </is>
      </c>
      <c r="C96" t="inlineStr">
        <is>
          <t>Föryngringsavverkning</t>
        </is>
      </c>
      <c r="D96" s="1" t="n">
        <v>45811</v>
      </c>
      <c r="E96" s="1" t="n">
        <v>46249</v>
      </c>
      <c r="F96" t="inlineStr">
        <is>
          <t>STOCKHOLMS LÄN</t>
        </is>
      </c>
      <c r="G96" t="inlineStr">
        <is>
          <t>ÖSTERÅKER</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3326-2022</t>
        </is>
      </c>
      <c r="B97" t="inlineStr">
        <is>
          <t>avverkningsanmälan</t>
        </is>
      </c>
      <c r="C97" t="inlineStr">
        <is>
          <t>Föryngringsavverkning</t>
        </is>
      </c>
      <c r="D97" s="1" t="n">
        <v>44583</v>
      </c>
      <c r="E97" s="1" t="n">
        <v>46249</v>
      </c>
      <c r="F97" t="inlineStr">
        <is>
          <t>STOCKHOLMS LÄN</t>
        </is>
      </c>
      <c r="G97" t="inlineStr">
        <is>
          <t>ÖSTERÅKER</t>
        </is>
      </c>
      <c r="H97" t="inlineStr">
        <is>
          <t>Övriga Aktiebolag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56909-2024</t>
        </is>
      </c>
      <c r="B98" t="inlineStr">
        <is>
          <t>avverkningsanmälan</t>
        </is>
      </c>
      <c r="C98" t="inlineStr">
        <is>
          <t>Avverkning för att bevara och utveckla /försöksver</t>
        </is>
      </c>
      <c r="D98" s="1" t="n">
        <v>45628</v>
      </c>
      <c r="E98" s="1" t="n">
        <v>46249</v>
      </c>
      <c r="F98" t="inlineStr">
        <is>
          <t>STOCKHOLMS LÄN</t>
        </is>
      </c>
      <c r="G98" t="inlineStr">
        <is>
          <t>ÖSTERÅKER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16738-2022</t>
        </is>
      </c>
      <c r="B99" t="inlineStr">
        <is>
          <t>avverkningsanmälan</t>
        </is>
      </c>
      <c r="C99" t="inlineStr">
        <is>
          <t>Avverkning för annat ändamål</t>
        </is>
      </c>
      <c r="D99" s="1" t="n">
        <v>44673</v>
      </c>
      <c r="E99" s="1" t="n">
        <v>46249</v>
      </c>
      <c r="F99" t="inlineStr">
        <is>
          <t>STOCKHOLMS LÄN</t>
        </is>
      </c>
      <c r="G99" t="inlineStr">
        <is>
          <t>ÖSTERÅKER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34034-2025</t>
        </is>
      </c>
      <c r="B100" t="inlineStr">
        <is>
          <t>avverkningsanmälan</t>
        </is>
      </c>
      <c r="C100" t="inlineStr">
        <is>
          <t>Föryngringsavverkning</t>
        </is>
      </c>
      <c r="D100" s="1" t="n">
        <v>45842</v>
      </c>
      <c r="E100" s="1" t="n">
        <v>46249</v>
      </c>
      <c r="F100" t="inlineStr">
        <is>
          <t>STOCKHOLMS LÄN</t>
        </is>
      </c>
      <c r="G100" t="inlineStr">
        <is>
          <t>ÖSTERÅKER</t>
        </is>
      </c>
      <c r="H100" t="inlineStr">
        <is>
          <t>Övriga Aktiebolag</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35819-2025</t>
        </is>
      </c>
      <c r="B101" t="inlineStr">
        <is>
          <t>avverkningsanmälan</t>
        </is>
      </c>
      <c r="C101" t="inlineStr">
        <is>
          <t>Föryngringsavverkning</t>
        </is>
      </c>
      <c r="D101" s="1" t="n">
        <v>45861</v>
      </c>
      <c r="E101" s="1" t="n">
        <v>46249</v>
      </c>
      <c r="F101" t="inlineStr">
        <is>
          <t>STOCKHOLMS LÄN</t>
        </is>
      </c>
      <c r="G101" t="inlineStr">
        <is>
          <t>ÖSTERÅKER</t>
        </is>
      </c>
      <c r="H101" t="inlineStr">
        <is>
          <t>Övriga Aktiebolag</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29443-2026</t>
        </is>
      </c>
      <c r="B102" t="inlineStr">
        <is>
          <t>avverkningsanmälan</t>
        </is>
      </c>
      <c r="C102" t="inlineStr">
        <is>
          <t>Föryngringsavverkning</t>
        </is>
      </c>
      <c r="D102" s="1" t="n">
        <v>46203</v>
      </c>
      <c r="E102" s="1" t="n">
        <v>46249</v>
      </c>
      <c r="F102" t="inlineStr">
        <is>
          <t>STOCKHOLMS LÄN</t>
        </is>
      </c>
      <c r="G102" t="inlineStr">
        <is>
          <t>ÖSTERÅKER</t>
        </is>
      </c>
      <c r="I102" t="n">
        <v>13.8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46249</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46249</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46249</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2026-08-15T08:29:23Z</dcterms:created>
  <dcterms:modified xmlns:dcterms="http://purl.org/dc/terms/" xmlns:xsi="http://www.w3.org/2001/XMLSchema-instance" xsi:type="dcterms:W3CDTF">2026-08-15T08:29:23Z</dcterms:modified>
</cp:coreProperties>
</file>