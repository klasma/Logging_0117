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46136</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46136</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46136</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46136</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46136</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46136</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46136</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46136</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12620-2022</t>
        </is>
      </c>
      <c r="B11" s="1" t="n">
        <v>44638</v>
      </c>
      <c r="C11" s="1" t="n">
        <v>46136</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34717-2025</t>
        </is>
      </c>
      <c r="B12" s="1" t="n">
        <v>45848</v>
      </c>
      <c r="C12" s="1" t="n">
        <v>46136</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HYPERLINK("https://klasma.github.io/Logging_0117/artfynd/A 34717-2025 artfynd.xlsx", "A 34717-2025")</f>
        <v/>
      </c>
      <c r="T12">
        <f>HYPERLINK("https://klasma.github.io/Logging_0117/kartor/A 34717-2025 karta.png", "A 34717-2025")</f>
        <v/>
      </c>
      <c r="V12">
        <f>HYPERLINK("https://klasma.github.io/Logging_0117/klagomål/A 34717-2025 FSC-klagomål.docx", "A 34717-2025")</f>
        <v/>
      </c>
      <c r="W12">
        <f>HYPERLINK("https://klasma.github.io/Logging_0117/klagomålsmail/A 34717-2025 FSC-klagomål mail.docx", "A 34717-2025")</f>
        <v/>
      </c>
      <c r="X12">
        <f>HYPERLINK("https://klasma.github.io/Logging_0117/tillsyn/A 34717-2025 tillsynsbegäran.docx", "A 34717-2025")</f>
        <v/>
      </c>
      <c r="Y12">
        <f>HYPERLINK("https://klasma.github.io/Logging_0117/tillsynsmail/A 34717-2025 tillsynsbegäran mail.docx", "A 34717-2025")</f>
        <v/>
      </c>
    </row>
    <row r="13" ht="15" customHeight="1">
      <c r="A13" t="inlineStr">
        <is>
          <t>A 61275-2021</t>
        </is>
      </c>
      <c r="B13" s="1" t="n">
        <v>44498</v>
      </c>
      <c r="C13" s="1" t="n">
        <v>46136</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46136</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46136</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46136</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34721-2025</t>
        </is>
      </c>
      <c r="B17" s="1" t="n">
        <v>45848</v>
      </c>
      <c r="C17" s="1" t="n">
        <v>46136</v>
      </c>
      <c r="D17" t="inlineStr">
        <is>
          <t>STOCKHOLMS LÄN</t>
        </is>
      </c>
      <c r="E17" t="inlineStr">
        <is>
          <t>ÖSTERÅKER</t>
        </is>
      </c>
      <c r="G17" t="n">
        <v>2.6</v>
      </c>
      <c r="H17" t="n">
        <v>0</v>
      </c>
      <c r="I17" t="n">
        <v>2</v>
      </c>
      <c r="J17" t="n">
        <v>0</v>
      </c>
      <c r="K17" t="n">
        <v>0</v>
      </c>
      <c r="L17" t="n">
        <v>0</v>
      </c>
      <c r="M17" t="n">
        <v>0</v>
      </c>
      <c r="N17" t="n">
        <v>0</v>
      </c>
      <c r="O17" t="n">
        <v>0</v>
      </c>
      <c r="P17" t="n">
        <v>0</v>
      </c>
      <c r="Q17" t="n">
        <v>2</v>
      </c>
      <c r="R17" s="2" t="inlineStr">
        <is>
          <t>Skuggblåslav
Västlig hakmossa</t>
        </is>
      </c>
      <c r="S17">
        <f>HYPERLINK("https://klasma.github.io/Logging_0117/artfynd/A 34721-2025 artfynd.xlsx", "A 34721-2025")</f>
        <v/>
      </c>
      <c r="T17">
        <f>HYPERLINK("https://klasma.github.io/Logging_0117/kartor/A 34721-2025 karta.png", "A 34721-2025")</f>
        <v/>
      </c>
      <c r="V17">
        <f>HYPERLINK("https://klasma.github.io/Logging_0117/klagomål/A 34721-2025 FSC-klagomål.docx", "A 34721-2025")</f>
        <v/>
      </c>
      <c r="W17">
        <f>HYPERLINK("https://klasma.github.io/Logging_0117/klagomålsmail/A 34721-2025 FSC-klagomål mail.docx", "A 34721-2025")</f>
        <v/>
      </c>
      <c r="X17">
        <f>HYPERLINK("https://klasma.github.io/Logging_0117/tillsyn/A 34721-2025 tillsynsbegäran.docx", "A 34721-2025")</f>
        <v/>
      </c>
      <c r="Y17">
        <f>HYPERLINK("https://klasma.github.io/Logging_0117/tillsynsmail/A 34721-2025 tillsynsbegäran mail.docx", "A 34721-2025")</f>
        <v/>
      </c>
    </row>
    <row r="18" ht="15" customHeight="1">
      <c r="A18" t="inlineStr">
        <is>
          <t>A 62578-2025</t>
        </is>
      </c>
      <c r="B18" s="1" t="n">
        <v>46007</v>
      </c>
      <c r="C18" s="1" t="n">
        <v>46136</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46136</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46136</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46136</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46136</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46136</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46136</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46136</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46136</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46136</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46136</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46136</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46136</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46136</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46136</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46136</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46136</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46136</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46136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46136</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46136</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46136</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46136</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46136</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46136</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46136</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46136</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46136</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46136</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46136</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5038-2026</t>
        </is>
      </c>
      <c r="B55" s="1" t="n">
        <v>46049.46427083333</v>
      </c>
      <c r="C55" s="1" t="n">
        <v>46136</v>
      </c>
      <c r="D55" t="inlineStr">
        <is>
          <t>STOCKHOLMS LÄN</t>
        </is>
      </c>
      <c r="E55" t="inlineStr">
        <is>
          <t>ÖSTERÅKER</t>
        </is>
      </c>
      <c r="G55" t="n">
        <v>2.1</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46136</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46136</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46136</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3917-2023</t>
        </is>
      </c>
      <c r="B59" s="1" t="n">
        <v>44952</v>
      </c>
      <c r="C59" s="1" t="n">
        <v>46136</v>
      </c>
      <c r="D59" t="inlineStr">
        <is>
          <t>STOCKHOLMS LÄN</t>
        </is>
      </c>
      <c r="E59" t="inlineStr">
        <is>
          <t>ÖSTERÅKER</t>
        </is>
      </c>
      <c r="F59" t="inlineStr">
        <is>
          <t>Kommuner</t>
        </is>
      </c>
      <c r="G59" t="n">
        <v>2.8</v>
      </c>
      <c r="H59" t="n">
        <v>0</v>
      </c>
      <c r="I59" t="n">
        <v>0</v>
      </c>
      <c r="J59" t="n">
        <v>0</v>
      </c>
      <c r="K59" t="n">
        <v>0</v>
      </c>
      <c r="L59" t="n">
        <v>0</v>
      </c>
      <c r="M59" t="n">
        <v>0</v>
      </c>
      <c r="N59" t="n">
        <v>0</v>
      </c>
      <c r="O59" t="n">
        <v>0</v>
      </c>
      <c r="P59" t="n">
        <v>0</v>
      </c>
      <c r="Q59" t="n">
        <v>0</v>
      </c>
      <c r="R59" s="2" t="inlineStr"/>
    </row>
    <row r="60" ht="15" customHeight="1">
      <c r="A60" t="inlineStr">
        <is>
          <t>A 34034-2025</t>
        </is>
      </c>
      <c r="B60" s="1" t="n">
        <v>45842</v>
      </c>
      <c r="C60" s="1" t="n">
        <v>46136</v>
      </c>
      <c r="D60" t="inlineStr">
        <is>
          <t>STOCKHOLMS LÄN</t>
        </is>
      </c>
      <c r="E60" t="inlineStr">
        <is>
          <t>ÖSTERÅKER</t>
        </is>
      </c>
      <c r="F60" t="inlineStr">
        <is>
          <t>Övriga Aktiebolag</t>
        </is>
      </c>
      <c r="G60" t="n">
        <v>3.9</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46136</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46136</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46136</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46136</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46136</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544-2023</t>
        </is>
      </c>
      <c r="B66" s="1" t="n">
        <v>44924</v>
      </c>
      <c r="C66" s="1" t="n">
        <v>46136</v>
      </c>
      <c r="D66" t="inlineStr">
        <is>
          <t>STOCKHOLMS LÄN</t>
        </is>
      </c>
      <c r="E66" t="inlineStr">
        <is>
          <t>ÖSTERÅKER</t>
        </is>
      </c>
      <c r="F66" t="inlineStr">
        <is>
          <t>Övriga Aktiebolag</t>
        </is>
      </c>
      <c r="G66" t="n">
        <v>0.9</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46136</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46136</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62839-2025</t>
        </is>
      </c>
      <c r="B69" s="1" t="n">
        <v>46008</v>
      </c>
      <c r="C69" s="1" t="n">
        <v>46136</v>
      </c>
      <c r="D69" t="inlineStr">
        <is>
          <t>STOCKHOLMS LÄN</t>
        </is>
      </c>
      <c r="E69" t="inlineStr">
        <is>
          <t>ÖSTERÅKER</t>
        </is>
      </c>
      <c r="G69" t="n">
        <v>1.4</v>
      </c>
      <c r="H69" t="n">
        <v>0</v>
      </c>
      <c r="I69" t="n">
        <v>0</v>
      </c>
      <c r="J69" t="n">
        <v>0</v>
      </c>
      <c r="K69" t="n">
        <v>0</v>
      </c>
      <c r="L69" t="n">
        <v>0</v>
      </c>
      <c r="M69" t="n">
        <v>0</v>
      </c>
      <c r="N69" t="n">
        <v>0</v>
      </c>
      <c r="O69" t="n">
        <v>0</v>
      </c>
      <c r="P69" t="n">
        <v>0</v>
      </c>
      <c r="Q69" t="n">
        <v>0</v>
      </c>
      <c r="R69" s="2" t="inlineStr"/>
    </row>
    <row r="70" ht="15" customHeight="1">
      <c r="A70" t="inlineStr">
        <is>
          <t>A 62831-2025</t>
        </is>
      </c>
      <c r="B70" s="1" t="n">
        <v>46008</v>
      </c>
      <c r="C70" s="1" t="n">
        <v>46136</v>
      </c>
      <c r="D70" t="inlineStr">
        <is>
          <t>STOCKHOLMS LÄN</t>
        </is>
      </c>
      <c r="E70" t="inlineStr">
        <is>
          <t>ÖSTERÅKER</t>
        </is>
      </c>
      <c r="G70" t="n">
        <v>1.2</v>
      </c>
      <c r="H70" t="n">
        <v>0</v>
      </c>
      <c r="I70" t="n">
        <v>0</v>
      </c>
      <c r="J70" t="n">
        <v>0</v>
      </c>
      <c r="K70" t="n">
        <v>0</v>
      </c>
      <c r="L70" t="n">
        <v>0</v>
      </c>
      <c r="M70" t="n">
        <v>0</v>
      </c>
      <c r="N70" t="n">
        <v>0</v>
      </c>
      <c r="O70" t="n">
        <v>0</v>
      </c>
      <c r="P70" t="n">
        <v>0</v>
      </c>
      <c r="Q70" t="n">
        <v>0</v>
      </c>
      <c r="R70" s="2" t="inlineStr"/>
    </row>
    <row r="71" ht="15" customHeight="1">
      <c r="A71" t="inlineStr">
        <is>
          <t>A 12345-2026</t>
        </is>
      </c>
      <c r="B71" s="1" t="n">
        <v>46087.67776620371</v>
      </c>
      <c r="C71" s="1" t="n">
        <v>46136</v>
      </c>
      <c r="D71" t="inlineStr">
        <is>
          <t>STOCKHOLMS LÄN</t>
        </is>
      </c>
      <c r="E71" t="inlineStr">
        <is>
          <t>ÖSTERÅKER</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46136</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34713-2025</t>
        </is>
      </c>
      <c r="B73" s="1" t="n">
        <v>45848</v>
      </c>
      <c r="C73" s="1" t="n">
        <v>46136</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31575-2022</t>
        </is>
      </c>
      <c r="B74" s="1" t="n">
        <v>44775.45063657407</v>
      </c>
      <c r="C74" s="1" t="n">
        <v>46136</v>
      </c>
      <c r="D74" t="inlineStr">
        <is>
          <t>STOCKHOLMS LÄN</t>
        </is>
      </c>
      <c r="E74" t="inlineStr">
        <is>
          <t>ÖSTERÅKER</t>
        </is>
      </c>
      <c r="G74" t="n">
        <v>5</v>
      </c>
      <c r="H74" t="n">
        <v>0</v>
      </c>
      <c r="I74" t="n">
        <v>0</v>
      </c>
      <c r="J74" t="n">
        <v>0</v>
      </c>
      <c r="K74" t="n">
        <v>0</v>
      </c>
      <c r="L74" t="n">
        <v>0</v>
      </c>
      <c r="M74" t="n">
        <v>0</v>
      </c>
      <c r="N74" t="n">
        <v>0</v>
      </c>
      <c r="O74" t="n">
        <v>0</v>
      </c>
      <c r="P74" t="n">
        <v>0</v>
      </c>
      <c r="Q74" t="n">
        <v>0</v>
      </c>
      <c r="R74" s="2" t="inlineStr"/>
    </row>
    <row r="75" ht="15" customHeight="1">
      <c r="A75" t="inlineStr">
        <is>
          <t>A 33158-2024</t>
        </is>
      </c>
      <c r="B75" s="1" t="n">
        <v>45518</v>
      </c>
      <c r="C75" s="1" t="n">
        <v>46136</v>
      </c>
      <c r="D75" t="inlineStr">
        <is>
          <t>STOCKHOLMS LÄN</t>
        </is>
      </c>
      <c r="E75" t="inlineStr">
        <is>
          <t>ÖSTERÅKER</t>
        </is>
      </c>
      <c r="G75" t="n">
        <v>1.6</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46136</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46136</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62108-2022</t>
        </is>
      </c>
      <c r="B78" s="1" t="n">
        <v>44920</v>
      </c>
      <c r="C78" s="1" t="n">
        <v>46136</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52220-2025</t>
        </is>
      </c>
      <c r="B79" s="1" t="n">
        <v>45953</v>
      </c>
      <c r="C79" s="1" t="n">
        <v>46136</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46136</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31134-2023</t>
        </is>
      </c>
      <c r="B81" s="1" t="n">
        <v>45113</v>
      </c>
      <c r="C81" s="1" t="n">
        <v>46136</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57048-2024</t>
        </is>
      </c>
      <c r="B82" s="1" t="n">
        <v>45629.33938657407</v>
      </c>
      <c r="C82" s="1" t="n">
        <v>46136</v>
      </c>
      <c r="D82" t="inlineStr">
        <is>
          <t>STOCKHOLMS LÄN</t>
        </is>
      </c>
      <c r="E82" t="inlineStr">
        <is>
          <t>ÖSTERÅKER</t>
        </is>
      </c>
      <c r="G82" t="n">
        <v>3</v>
      </c>
      <c r="H82" t="n">
        <v>0</v>
      </c>
      <c r="I82" t="n">
        <v>0</v>
      </c>
      <c r="J82" t="n">
        <v>0</v>
      </c>
      <c r="K82" t="n">
        <v>0</v>
      </c>
      <c r="L82" t="n">
        <v>0</v>
      </c>
      <c r="M82" t="n">
        <v>0</v>
      </c>
      <c r="N82" t="n">
        <v>0</v>
      </c>
      <c r="O82" t="n">
        <v>0</v>
      </c>
      <c r="P82" t="n">
        <v>0</v>
      </c>
      <c r="Q82" t="n">
        <v>0</v>
      </c>
      <c r="R82" s="2" t="inlineStr"/>
    </row>
    <row r="83" ht="15" customHeight="1">
      <c r="A83" t="inlineStr">
        <is>
          <t>A 57055-2024</t>
        </is>
      </c>
      <c r="B83" s="1" t="n">
        <v>45629.34627314815</v>
      </c>
      <c r="C83" s="1" t="n">
        <v>46136</v>
      </c>
      <c r="D83" t="inlineStr">
        <is>
          <t>STOCKHOLMS LÄN</t>
        </is>
      </c>
      <c r="E83" t="inlineStr">
        <is>
          <t>ÖSTERÅKER</t>
        </is>
      </c>
      <c r="G83" t="n">
        <v>0.5</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46136</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46136</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46136</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46136</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46136</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60482-2025</t>
        </is>
      </c>
      <c r="B89" s="1" t="n">
        <v>45995.59832175926</v>
      </c>
      <c r="C89" s="1" t="n">
        <v>46136</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61781-2025</t>
        </is>
      </c>
      <c r="B90" s="1" t="n">
        <v>46002</v>
      </c>
      <c r="C90" s="1" t="n">
        <v>46136</v>
      </c>
      <c r="D90" t="inlineStr">
        <is>
          <t>STOCKHOLMS LÄN</t>
        </is>
      </c>
      <c r="E90" t="inlineStr">
        <is>
          <t>ÖSTERÅKER</t>
        </is>
      </c>
      <c r="G90" t="n">
        <v>4.9</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46136</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10185-2025</t>
        </is>
      </c>
      <c r="B92" s="1" t="n">
        <v>45719</v>
      </c>
      <c r="C92" s="1" t="n">
        <v>46136</v>
      </c>
      <c r="D92" t="inlineStr">
        <is>
          <t>STOCKHOLMS LÄN</t>
        </is>
      </c>
      <c r="E92" t="inlineStr">
        <is>
          <t>ÖSTERÅKER</t>
        </is>
      </c>
      <c r="G92" t="n">
        <v>4.1</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46136</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46136</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46136</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46136</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46136</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46136</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46136</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46136</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46136</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46136</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46136</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45043.6433912037</v>
      </c>
      <c r="C104" s="1" t="n">
        <v>46136</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46136</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39394-2023</t>
        </is>
      </c>
      <c r="B106" s="1" t="n">
        <v>45166</v>
      </c>
      <c r="C106" s="1" t="n">
        <v>46136</v>
      </c>
      <c r="D106" t="inlineStr">
        <is>
          <t>STOCKHOLMS LÄN</t>
        </is>
      </c>
      <c r="E106" t="inlineStr">
        <is>
          <t>ÖSTERÅKER</t>
        </is>
      </c>
      <c r="G106" t="n">
        <v>0.4</v>
      </c>
      <c r="H106" t="n">
        <v>0</v>
      </c>
      <c r="I106" t="n">
        <v>0</v>
      </c>
      <c r="J106" t="n">
        <v>0</v>
      </c>
      <c r="K106" t="n">
        <v>0</v>
      </c>
      <c r="L106" t="n">
        <v>0</v>
      </c>
      <c r="M106" t="n">
        <v>0</v>
      </c>
      <c r="N106" t="n">
        <v>0</v>
      </c>
      <c r="O106" t="n">
        <v>0</v>
      </c>
      <c r="P106" t="n">
        <v>0</v>
      </c>
      <c r="Q106" t="n">
        <v>0</v>
      </c>
      <c r="R106" s="2" t="inlineStr"/>
    </row>
    <row r="107" ht="15" customHeight="1">
      <c r="A107" t="inlineStr">
        <is>
          <t>A 30949-2024</t>
        </is>
      </c>
      <c r="B107" s="1" t="n">
        <v>45499</v>
      </c>
      <c r="C107" s="1" t="n">
        <v>46136</v>
      </c>
      <c r="D107" t="inlineStr">
        <is>
          <t>STOCKHOLMS LÄN</t>
        </is>
      </c>
      <c r="E107" t="inlineStr">
        <is>
          <t>ÖSTERÅKER</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845-2024</t>
        </is>
      </c>
      <c r="B108" s="1" t="n">
        <v>45300.91423611111</v>
      </c>
      <c r="C108" s="1" t="n">
        <v>46136</v>
      </c>
      <c r="D108" t="inlineStr">
        <is>
          <t>STOCKHOLMS LÄN</t>
        </is>
      </c>
      <c r="E108" t="inlineStr">
        <is>
          <t>ÖSTERÅKER</t>
        </is>
      </c>
      <c r="G108" t="n">
        <v>10.1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46136</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19404-2024</t>
        </is>
      </c>
      <c r="B110" s="1" t="n">
        <v>45428</v>
      </c>
      <c r="C110" s="1" t="n">
        <v>46136</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46136</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21786-2025</t>
        </is>
      </c>
      <c r="B112" s="1" t="n">
        <v>45783.67215277778</v>
      </c>
      <c r="C112" s="1" t="n">
        <v>46136</v>
      </c>
      <c r="D112" t="inlineStr">
        <is>
          <t>STOCKHOLMS LÄN</t>
        </is>
      </c>
      <c r="E112" t="inlineStr">
        <is>
          <t>ÖSTERÅKER</t>
        </is>
      </c>
      <c r="G112" t="n">
        <v>3.8</v>
      </c>
      <c r="H112" t="n">
        <v>0</v>
      </c>
      <c r="I112" t="n">
        <v>0</v>
      </c>
      <c r="J112" t="n">
        <v>0</v>
      </c>
      <c r="K112" t="n">
        <v>0</v>
      </c>
      <c r="L112" t="n">
        <v>0</v>
      </c>
      <c r="M112" t="n">
        <v>0</v>
      </c>
      <c r="N112" t="n">
        <v>0</v>
      </c>
      <c r="O112" t="n">
        <v>0</v>
      </c>
      <c r="P112" t="n">
        <v>0</v>
      </c>
      <c r="Q112" t="n">
        <v>0</v>
      </c>
      <c r="R112" s="2" t="inlineStr"/>
    </row>
    <row r="113">
      <c r="A113" t="inlineStr">
        <is>
          <t>A 21796-2025</t>
        </is>
      </c>
      <c r="B113" s="1" t="n">
        <v>45783.68135416666</v>
      </c>
      <c r="C113" s="1" t="n">
        <v>46136</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2026-04-24T10:50:59Z</dcterms:created>
  <dcterms:modified xmlns:dcterms="http://purl.org/dc/terms/" xmlns:xsi="http://www.w3.org/2001/XMLSchema-instance" xsi:type="dcterms:W3CDTF">2026-04-24T10:50:59Z</dcterms:modified>
</cp:coreProperties>
</file>