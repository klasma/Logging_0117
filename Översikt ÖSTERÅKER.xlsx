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46303</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46303</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46303</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46303</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46303</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46303</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46303</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46303</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31523-2022</t>
        </is>
      </c>
      <c r="B10" t="inlineStr">
        <is>
          <t>avverkningsanmälan</t>
        </is>
      </c>
      <c r="C10" t="inlineStr">
        <is>
          <t>Föryngringsavverkning</t>
        </is>
      </c>
      <c r="D10" s="1" t="n">
        <v>44775</v>
      </c>
      <c r="E10" s="1" t="n">
        <v>46303</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37244-2024</t>
        </is>
      </c>
      <c r="B11" t="inlineStr">
        <is>
          <t>avverkningsanmälan</t>
        </is>
      </c>
      <c r="C11" t="inlineStr">
        <is>
          <t>Föryngringsavverkning</t>
        </is>
      </c>
      <c r="D11" s="1" t="n">
        <v>45540</v>
      </c>
      <c r="E11" s="1" t="n">
        <v>46303</v>
      </c>
      <c r="F11" t="inlineStr">
        <is>
          <t>STOCKHOLMS LÄN</t>
        </is>
      </c>
      <c r="G11" t="inlineStr">
        <is>
          <t>ÖSTERÅKER</t>
        </is>
      </c>
      <c r="I11" t="n">
        <v>2.6</v>
      </c>
      <c r="J11" t="n">
        <v>1</v>
      </c>
      <c r="K11" t="n">
        <v>1</v>
      </c>
      <c r="L11" t="n">
        <v>3</v>
      </c>
      <c r="M11" t="n">
        <v>0</v>
      </c>
      <c r="N11" t="n">
        <v>0</v>
      </c>
      <c r="O11" t="n">
        <v>0</v>
      </c>
      <c r="P11" t="n">
        <v>0</v>
      </c>
      <c r="Q11" t="n">
        <v>3</v>
      </c>
      <c r="R11" t="n">
        <v>0</v>
      </c>
      <c r="S11" t="n">
        <v>4</v>
      </c>
      <c r="T11" t="n">
        <v>5</v>
      </c>
      <c r="U11" t="n">
        <v>1</v>
      </c>
      <c r="V11" s="2" t="inlineStr">
        <is>
          <t>Tallticka
Talltita
Vedskivlav
Grovticka</t>
        </is>
      </c>
      <c r="W11">
        <f>HYPERLINK("https://klasma.github.io/Logging_0117/artfynd/A 37244-2024 artfynd.xlsx", "A 37244-2024")</f>
        <v/>
      </c>
      <c r="X11">
        <f>HYPERLINK("https://klasma.github.io/Logging_0117/kartor/A 37244-2024 karta.png", "A 37244-2024")</f>
        <v/>
      </c>
      <c r="Y11">
        <f>HYPERLINK("https://klasma.github.io/Logging_0117/kartor_geotiff/A 37244-2024 georefererad karta.tif", "A 37244-2024")</f>
        <v/>
      </c>
      <c r="AA11">
        <f>HYPERLINK("https://klasma.github.io/Logging_0117/klagomål/A 37244-2024 FSC-klagomål.docx", "A 37244-2024")</f>
        <v/>
      </c>
      <c r="AB11">
        <f>HYPERLINK("https://klasma.github.io/Logging_0117/klagomålsmail/A 37244-2024 FSC-klagomål mail.docx", "A 37244-2024")</f>
        <v/>
      </c>
      <c r="AC11">
        <f>HYPERLINK("https://klasma.github.io/Logging_0117/tillsyn/A 37244-2024 tillsynsbegäran.docx", "A 37244-2024")</f>
        <v/>
      </c>
      <c r="AD11">
        <f>HYPERLINK("https://klasma.github.io/Logging_0117/tillsynsmail/A 37244-2024 tillsynsbegäran mail.docx", "A 37244-2024")</f>
        <v/>
      </c>
      <c r="AE11">
        <f>HYPERLINK("https://klasma.github.io/Logging_0117/fåglar/A 37244-2024 prioriterade fågelarter.docx", "A 37244-2024")</f>
        <v/>
      </c>
    </row>
    <row r="12" ht="15" customHeight="1">
      <c r="A12" t="inlineStr">
        <is>
          <t>A 3914-2023</t>
        </is>
      </c>
      <c r="B12" t="inlineStr">
        <is>
          <t>avverkningsanmälan</t>
        </is>
      </c>
      <c r="C12" t="inlineStr">
        <is>
          <t>Föryngringsavverkning</t>
        </is>
      </c>
      <c r="D12" s="1" t="n">
        <v>44952</v>
      </c>
      <c r="E12" s="1" t="n">
        <v>46303</v>
      </c>
      <c r="F12" t="inlineStr">
        <is>
          <t>STOCKHOLMS LÄN</t>
        </is>
      </c>
      <c r="G12" t="inlineStr">
        <is>
          <t>ÖSTERÅKER</t>
        </is>
      </c>
      <c r="H12" t="inlineStr">
        <is>
          <t>Kommuner</t>
        </is>
      </c>
      <c r="I12" t="n">
        <v>15.3</v>
      </c>
      <c r="J12" t="n">
        <v>4</v>
      </c>
      <c r="K12" t="n">
        <v>0</v>
      </c>
      <c r="L12" t="n">
        <v>1</v>
      </c>
      <c r="M12" t="n">
        <v>0</v>
      </c>
      <c r="N12" t="n">
        <v>0</v>
      </c>
      <c r="O12" t="n">
        <v>0</v>
      </c>
      <c r="P12" t="n">
        <v>0</v>
      </c>
      <c r="Q12" t="n">
        <v>1</v>
      </c>
      <c r="R12" t="n">
        <v>0</v>
      </c>
      <c r="S12" t="n">
        <v>4</v>
      </c>
      <c r="T12" t="n">
        <v>7</v>
      </c>
      <c r="U12" t="n">
        <v>1</v>
      </c>
      <c r="V12" s="2" t="inlineStr">
        <is>
          <t>Järnsparv
Gröngöling
Kråka
Kungsfågel</t>
        </is>
      </c>
      <c r="W12">
        <f>HYPERLINK("https://klasma.github.io/Logging_0117/artfynd/A 3914-2023 artfynd.xlsx", "A 3914-2023")</f>
        <v/>
      </c>
      <c r="X12">
        <f>HYPERLINK("https://klasma.github.io/Logging_0117/kartor/A 3914-2023 karta.png", "A 3914-2023")</f>
        <v/>
      </c>
      <c r="Y12">
        <f>HYPERLINK("https://klasma.github.io/Logging_0117/kartor_geotiff/A 3914-2023 georefererad karta.tif", "A 3914-2023")</f>
        <v/>
      </c>
      <c r="AA12">
        <f>HYPERLINK("https://klasma.github.io/Logging_0117/klagomål/A 3914-2023 FSC-klagomål.docx", "A 3914-2023")</f>
        <v/>
      </c>
      <c r="AB12">
        <f>HYPERLINK("https://klasma.github.io/Logging_0117/klagomålsmail/A 3914-2023 FSC-klagomål mail.docx", "A 3914-2023")</f>
        <v/>
      </c>
      <c r="AC12">
        <f>HYPERLINK("https://klasma.github.io/Logging_0117/tillsyn/A 3914-2023 tillsynsbegäran.docx", "A 3914-2023")</f>
        <v/>
      </c>
      <c r="AD12">
        <f>HYPERLINK("https://klasma.github.io/Logging_0117/tillsynsmail/A 3914-2023 tillsynsbegäran mail.docx", "A 3914-2023")</f>
        <v/>
      </c>
      <c r="AE12">
        <f>HYPERLINK("https://klasma.github.io/Logging_0117/fåglar/A 3914-2023 prioriterade fågelarter.docx", "A 3914-2023")</f>
        <v/>
      </c>
    </row>
    <row r="13" ht="15" customHeight="1">
      <c r="A13" t="inlineStr">
        <is>
          <t>A 12620-2022</t>
        </is>
      </c>
      <c r="B13" t="inlineStr">
        <is>
          <t>avverkningsanmälan</t>
        </is>
      </c>
      <c r="C13" t="inlineStr">
        <is>
          <t>Föryngringsavverkning</t>
        </is>
      </c>
      <c r="D13" s="1" t="n">
        <v>44638</v>
      </c>
      <c r="E13" s="1" t="n">
        <v>46303</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27948-2025</t>
        </is>
      </c>
      <c r="B14" t="inlineStr">
        <is>
          <t>avverkningsanmälan</t>
        </is>
      </c>
      <c r="C14" t="inlineStr">
        <is>
          <t>Föryngringsavverkning</t>
        </is>
      </c>
      <c r="D14" s="1" t="n">
        <v>45817</v>
      </c>
      <c r="E14" s="1" t="n">
        <v>46303</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62578-2025</t>
        </is>
      </c>
      <c r="B15" t="inlineStr">
        <is>
          <t>avverkningsanmälan</t>
        </is>
      </c>
      <c r="C15" t="inlineStr">
        <is>
          <t>Föryngringsavverkning</t>
        </is>
      </c>
      <c r="D15" s="1" t="n">
        <v>46007</v>
      </c>
      <c r="E15" s="1" t="n">
        <v>46303</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54703-2024</t>
        </is>
      </c>
      <c r="B16" t="inlineStr">
        <is>
          <t>avverkningsanmälan</t>
        </is>
      </c>
      <c r="C16" t="inlineStr">
        <is>
          <t>Avverkning för annat ändamål</t>
        </is>
      </c>
      <c r="D16" s="1" t="n">
        <v>45618</v>
      </c>
      <c r="E16" s="1" t="n">
        <v>46303</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61363-2022</t>
        </is>
      </c>
      <c r="B17" t="inlineStr">
        <is>
          <t>avverkningsanmälan</t>
        </is>
      </c>
      <c r="C17" t="inlineStr">
        <is>
          <t>Föryngringsavverkning</t>
        </is>
      </c>
      <c r="D17" s="1" t="n">
        <v>44915</v>
      </c>
      <c r="E17" s="1" t="n">
        <v>46303</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67244-2021</t>
        </is>
      </c>
      <c r="B18" t="inlineStr">
        <is>
          <t>avverkningsanmälan</t>
        </is>
      </c>
      <c r="C18" t="inlineStr">
        <is>
          <t>Avverkning för annat ändamål</t>
        </is>
      </c>
      <c r="D18" s="1" t="n">
        <v>44523</v>
      </c>
      <c r="E18" s="1" t="n">
        <v>46303</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46303</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46303</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46303</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46303</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46303</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46303</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62839-2025</t>
        </is>
      </c>
      <c r="B25" t="inlineStr">
        <is>
          <t>avverkningsanmälan</t>
        </is>
      </c>
      <c r="C25" t="inlineStr">
        <is>
          <t>Föryngringsavverkning</t>
        </is>
      </c>
      <c r="D25" s="1" t="n">
        <v>46008</v>
      </c>
      <c r="E25" s="1" t="n">
        <v>46303</v>
      </c>
      <c r="F25" t="inlineStr">
        <is>
          <t>STOCKHOLMS LÄN</t>
        </is>
      </c>
      <c r="G25" t="inlineStr">
        <is>
          <t>ÖSTERÅKER</t>
        </is>
      </c>
      <c r="I25" t="n">
        <v>1.4</v>
      </c>
      <c r="J25" t="n">
        <v>0</v>
      </c>
      <c r="K25" t="n">
        <v>0</v>
      </c>
      <c r="L25" t="n">
        <v>1</v>
      </c>
      <c r="M25" t="n">
        <v>0</v>
      </c>
      <c r="N25" t="n">
        <v>0</v>
      </c>
      <c r="O25" t="n">
        <v>0</v>
      </c>
      <c r="P25" t="n">
        <v>0</v>
      </c>
      <c r="Q25" t="n">
        <v>1</v>
      </c>
      <c r="R25" t="n">
        <v>0</v>
      </c>
      <c r="S25" t="n">
        <v>1</v>
      </c>
      <c r="T25" t="n">
        <v>1</v>
      </c>
      <c r="U25" t="n">
        <v>0</v>
      </c>
      <c r="V25" s="2" t="inlineStr">
        <is>
          <t>Gullpudra</t>
        </is>
      </c>
      <c r="W25">
        <f>HYPERLINK("https://klasma.github.io/Logging_0117/artfynd/A 62839-2025 artfynd.xlsx", "A 62839-2025")</f>
        <v/>
      </c>
      <c r="X25">
        <f>HYPERLINK("https://klasma.github.io/Logging_0117/kartor/A 62839-2025 karta.png", "A 62839-2025")</f>
        <v/>
      </c>
      <c r="Y25">
        <f>HYPERLINK("https://klasma.github.io/Logging_0117/kartor_geotiff/A 62839-2025 georefererad karta.tif", "A 62839-2025")</f>
        <v/>
      </c>
      <c r="AA25">
        <f>HYPERLINK("https://klasma.github.io/Logging_0117/klagomål/A 62839-2025 FSC-klagomål.docx", "A 62839-2025")</f>
        <v/>
      </c>
      <c r="AB25">
        <f>HYPERLINK("https://klasma.github.io/Logging_0117/klagomålsmail/A 62839-2025 FSC-klagomål mail.docx", "A 62839-2025")</f>
        <v/>
      </c>
      <c r="AC25">
        <f>HYPERLINK("https://klasma.github.io/Logging_0117/tillsyn/A 62839-2025 tillsynsbegäran.docx", "A 62839-2025")</f>
        <v/>
      </c>
      <c r="AD25">
        <f>HYPERLINK("https://klasma.github.io/Logging_0117/tillsynsmail/A 62839-2025 tillsynsbegäran mail.docx", "A 62839-2025")</f>
        <v/>
      </c>
    </row>
    <row r="26" ht="15" customHeight="1">
      <c r="A26" t="inlineStr">
        <is>
          <t>A 62831-2025</t>
        </is>
      </c>
      <c r="B26" t="inlineStr">
        <is>
          <t>avverkningsanmälan</t>
        </is>
      </c>
      <c r="C26" t="inlineStr">
        <is>
          <t>Föryngringsavverkning</t>
        </is>
      </c>
      <c r="D26" s="1" t="n">
        <v>46008</v>
      </c>
      <c r="E26" s="1" t="n">
        <v>46303</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67265-2021</t>
        </is>
      </c>
      <c r="B27" t="inlineStr">
        <is>
          <t>avverkningsanmälan</t>
        </is>
      </c>
      <c r="C27" t="inlineStr">
        <is>
          <t>Föryngringsavverkning</t>
        </is>
      </c>
      <c r="D27" s="1" t="n">
        <v>44523</v>
      </c>
      <c r="E27" s="1" t="n">
        <v>46303</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46303</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46303</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46303</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46303</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46303</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46303</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46303</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46303</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46303</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46303</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46303</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18091-2022</t>
        </is>
      </c>
      <c r="B39" t="inlineStr">
        <is>
          <t>avverkningsanmälan</t>
        </is>
      </c>
      <c r="C39" t="inlineStr">
        <is>
          <t>Föryngringsavverkning</t>
        </is>
      </c>
      <c r="D39" s="1" t="n">
        <v>44684</v>
      </c>
      <c r="E39" s="1" t="n">
        <v>46303</v>
      </c>
      <c r="F39" t="inlineStr">
        <is>
          <t>STOCKHOLMS LÄN</t>
        </is>
      </c>
      <c r="G39" t="inlineStr">
        <is>
          <t>ÖSTERÅKER</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17173-2022</t>
        </is>
      </c>
      <c r="B40" t="inlineStr">
        <is>
          <t>avverkningsanmälan</t>
        </is>
      </c>
      <c r="C40" t="inlineStr">
        <is>
          <t>Föryngringsavverkning</t>
        </is>
      </c>
      <c r="D40" s="1" t="n">
        <v>44677</v>
      </c>
      <c r="E40" s="1" t="n">
        <v>46303</v>
      </c>
      <c r="F40" t="inlineStr">
        <is>
          <t>STOCKHOLMS LÄN</t>
        </is>
      </c>
      <c r="G40" t="inlineStr">
        <is>
          <t>ÖSTERÅKER</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28399-2022</t>
        </is>
      </c>
      <c r="B41" t="inlineStr">
        <is>
          <t>avverkningsanmälan</t>
        </is>
      </c>
      <c r="C41" t="inlineStr">
        <is>
          <t>Föryngringsavverkning</t>
        </is>
      </c>
      <c r="D41" s="1" t="n">
        <v>44747</v>
      </c>
      <c r="E41" s="1" t="n">
        <v>46303</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10082-2022</t>
        </is>
      </c>
      <c r="B42" t="inlineStr">
        <is>
          <t>avverkningsanmälan</t>
        </is>
      </c>
      <c r="C42" t="inlineStr">
        <is>
          <t>Föryngringsavverkning</t>
        </is>
      </c>
      <c r="D42" s="1" t="n">
        <v>44621</v>
      </c>
      <c r="E42" s="1" t="n">
        <v>46303</v>
      </c>
      <c r="F42" t="inlineStr">
        <is>
          <t>STOCKHOLMS LÄN</t>
        </is>
      </c>
      <c r="G42" t="inlineStr">
        <is>
          <t>ÖSTERÅKER</t>
        </is>
      </c>
      <c r="I42" t="n">
        <v>6</v>
      </c>
      <c r="J42" t="n">
        <v>0</v>
      </c>
      <c r="K42" t="n">
        <v>0</v>
      </c>
      <c r="L42" t="n">
        <v>0</v>
      </c>
      <c r="M42" t="n">
        <v>0</v>
      </c>
      <c r="N42" t="n">
        <v>0</v>
      </c>
      <c r="O42" t="n">
        <v>0</v>
      </c>
      <c r="P42" t="n">
        <v>0</v>
      </c>
      <c r="Q42" t="n">
        <v>0</v>
      </c>
      <c r="R42" t="n">
        <v>0</v>
      </c>
      <c r="S42" t="n">
        <v>0</v>
      </c>
      <c r="T42" t="n">
        <v>0</v>
      </c>
      <c r="U42" t="n">
        <v>0</v>
      </c>
      <c r="V42" s="2" t="inlineStr"/>
    </row>
    <row r="43" ht="15" customHeight="1">
      <c r="A43" t="inlineStr">
        <is>
          <t>A 28964-2022</t>
        </is>
      </c>
      <c r="B43" t="inlineStr">
        <is>
          <t>avverkningsanmälan</t>
        </is>
      </c>
      <c r="C43" t="inlineStr">
        <is>
          <t>Föryngringsavverkning</t>
        </is>
      </c>
      <c r="D43" s="1" t="n">
        <v>44749</v>
      </c>
      <c r="E43" s="1" t="n">
        <v>46303</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470-2022</t>
        </is>
      </c>
      <c r="B44" t="inlineStr">
        <is>
          <t>avverkningsanmälan</t>
        </is>
      </c>
      <c r="C44" t="inlineStr">
        <is>
          <t>Föryngringsavverkning</t>
        </is>
      </c>
      <c r="D44" s="1" t="n">
        <v>44565</v>
      </c>
      <c r="E44" s="1" t="n">
        <v>46303</v>
      </c>
      <c r="F44" t="inlineStr">
        <is>
          <t>STOCKHOLMS LÄN</t>
        </is>
      </c>
      <c r="G44" t="inlineStr">
        <is>
          <t>ÖSTERÅKER</t>
        </is>
      </c>
      <c r="H44" t="inlineStr">
        <is>
          <t>Övriga Aktiebolag</t>
        </is>
      </c>
      <c r="I44" t="n">
        <v>4.6</v>
      </c>
      <c r="J44" t="n">
        <v>0</v>
      </c>
      <c r="K44" t="n">
        <v>0</v>
      </c>
      <c r="L44" t="n">
        <v>0</v>
      </c>
      <c r="M44" t="n">
        <v>0</v>
      </c>
      <c r="N44" t="n">
        <v>0</v>
      </c>
      <c r="O44" t="n">
        <v>0</v>
      </c>
      <c r="P44" t="n">
        <v>0</v>
      </c>
      <c r="Q44" t="n">
        <v>0</v>
      </c>
      <c r="R44" t="n">
        <v>0</v>
      </c>
      <c r="S44" t="n">
        <v>0</v>
      </c>
      <c r="T44" t="n">
        <v>0</v>
      </c>
      <c r="U44" t="n">
        <v>0</v>
      </c>
      <c r="V44" s="2" t="inlineStr"/>
    </row>
    <row r="45" ht="15" customHeight="1">
      <c r="A45" t="inlineStr">
        <is>
          <t>A 46688-2022</t>
        </is>
      </c>
      <c r="B45" t="inlineStr">
        <is>
          <t>avverkningsanmälan</t>
        </is>
      </c>
      <c r="C45" t="inlineStr">
        <is>
          <t>Föryngringsavverkning</t>
        </is>
      </c>
      <c r="D45" s="1" t="n">
        <v>44851</v>
      </c>
      <c r="E45" s="1" t="n">
        <v>46303</v>
      </c>
      <c r="F45" t="inlineStr">
        <is>
          <t>STOCKHOLMS LÄN</t>
        </is>
      </c>
      <c r="G45" t="inlineStr">
        <is>
          <t>ÖSTERÅKER</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33158-2024</t>
        </is>
      </c>
      <c r="B46" t="inlineStr">
        <is>
          <t>avverkningsanmälan</t>
        </is>
      </c>
      <c r="C46" t="inlineStr">
        <is>
          <t>Avverkning för annat ändamål</t>
        </is>
      </c>
      <c r="D46" s="1" t="n">
        <v>45518</v>
      </c>
      <c r="E46" s="1" t="n">
        <v>46303</v>
      </c>
      <c r="F46" t="inlineStr">
        <is>
          <t>STOCKHOLMS LÄN</t>
        </is>
      </c>
      <c r="G46" t="inlineStr">
        <is>
          <t>ÖSTERÅKER</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13366-2024</t>
        </is>
      </c>
      <c r="B47" t="inlineStr">
        <is>
          <t>avverkningsanmälan</t>
        </is>
      </c>
      <c r="C47" t="inlineStr">
        <is>
          <t>Föryngringsavverkning</t>
        </is>
      </c>
      <c r="D47" s="1" t="n">
        <v>45387</v>
      </c>
      <c r="E47" s="1" t="n">
        <v>46303</v>
      </c>
      <c r="F47" t="inlineStr">
        <is>
          <t>STOCKHOLMS LÄN</t>
        </is>
      </c>
      <c r="G47" t="inlineStr">
        <is>
          <t>ÖSTERÅKER</t>
        </is>
      </c>
      <c r="I47" t="n">
        <v>13.7</v>
      </c>
      <c r="J47" t="n">
        <v>0</v>
      </c>
      <c r="K47" t="n">
        <v>0</v>
      </c>
      <c r="L47" t="n">
        <v>0</v>
      </c>
      <c r="M47" t="n">
        <v>0</v>
      </c>
      <c r="N47" t="n">
        <v>0</v>
      </c>
      <c r="O47" t="n">
        <v>0</v>
      </c>
      <c r="P47" t="n">
        <v>0</v>
      </c>
      <c r="Q47" t="n">
        <v>0</v>
      </c>
      <c r="R47" t="n">
        <v>0</v>
      </c>
      <c r="S47" t="n">
        <v>0</v>
      </c>
      <c r="T47" t="n">
        <v>0</v>
      </c>
      <c r="U47" t="n">
        <v>0</v>
      </c>
      <c r="V47" s="2" t="inlineStr"/>
    </row>
    <row r="48" ht="15" customHeight="1">
      <c r="A48" t="inlineStr">
        <is>
          <t>A 61360-2022</t>
        </is>
      </c>
      <c r="B48" t="inlineStr">
        <is>
          <t>avverkningsanmälan</t>
        </is>
      </c>
      <c r="C48" t="inlineStr">
        <is>
          <t>Föryngringsavverkning</t>
        </is>
      </c>
      <c r="D48" s="1" t="n">
        <v>44915</v>
      </c>
      <c r="E48" s="1" t="n">
        <v>46303</v>
      </c>
      <c r="F48" t="inlineStr">
        <is>
          <t>STOCKHOLMS LÄN</t>
        </is>
      </c>
      <c r="G48" t="inlineStr">
        <is>
          <t>ÖSTERÅKER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27137-2025</t>
        </is>
      </c>
      <c r="B49" t="inlineStr">
        <is>
          <t>avverkningsanmälan</t>
        </is>
      </c>
      <c r="C49" t="inlineStr">
        <is>
          <t>Föryngringsavverkning</t>
        </is>
      </c>
      <c r="D49" s="1" t="n">
        <v>45811</v>
      </c>
      <c r="E49" s="1" t="n">
        <v>46303</v>
      </c>
      <c r="F49" t="inlineStr">
        <is>
          <t>STOCKHOLMS LÄN</t>
        </is>
      </c>
      <c r="G49" t="inlineStr">
        <is>
          <t>ÖSTERÅKER</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28143-2024</t>
        </is>
      </c>
      <c r="B50" t="inlineStr">
        <is>
          <t>avverkningsanmälan</t>
        </is>
      </c>
      <c r="C50" t="inlineStr">
        <is>
          <t>Föryngringsavverkning</t>
        </is>
      </c>
      <c r="D50" s="1" t="n">
        <v>45476</v>
      </c>
      <c r="E50" s="1" t="n">
        <v>46303</v>
      </c>
      <c r="F50" t="inlineStr">
        <is>
          <t>STOCKHOLMS LÄN</t>
        </is>
      </c>
      <c r="G50" t="inlineStr">
        <is>
          <t>ÖSTERÅKER</t>
        </is>
      </c>
      <c r="H50" t="inlineStr">
        <is>
          <t>Övriga Aktiebolag</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62108-2022</t>
        </is>
      </c>
      <c r="B51" t="inlineStr">
        <is>
          <t>avverkningsanmälan</t>
        </is>
      </c>
      <c r="C51" t="inlineStr">
        <is>
          <t>Föryngringsavverkning</t>
        </is>
      </c>
      <c r="D51" s="1" t="n">
        <v>44920</v>
      </c>
      <c r="E51" s="1" t="n">
        <v>46303</v>
      </c>
      <c r="F51" t="inlineStr">
        <is>
          <t>STOCKHOLMS LÄN</t>
        </is>
      </c>
      <c r="G51" t="inlineStr">
        <is>
          <t>ÖSTERÅKER</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6655-2023</t>
        </is>
      </c>
      <c r="B52" t="inlineStr">
        <is>
          <t>avverkningsanmälan</t>
        </is>
      </c>
      <c r="C52" t="inlineStr">
        <is>
          <t>Föryngringsavverkning</t>
        </is>
      </c>
      <c r="D52" s="1" t="n">
        <v>44966</v>
      </c>
      <c r="E52" s="1" t="n">
        <v>46303</v>
      </c>
      <c r="F52" t="inlineStr">
        <is>
          <t>STOCKHOLMS LÄN</t>
        </is>
      </c>
      <c r="G52" t="inlineStr">
        <is>
          <t>ÖSTERÅKER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28146-2024</t>
        </is>
      </c>
      <c r="B53" t="inlineStr">
        <is>
          <t>avverkningsanmälan</t>
        </is>
      </c>
      <c r="C53" t="inlineStr">
        <is>
          <t>Föryngringsavverkning</t>
        </is>
      </c>
      <c r="D53" s="1" t="n">
        <v>45476</v>
      </c>
      <c r="E53" s="1" t="n">
        <v>46303</v>
      </c>
      <c r="F53" t="inlineStr">
        <is>
          <t>STOCKHOLMS LÄN</t>
        </is>
      </c>
      <c r="G53" t="inlineStr">
        <is>
          <t>ÖSTERÅKER</t>
        </is>
      </c>
      <c r="H53" t="inlineStr">
        <is>
          <t>Övriga Aktiebolag</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34034-2025</t>
        </is>
      </c>
      <c r="B54" t="inlineStr">
        <is>
          <t>avverkningsanmälan</t>
        </is>
      </c>
      <c r="C54" t="inlineStr">
        <is>
          <t>Föryngringsavverkning</t>
        </is>
      </c>
      <c r="D54" s="1" t="n">
        <v>45842</v>
      </c>
      <c r="E54" s="1" t="n">
        <v>46303</v>
      </c>
      <c r="F54" t="inlineStr">
        <is>
          <t>STOCKHOLMS LÄN</t>
        </is>
      </c>
      <c r="G54" t="inlineStr">
        <is>
          <t>ÖSTERÅKER</t>
        </is>
      </c>
      <c r="H54" t="inlineStr">
        <is>
          <t>Övriga Aktiebolag</t>
        </is>
      </c>
      <c r="I54" t="n">
        <v>3.9</v>
      </c>
      <c r="J54" t="n">
        <v>0</v>
      </c>
      <c r="K54" t="n">
        <v>0</v>
      </c>
      <c r="L54" t="n">
        <v>0</v>
      </c>
      <c r="M54" t="n">
        <v>0</v>
      </c>
      <c r="N54" t="n">
        <v>0</v>
      </c>
      <c r="O54" t="n">
        <v>0</v>
      </c>
      <c r="P54" t="n">
        <v>0</v>
      </c>
      <c r="Q54" t="n">
        <v>0</v>
      </c>
      <c r="R54" t="n">
        <v>0</v>
      </c>
      <c r="S54" t="n">
        <v>0</v>
      </c>
      <c r="T54" t="n">
        <v>0</v>
      </c>
      <c r="U54" t="n">
        <v>0</v>
      </c>
      <c r="V54" s="2" t="inlineStr"/>
    </row>
    <row r="55" ht="15" customHeight="1">
      <c r="A55" t="inlineStr">
        <is>
          <t>A 31134-2023</t>
        </is>
      </c>
      <c r="B55" t="inlineStr">
        <is>
          <t>avverkningsanmälan</t>
        </is>
      </c>
      <c r="C55" t="inlineStr">
        <is>
          <t>Föryngringsavverkning</t>
        </is>
      </c>
      <c r="D55" s="1" t="n">
        <v>45113</v>
      </c>
      <c r="E55" s="1" t="n">
        <v>46303</v>
      </c>
      <c r="F55" t="inlineStr">
        <is>
          <t>STOCKHOLMS LÄN</t>
        </is>
      </c>
      <c r="G55" t="inlineStr">
        <is>
          <t>ÖSTERÅKER</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22528-2024</t>
        </is>
      </c>
      <c r="B56" t="inlineStr">
        <is>
          <t>avverkningsanmälan</t>
        </is>
      </c>
      <c r="C56" t="inlineStr">
        <is>
          <t>Föryngringsavverkning</t>
        </is>
      </c>
      <c r="D56" s="1" t="n">
        <v>45447</v>
      </c>
      <c r="E56" s="1" t="n">
        <v>46303</v>
      </c>
      <c r="F56" t="inlineStr">
        <is>
          <t>STOCKHOLMS LÄN</t>
        </is>
      </c>
      <c r="G56" t="inlineStr">
        <is>
          <t>ÖSTERÅKER</t>
        </is>
      </c>
      <c r="H56" t="inlineStr">
        <is>
          <t>Övriga Aktiebolag</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16803-2022</t>
        </is>
      </c>
      <c r="B57" t="inlineStr">
        <is>
          <t>avverkningsanmälan</t>
        </is>
      </c>
      <c r="C57" t="inlineStr">
        <is>
          <t>Föryngringsavverkning</t>
        </is>
      </c>
      <c r="D57" s="1" t="n">
        <v>44673</v>
      </c>
      <c r="E57" s="1" t="n">
        <v>46303</v>
      </c>
      <c r="F57" t="inlineStr">
        <is>
          <t>STOCKHOLMS LÄN</t>
        </is>
      </c>
      <c r="G57" t="inlineStr">
        <is>
          <t>ÖSTERÅKER</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52220-2025</t>
        </is>
      </c>
      <c r="B58" t="inlineStr">
        <is>
          <t>avverkningsanmälan</t>
        </is>
      </c>
      <c r="C58" t="inlineStr">
        <is>
          <t>Avverkning för annat ändamål</t>
        </is>
      </c>
      <c r="D58" s="1" t="n">
        <v>45953</v>
      </c>
      <c r="E58" s="1" t="n">
        <v>46303</v>
      </c>
      <c r="F58" t="inlineStr">
        <is>
          <t>STOCKHOLMS LÄN</t>
        </is>
      </c>
      <c r="G58" t="inlineStr">
        <is>
          <t>ÖSTERÅKER</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57048-2024</t>
        </is>
      </c>
      <c r="B59" t="inlineStr">
        <is>
          <t>avverkningsanmälan</t>
        </is>
      </c>
      <c r="C59" t="inlineStr">
        <is>
          <t>Föryngringsavverkning</t>
        </is>
      </c>
      <c r="D59" s="1" t="n">
        <v>45629</v>
      </c>
      <c r="E59" s="1" t="n">
        <v>46303</v>
      </c>
      <c r="F59" t="inlineStr">
        <is>
          <t>STOCKHOLMS LÄN</t>
        </is>
      </c>
      <c r="G59" t="inlineStr">
        <is>
          <t>ÖSTERÅKER</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57055-2024</t>
        </is>
      </c>
      <c r="B60" t="inlineStr">
        <is>
          <t>avverkningsanmälan</t>
        </is>
      </c>
      <c r="C60" t="inlineStr">
        <is>
          <t>Föryngringsavverkning</t>
        </is>
      </c>
      <c r="D60" s="1" t="n">
        <v>45629</v>
      </c>
      <c r="E60" s="1" t="n">
        <v>46303</v>
      </c>
      <c r="F60" t="inlineStr">
        <is>
          <t>STOCKHOLMS LÄN</t>
        </is>
      </c>
      <c r="G60" t="inlineStr">
        <is>
          <t>ÖSTERÅKER</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35819-2025</t>
        </is>
      </c>
      <c r="B61" t="inlineStr">
        <is>
          <t>avverkningsanmälan</t>
        </is>
      </c>
      <c r="C61" t="inlineStr">
        <is>
          <t>Föryngringsavverkning</t>
        </is>
      </c>
      <c r="D61" s="1" t="n">
        <v>45861</v>
      </c>
      <c r="E61" s="1" t="n">
        <v>46303</v>
      </c>
      <c r="F61" t="inlineStr">
        <is>
          <t>STOCKHOLMS LÄN</t>
        </is>
      </c>
      <c r="G61" t="inlineStr">
        <is>
          <t>ÖSTERÅKER</t>
        </is>
      </c>
      <c r="H61" t="inlineStr">
        <is>
          <t>Övriga Aktiebolag</t>
        </is>
      </c>
      <c r="I61" t="n">
        <v>8</v>
      </c>
      <c r="J61" t="n">
        <v>0</v>
      </c>
      <c r="K61" t="n">
        <v>0</v>
      </c>
      <c r="L61" t="n">
        <v>0</v>
      </c>
      <c r="M61" t="n">
        <v>0</v>
      </c>
      <c r="N61" t="n">
        <v>0</v>
      </c>
      <c r="O61" t="n">
        <v>0</v>
      </c>
      <c r="P61" t="n">
        <v>0</v>
      </c>
      <c r="Q61" t="n">
        <v>0</v>
      </c>
      <c r="R61" t="n">
        <v>0</v>
      </c>
      <c r="S61" t="n">
        <v>0</v>
      </c>
      <c r="T61" t="n">
        <v>0</v>
      </c>
      <c r="U61" t="n">
        <v>0</v>
      </c>
      <c r="V61" s="2" t="inlineStr"/>
    </row>
    <row r="62" ht="15" customHeight="1">
      <c r="A62" t="inlineStr">
        <is>
          <t>A 61710-2022</t>
        </is>
      </c>
      <c r="B62" t="inlineStr">
        <is>
          <t>avverkningsanmälan</t>
        </is>
      </c>
      <c r="C62" t="inlineStr">
        <is>
          <t>Föryngringsavverkning</t>
        </is>
      </c>
      <c r="D62" s="1" t="n">
        <v>44917</v>
      </c>
      <c r="E62" s="1" t="n">
        <v>46303</v>
      </c>
      <c r="F62" t="inlineStr">
        <is>
          <t>STOCKHOLMS LÄN</t>
        </is>
      </c>
      <c r="G62" t="inlineStr">
        <is>
          <t>ÖSTERÅKER</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3326-2022</t>
        </is>
      </c>
      <c r="B63" t="inlineStr">
        <is>
          <t>avverkningsanmälan</t>
        </is>
      </c>
      <c r="C63" t="inlineStr">
        <is>
          <t>Föryngringsavverkning</t>
        </is>
      </c>
      <c r="D63" s="1" t="n">
        <v>44583</v>
      </c>
      <c r="E63" s="1" t="n">
        <v>46303</v>
      </c>
      <c r="F63" t="inlineStr">
        <is>
          <t>STOCKHOLMS LÄN</t>
        </is>
      </c>
      <c r="G63" t="inlineStr">
        <is>
          <t>ÖSTERÅKER</t>
        </is>
      </c>
      <c r="H63" t="inlineStr">
        <is>
          <t>Övriga Aktiebolag</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17353-2025</t>
        </is>
      </c>
      <c r="B64" t="inlineStr">
        <is>
          <t>avverkningsanmälan</t>
        </is>
      </c>
      <c r="C64" t="inlineStr">
        <is>
          <t>Föryngringsavverkning</t>
        </is>
      </c>
      <c r="D64" s="1" t="n">
        <v>45756</v>
      </c>
      <c r="E64" s="1" t="n">
        <v>46303</v>
      </c>
      <c r="F64" t="inlineStr">
        <is>
          <t>STOCKHOLMS LÄN</t>
        </is>
      </c>
      <c r="G64" t="inlineStr">
        <is>
          <t>ÖSTERÅKER</t>
        </is>
      </c>
      <c r="H64" t="inlineStr">
        <is>
          <t>Övriga Aktiebolag</t>
        </is>
      </c>
      <c r="I64" t="n">
        <v>5.5</v>
      </c>
      <c r="J64" t="n">
        <v>0</v>
      </c>
      <c r="K64" t="n">
        <v>0</v>
      </c>
      <c r="L64" t="n">
        <v>0</v>
      </c>
      <c r="M64" t="n">
        <v>0</v>
      </c>
      <c r="N64" t="n">
        <v>0</v>
      </c>
      <c r="O64" t="n">
        <v>0</v>
      </c>
      <c r="P64" t="n">
        <v>0</v>
      </c>
      <c r="Q64" t="n">
        <v>0</v>
      </c>
      <c r="R64" t="n">
        <v>0</v>
      </c>
      <c r="S64" t="n">
        <v>0</v>
      </c>
      <c r="T64" t="n">
        <v>0</v>
      </c>
      <c r="U64" t="n">
        <v>0</v>
      </c>
      <c r="V64" s="2" t="inlineStr"/>
    </row>
    <row r="65" ht="15" customHeight="1">
      <c r="A65" t="inlineStr">
        <is>
          <t>A 60482-2025</t>
        </is>
      </c>
      <c r="B65" t="inlineStr">
        <is>
          <t>avverkningsanmälan</t>
        </is>
      </c>
      <c r="C65" t="inlineStr">
        <is>
          <t>Föryngringsavverkning</t>
        </is>
      </c>
      <c r="D65" s="1" t="n">
        <v>45995</v>
      </c>
      <c r="E65" s="1" t="n">
        <v>46303</v>
      </c>
      <c r="F65" t="inlineStr">
        <is>
          <t>STOCKHOLMS LÄN</t>
        </is>
      </c>
      <c r="G65" t="inlineStr">
        <is>
          <t>ÖSTERÅKER</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18711-2023</t>
        </is>
      </c>
      <c r="B66" t="inlineStr">
        <is>
          <t>avverkningsanmälan</t>
        </is>
      </c>
      <c r="C66" t="inlineStr">
        <is>
          <t>Föryngringsavverkning</t>
        </is>
      </c>
      <c r="D66" s="1" t="n">
        <v>45043</v>
      </c>
      <c r="E66" s="1" t="n">
        <v>46303</v>
      </c>
      <c r="F66" t="inlineStr">
        <is>
          <t>STOCKHOLMS LÄN</t>
        </is>
      </c>
      <c r="G66" t="inlineStr">
        <is>
          <t>ÖSTERÅKER</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56909-2024</t>
        </is>
      </c>
      <c r="B67" t="inlineStr">
        <is>
          <t>avverkningsanmälan</t>
        </is>
      </c>
      <c r="C67" t="inlineStr">
        <is>
          <t>Avverkning för att bevara och utveckla /försöksver</t>
        </is>
      </c>
      <c r="D67" s="1" t="n">
        <v>45628</v>
      </c>
      <c r="E67" s="1" t="n">
        <v>46303</v>
      </c>
      <c r="F67" t="inlineStr">
        <is>
          <t>STOCKHOLMS LÄN</t>
        </is>
      </c>
      <c r="G67" t="inlineStr">
        <is>
          <t>ÖSTERÅKER</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34713-2025</t>
        </is>
      </c>
      <c r="B68" t="inlineStr">
        <is>
          <t>avverkningsanmälan</t>
        </is>
      </c>
      <c r="C68" t="inlineStr">
        <is>
          <t>Föryngringsavverkning</t>
        </is>
      </c>
      <c r="D68" s="1" t="n">
        <v>45848</v>
      </c>
      <c r="E68" s="1" t="n">
        <v>46303</v>
      </c>
      <c r="F68" t="inlineStr">
        <is>
          <t>STOCKHOLMS LÄN</t>
        </is>
      </c>
      <c r="G68" t="inlineStr">
        <is>
          <t>ÖSTERÅKER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23144-2024</t>
        </is>
      </c>
      <c r="B69" t="inlineStr">
        <is>
          <t>avverkningsanmälan</t>
        </is>
      </c>
      <c r="C69" t="inlineStr">
        <is>
          <t>Föryngringsavverkning</t>
        </is>
      </c>
      <c r="D69" s="1" t="n">
        <v>45450</v>
      </c>
      <c r="E69" s="1" t="n">
        <v>46303</v>
      </c>
      <c r="F69" t="inlineStr">
        <is>
          <t>STOCKHOLMS LÄN</t>
        </is>
      </c>
      <c r="G69" t="inlineStr">
        <is>
          <t>ÖSTERÅKER</t>
        </is>
      </c>
      <c r="H69" t="inlineStr">
        <is>
          <t>Övriga Aktiebolag</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3917-2023</t>
        </is>
      </c>
      <c r="B70" t="inlineStr">
        <is>
          <t>avverkningsanmälan</t>
        </is>
      </c>
      <c r="C70" t="inlineStr">
        <is>
          <t>Föryngringsavverkning</t>
        </is>
      </c>
      <c r="D70" s="1" t="n">
        <v>44952</v>
      </c>
      <c r="E70" s="1" t="n">
        <v>46303</v>
      </c>
      <c r="F70" t="inlineStr">
        <is>
          <t>STOCKHOLMS LÄN</t>
        </is>
      </c>
      <c r="G70" t="inlineStr">
        <is>
          <t>ÖSTERÅKER</t>
        </is>
      </c>
      <c r="H70" t="inlineStr">
        <is>
          <t>Kommuner</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17263-2022</t>
        </is>
      </c>
      <c r="B71" t="inlineStr">
        <is>
          <t>avverkningsanmälan</t>
        </is>
      </c>
      <c r="C71" t="inlineStr">
        <is>
          <t>Föryngringsavverkning</t>
        </is>
      </c>
      <c r="D71" s="1" t="n">
        <v>44678</v>
      </c>
      <c r="E71" s="1" t="n">
        <v>46303</v>
      </c>
      <c r="F71" t="inlineStr">
        <is>
          <t>STOCKHOLMS LÄN</t>
        </is>
      </c>
      <c r="G71" t="inlineStr">
        <is>
          <t>ÖSTERÅKER</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16738-2022</t>
        </is>
      </c>
      <c r="B72" t="inlineStr">
        <is>
          <t>avverkningsanmälan</t>
        </is>
      </c>
      <c r="C72" t="inlineStr">
        <is>
          <t>Avverkning för annat ändamål</t>
        </is>
      </c>
      <c r="D72" s="1" t="n">
        <v>44673</v>
      </c>
      <c r="E72" s="1" t="n">
        <v>46303</v>
      </c>
      <c r="F72" t="inlineStr">
        <is>
          <t>STOCKHOLMS LÄN</t>
        </is>
      </c>
      <c r="G72" t="inlineStr">
        <is>
          <t>ÖSTERÅKER</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34038-2025</t>
        </is>
      </c>
      <c r="B73" t="inlineStr">
        <is>
          <t>avverkningsanmälan</t>
        </is>
      </c>
      <c r="C73" t="inlineStr">
        <is>
          <t>Föryngringsavverkning</t>
        </is>
      </c>
      <c r="D73" s="1" t="n">
        <v>45842</v>
      </c>
      <c r="E73" s="1" t="n">
        <v>46303</v>
      </c>
      <c r="F73" t="inlineStr">
        <is>
          <t>STOCKHOLMS LÄN</t>
        </is>
      </c>
      <c r="G73" t="inlineStr">
        <is>
          <t>ÖSTERÅKER</t>
        </is>
      </c>
      <c r="H73" t="inlineStr">
        <is>
          <t>Övriga Aktiebolag</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59379-2022</t>
        </is>
      </c>
      <c r="B74" t="inlineStr">
        <is>
          <t>avverkningsanmälan</t>
        </is>
      </c>
      <c r="C74" t="inlineStr">
        <is>
          <t>Föryngringsavverkning</t>
        </is>
      </c>
      <c r="D74" s="1" t="n">
        <v>44905</v>
      </c>
      <c r="E74" s="1" t="n">
        <v>46303</v>
      </c>
      <c r="F74" t="inlineStr">
        <is>
          <t>STOCKHOLMS LÄN</t>
        </is>
      </c>
      <c r="G74" t="inlineStr">
        <is>
          <t>ÖSTERÅKER</t>
        </is>
      </c>
      <c r="H74" t="inlineStr">
        <is>
          <t>Kommuner</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23198-2026</t>
        </is>
      </c>
      <c r="B75" t="inlineStr">
        <is>
          <t>avverkningsanmälan</t>
        </is>
      </c>
      <c r="C75" t="inlineStr">
        <is>
          <t>Avverkning för annat ändamål</t>
        </is>
      </c>
      <c r="D75" s="1" t="n">
        <v>46161</v>
      </c>
      <c r="E75" s="1" t="n">
        <v>46303</v>
      </c>
      <c r="F75" t="inlineStr">
        <is>
          <t>STOCKHOLMS LÄN</t>
        </is>
      </c>
      <c r="G75" t="inlineStr">
        <is>
          <t>ÖSTERÅKER</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10185-2025</t>
        </is>
      </c>
      <c r="B76" t="inlineStr">
        <is>
          <t>avverkningsanmälan</t>
        </is>
      </c>
      <c r="C76" t="inlineStr">
        <is>
          <t>Föryngringsavverkning</t>
        </is>
      </c>
      <c r="D76" s="1" t="n">
        <v>45719</v>
      </c>
      <c r="E76" s="1" t="n">
        <v>46303</v>
      </c>
      <c r="F76" t="inlineStr">
        <is>
          <t>STOCKHOLMS LÄN</t>
        </is>
      </c>
      <c r="G76" t="inlineStr">
        <is>
          <t>ÖSTERÅKER</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9865-2025</t>
        </is>
      </c>
      <c r="B77" t="inlineStr">
        <is>
          <t>avverkningsanmälan</t>
        </is>
      </c>
      <c r="C77" t="inlineStr">
        <is>
          <t>Föryngringsavverkning</t>
        </is>
      </c>
      <c r="D77" s="1" t="n">
        <v>45716</v>
      </c>
      <c r="E77" s="1" t="n">
        <v>46303</v>
      </c>
      <c r="F77" t="inlineStr">
        <is>
          <t>STOCKHOLMS LÄN</t>
        </is>
      </c>
      <c r="G77" t="inlineStr">
        <is>
          <t>ÖSTERÅKER</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16728-2022</t>
        </is>
      </c>
      <c r="B78" t="inlineStr">
        <is>
          <t>avverkningsanmälan</t>
        </is>
      </c>
      <c r="C78" t="inlineStr">
        <is>
          <t>Föryngringsavverkning</t>
        </is>
      </c>
      <c r="D78" s="1" t="n">
        <v>44673</v>
      </c>
      <c r="E78" s="1" t="n">
        <v>46303</v>
      </c>
      <c r="F78" t="inlineStr">
        <is>
          <t>STOCKHOLMS LÄN</t>
        </is>
      </c>
      <c r="G78" t="inlineStr">
        <is>
          <t>ÖSTERÅKER</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544-2023</t>
        </is>
      </c>
      <c r="B79" t="inlineStr">
        <is>
          <t>avverkningsanmälan</t>
        </is>
      </c>
      <c r="C79" t="inlineStr">
        <is>
          <t>Avverkning för annat ändamål</t>
        </is>
      </c>
      <c r="D79" s="1" t="n">
        <v>44924</v>
      </c>
      <c r="E79" s="1" t="n">
        <v>46303</v>
      </c>
      <c r="F79" t="inlineStr">
        <is>
          <t>STOCKHOLMS LÄN</t>
        </is>
      </c>
      <c r="G79" t="inlineStr">
        <is>
          <t>ÖSTERÅKER</t>
        </is>
      </c>
      <c r="H79" t="inlineStr">
        <is>
          <t>Övriga Aktiebolag</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14776-2024</t>
        </is>
      </c>
      <c r="B80" t="inlineStr">
        <is>
          <t>avverkningsanmälan</t>
        </is>
      </c>
      <c r="C80" t="inlineStr">
        <is>
          <t>Föryngringsavverkning</t>
        </is>
      </c>
      <c r="D80" s="1" t="n">
        <v>45397</v>
      </c>
      <c r="E80" s="1" t="n">
        <v>46303</v>
      </c>
      <c r="F80" t="inlineStr">
        <is>
          <t>STOCKHOLMS LÄN</t>
        </is>
      </c>
      <c r="G80" t="inlineStr">
        <is>
          <t>ÖSTERÅKER</t>
        </is>
      </c>
      <c r="I80" t="n">
        <v>13.6</v>
      </c>
      <c r="J80" t="n">
        <v>0</v>
      </c>
      <c r="K80" t="n">
        <v>0</v>
      </c>
      <c r="L80" t="n">
        <v>0</v>
      </c>
      <c r="M80" t="n">
        <v>0</v>
      </c>
      <c r="N80" t="n">
        <v>0</v>
      </c>
      <c r="O80" t="n">
        <v>0</v>
      </c>
      <c r="P80" t="n">
        <v>0</v>
      </c>
      <c r="Q80" t="n">
        <v>0</v>
      </c>
      <c r="R80" t="n">
        <v>0</v>
      </c>
      <c r="S80" t="n">
        <v>0</v>
      </c>
      <c r="T80" t="n">
        <v>0</v>
      </c>
      <c r="U80" t="n">
        <v>0</v>
      </c>
      <c r="V80" s="2" t="inlineStr"/>
    </row>
    <row r="81" ht="15" customHeight="1">
      <c r="A81" t="inlineStr">
        <is>
          <t>A 26249-2026</t>
        </is>
      </c>
      <c r="B81" t="inlineStr">
        <is>
          <t>avverkningsanmälan</t>
        </is>
      </c>
      <c r="C81" t="inlineStr">
        <is>
          <t>Avverkning för annat ändamål</t>
        </is>
      </c>
      <c r="D81" s="1" t="n">
        <v>46182</v>
      </c>
      <c r="E81" s="1" t="n">
        <v>46303</v>
      </c>
      <c r="F81" t="inlineStr">
        <is>
          <t>STOCKHOLMS LÄN</t>
        </is>
      </c>
      <c r="G81" t="inlineStr">
        <is>
          <t>ÖSTERÅKER</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5038-2026</t>
        </is>
      </c>
      <c r="B82" t="inlineStr">
        <is>
          <t>avverkningsanmälan</t>
        </is>
      </c>
      <c r="C82" t="inlineStr">
        <is>
          <t>Föryngringsavverkning</t>
        </is>
      </c>
      <c r="D82" s="1" t="n">
        <v>46049</v>
      </c>
      <c r="E82" s="1" t="n">
        <v>46303</v>
      </c>
      <c r="F82" t="inlineStr">
        <is>
          <t>STOCKHOLMS LÄN</t>
        </is>
      </c>
      <c r="G82" t="inlineStr">
        <is>
          <t>ÖSTERÅKER</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61370-2022</t>
        </is>
      </c>
      <c r="B83" t="inlineStr">
        <is>
          <t>avverkningsanmälan</t>
        </is>
      </c>
      <c r="C83" t="inlineStr">
        <is>
          <t>Föryngringsavverkning</t>
        </is>
      </c>
      <c r="D83" s="1" t="n">
        <v>44915</v>
      </c>
      <c r="E83" s="1" t="n">
        <v>46303</v>
      </c>
      <c r="F83" t="inlineStr">
        <is>
          <t>STOCKHOLMS LÄN</t>
        </is>
      </c>
      <c r="G83" t="inlineStr">
        <is>
          <t>ÖSTERÅKER</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3817-2023</t>
        </is>
      </c>
      <c r="B84" t="inlineStr">
        <is>
          <t>avverkningsanmälan</t>
        </is>
      </c>
      <c r="C84" t="inlineStr">
        <is>
          <t>Föryngringsavverkning</t>
        </is>
      </c>
      <c r="D84" s="1" t="n">
        <v>44951</v>
      </c>
      <c r="E84" s="1" t="n">
        <v>46303</v>
      </c>
      <c r="F84" t="inlineStr">
        <is>
          <t>STOCKHOLMS LÄN</t>
        </is>
      </c>
      <c r="G84" t="inlineStr">
        <is>
          <t>ÖSTERÅKER</t>
        </is>
      </c>
      <c r="H84" t="inlineStr">
        <is>
          <t>Kommuner</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3828-2023</t>
        </is>
      </c>
      <c r="B85" t="inlineStr">
        <is>
          <t>avverkningsanmälan</t>
        </is>
      </c>
      <c r="C85" t="inlineStr">
        <is>
          <t>Föryngringsavverkning</t>
        </is>
      </c>
      <c r="D85" s="1" t="n">
        <v>44951</v>
      </c>
      <c r="E85" s="1" t="n">
        <v>46303</v>
      </c>
      <c r="F85" t="inlineStr">
        <is>
          <t>STOCKHOLMS LÄN</t>
        </is>
      </c>
      <c r="G85" t="inlineStr">
        <is>
          <t>ÖSTERÅKER</t>
        </is>
      </c>
      <c r="H85" t="inlineStr">
        <is>
          <t>Kommuner</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12345-2026</t>
        </is>
      </c>
      <c r="B86" t="inlineStr">
        <is>
          <t>avverkningsanmälan</t>
        </is>
      </c>
      <c r="C86" t="inlineStr">
        <is>
          <t>Föryngringsavverkning</t>
        </is>
      </c>
      <c r="D86" s="1" t="n">
        <v>46087</v>
      </c>
      <c r="E86" s="1" t="n">
        <v>46303</v>
      </c>
      <c r="F86" t="inlineStr">
        <is>
          <t>STOCKHOLMS LÄN</t>
        </is>
      </c>
      <c r="G86" t="inlineStr">
        <is>
          <t>ÖSTERÅKER</t>
        </is>
      </c>
      <c r="H86" t="inlineStr">
        <is>
          <t>Övriga Aktiebolag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29443-2026</t>
        </is>
      </c>
      <c r="B87" t="inlineStr">
        <is>
          <t>avverkningsanmälan</t>
        </is>
      </c>
      <c r="C87" t="inlineStr">
        <is>
          <t>Föryngringsavverkning</t>
        </is>
      </c>
      <c r="D87" s="1" t="n">
        <v>46203</v>
      </c>
      <c r="E87" s="1" t="n">
        <v>46303</v>
      </c>
      <c r="F87" t="inlineStr">
        <is>
          <t>STOCKHOLMS LÄN</t>
        </is>
      </c>
      <c r="G87" t="inlineStr">
        <is>
          <t>ÖSTERÅKER</t>
        </is>
      </c>
      <c r="I87" t="n">
        <v>13.8</v>
      </c>
      <c r="J87" t="n">
        <v>0</v>
      </c>
      <c r="K87" t="n">
        <v>0</v>
      </c>
      <c r="L87" t="n">
        <v>0</v>
      </c>
      <c r="M87" t="n">
        <v>0</v>
      </c>
      <c r="N87" t="n">
        <v>0</v>
      </c>
      <c r="O87" t="n">
        <v>0</v>
      </c>
      <c r="P87" t="n">
        <v>0</v>
      </c>
      <c r="Q87" t="n">
        <v>0</v>
      </c>
      <c r="R87" t="n">
        <v>0</v>
      </c>
      <c r="S87" t="n">
        <v>0</v>
      </c>
      <c r="T87" t="n">
        <v>0</v>
      </c>
      <c r="U87" t="n">
        <v>0</v>
      </c>
      <c r="V87" s="2" t="inlineStr"/>
    </row>
    <row r="88" ht="15" customHeight="1">
      <c r="A88" t="inlineStr">
        <is>
          <t>A 24499-2023</t>
        </is>
      </c>
      <c r="B88" t="inlineStr">
        <is>
          <t>avverkningsanmälan</t>
        </is>
      </c>
      <c r="C88" t="inlineStr">
        <is>
          <t>Föryngringsavverkning</t>
        </is>
      </c>
      <c r="D88" s="1" t="n">
        <v>45082</v>
      </c>
      <c r="E88" s="1" t="n">
        <v>46303</v>
      </c>
      <c r="F88" t="inlineStr">
        <is>
          <t>STOCKHOLMS LÄN</t>
        </is>
      </c>
      <c r="G88" t="inlineStr">
        <is>
          <t>ÖSTERÅKER</t>
        </is>
      </c>
      <c r="I88" t="n">
        <v>0.1</v>
      </c>
      <c r="J88" t="n">
        <v>0</v>
      </c>
      <c r="K88" t="n">
        <v>0</v>
      </c>
      <c r="L88" t="n">
        <v>0</v>
      </c>
      <c r="M88" t="n">
        <v>0</v>
      </c>
      <c r="N88" t="n">
        <v>0</v>
      </c>
      <c r="O88" t="n">
        <v>0</v>
      </c>
      <c r="P88" t="n">
        <v>0</v>
      </c>
      <c r="Q88" t="n">
        <v>0</v>
      </c>
      <c r="R88" t="n">
        <v>0</v>
      </c>
      <c r="S88" t="n">
        <v>0</v>
      </c>
      <c r="T88" t="n">
        <v>0</v>
      </c>
      <c r="U88" t="n">
        <v>0</v>
      </c>
      <c r="V88" s="2" t="inlineStr"/>
    </row>
    <row r="89" ht="15" customHeight="1">
      <c r="A89" t="inlineStr">
        <is>
          <t>A 17196-2022</t>
        </is>
      </c>
      <c r="B89" t="inlineStr">
        <is>
          <t>avverkningsanmälan</t>
        </is>
      </c>
      <c r="C89" t="inlineStr">
        <is>
          <t>Föryngringsavverkning</t>
        </is>
      </c>
      <c r="D89" s="1" t="n">
        <v>44677</v>
      </c>
      <c r="E89" s="1" t="n">
        <v>46303</v>
      </c>
      <c r="F89" t="inlineStr">
        <is>
          <t>STOCKHOLMS LÄN</t>
        </is>
      </c>
      <c r="G89" t="inlineStr">
        <is>
          <t>ÖSTERÅKER</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30599-2026</t>
        </is>
      </c>
      <c r="B90" t="inlineStr">
        <is>
          <t>avverkningsanmälan</t>
        </is>
      </c>
      <c r="C90" t="inlineStr">
        <is>
          <t>Föryngringsavverkning</t>
        </is>
      </c>
      <c r="D90" s="1" t="n">
        <v>46210</v>
      </c>
      <c r="E90" s="1" t="n">
        <v>46303</v>
      </c>
      <c r="F90" t="inlineStr">
        <is>
          <t>STOCKHOLMS LÄN</t>
        </is>
      </c>
      <c r="G90" t="inlineStr">
        <is>
          <t>ÖSTERÅKER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31149-2026</t>
        </is>
      </c>
      <c r="B91" t="inlineStr">
        <is>
          <t>avverkningsanmälan</t>
        </is>
      </c>
      <c r="C91" t="inlineStr">
        <is>
          <t>Föryngringsavverkning</t>
        </is>
      </c>
      <c r="D91" s="1" t="n">
        <v>46216</v>
      </c>
      <c r="E91" s="1" t="n">
        <v>46303</v>
      </c>
      <c r="F91" t="inlineStr">
        <is>
          <t>STOCKHOLMS LÄN</t>
        </is>
      </c>
      <c r="G91" t="inlineStr">
        <is>
          <t>ÖSTERÅKER</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31156-2026</t>
        </is>
      </c>
      <c r="B92" t="inlineStr">
        <is>
          <t>avverkningsanmälan</t>
        </is>
      </c>
      <c r="C92" t="inlineStr">
        <is>
          <t>Föryngringsavverkning</t>
        </is>
      </c>
      <c r="D92" s="1" t="n">
        <v>46216</v>
      </c>
      <c r="E92" s="1" t="n">
        <v>46303</v>
      </c>
      <c r="F92" t="inlineStr">
        <is>
          <t>STOCKHOLMS LÄN</t>
        </is>
      </c>
      <c r="G92" t="inlineStr">
        <is>
          <t>ÖSTERÅKER</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31146-2026</t>
        </is>
      </c>
      <c r="B93" t="inlineStr">
        <is>
          <t>avverkningsanmälan</t>
        </is>
      </c>
      <c r="C93" t="inlineStr">
        <is>
          <t>Föryngringsavverkning</t>
        </is>
      </c>
      <c r="D93" s="1" t="n">
        <v>46216</v>
      </c>
      <c r="E93" s="1" t="n">
        <v>46303</v>
      </c>
      <c r="F93" t="inlineStr">
        <is>
          <t>STOCKHOLMS LÄN</t>
        </is>
      </c>
      <c r="G93" t="inlineStr">
        <is>
          <t>ÖSTERÅKER</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1603-2023</t>
        </is>
      </c>
      <c r="B94" t="inlineStr">
        <is>
          <t>avverkningsanmälan</t>
        </is>
      </c>
      <c r="C94" t="inlineStr">
        <is>
          <t>Föryngringsavverkning</t>
        </is>
      </c>
      <c r="D94" s="1" t="n">
        <v>44937</v>
      </c>
      <c r="E94" s="1" t="n">
        <v>46303</v>
      </c>
      <c r="F94" t="inlineStr">
        <is>
          <t>STOCKHOLMS LÄN</t>
        </is>
      </c>
      <c r="G94" t="inlineStr">
        <is>
          <t>ÖSTERÅKER</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1605-2023</t>
        </is>
      </c>
      <c r="B95" t="inlineStr">
        <is>
          <t>avverkningsanmälan</t>
        </is>
      </c>
      <c r="C95" t="inlineStr">
        <is>
          <t>Föryngringsavverkning</t>
        </is>
      </c>
      <c r="D95" s="1" t="n">
        <v>44937</v>
      </c>
      <c r="E95" s="1" t="n">
        <v>46303</v>
      </c>
      <c r="F95" t="inlineStr">
        <is>
          <t>STOCKHOLMS LÄN</t>
        </is>
      </c>
      <c r="G95" t="inlineStr">
        <is>
          <t>ÖSTERÅKER</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31154-2026</t>
        </is>
      </c>
      <c r="B96" t="inlineStr">
        <is>
          <t>avverkningsanmälan</t>
        </is>
      </c>
      <c r="C96" t="inlineStr">
        <is>
          <t>Föryngringsavverkning</t>
        </is>
      </c>
      <c r="D96" s="1" t="n">
        <v>46216</v>
      </c>
      <c r="E96" s="1" t="n">
        <v>46303</v>
      </c>
      <c r="F96" t="inlineStr">
        <is>
          <t>STOCKHOLMS LÄN</t>
        </is>
      </c>
      <c r="G96" t="inlineStr">
        <is>
          <t>ÖSTERÅKER</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21796-2025</t>
        </is>
      </c>
      <c r="B97" t="inlineStr">
        <is>
          <t>avverkningsanmälan</t>
        </is>
      </c>
      <c r="C97" t="inlineStr">
        <is>
          <t>Föryngringsavverkning</t>
        </is>
      </c>
      <c r="D97" s="1" t="n">
        <v>45783</v>
      </c>
      <c r="E97" s="1" t="n">
        <v>46303</v>
      </c>
      <c r="F97" t="inlineStr">
        <is>
          <t>STOCKHOLMS LÄN</t>
        </is>
      </c>
      <c r="G97" t="inlineStr">
        <is>
          <t>ÖSTERÅKER</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5286-2025</t>
        </is>
      </c>
      <c r="B98" t="inlineStr">
        <is>
          <t>avverkningsanmälan</t>
        </is>
      </c>
      <c r="C98" t="inlineStr">
        <is>
          <t>Föryngringsavverkning</t>
        </is>
      </c>
      <c r="D98" s="1" t="n">
        <v>45692</v>
      </c>
      <c r="E98" s="1" t="n">
        <v>46303</v>
      </c>
      <c r="F98" t="inlineStr">
        <is>
          <t>STOCKHOLMS LÄN</t>
        </is>
      </c>
      <c r="G98" t="inlineStr">
        <is>
          <t>ÖSTERÅKER</t>
        </is>
      </c>
      <c r="I98" t="n">
        <v>11.2</v>
      </c>
      <c r="J98" t="n">
        <v>0</v>
      </c>
      <c r="K98" t="n">
        <v>0</v>
      </c>
      <c r="L98" t="n">
        <v>0</v>
      </c>
      <c r="M98" t="n">
        <v>0</v>
      </c>
      <c r="N98" t="n">
        <v>0</v>
      </c>
      <c r="O98" t="n">
        <v>0</v>
      </c>
      <c r="P98" t="n">
        <v>0</v>
      </c>
      <c r="Q98" t="n">
        <v>0</v>
      </c>
      <c r="R98" t="n">
        <v>0</v>
      </c>
      <c r="S98" t="n">
        <v>0</v>
      </c>
      <c r="T98" t="n">
        <v>0</v>
      </c>
      <c r="U98" t="n">
        <v>0</v>
      </c>
      <c r="V98" s="2" t="inlineStr"/>
    </row>
    <row r="99" ht="15" customHeight="1">
      <c r="A99" t="inlineStr">
        <is>
          <t>A 1136-2023</t>
        </is>
      </c>
      <c r="B99" t="inlineStr">
        <is>
          <t>avverkningsanmälan</t>
        </is>
      </c>
      <c r="C99" t="inlineStr">
        <is>
          <t>Avverkning för annat ändamål</t>
        </is>
      </c>
      <c r="D99" s="1" t="n">
        <v>44935</v>
      </c>
      <c r="E99" s="1" t="n">
        <v>46303</v>
      </c>
      <c r="F99" t="inlineStr">
        <is>
          <t>STOCKHOLMS LÄN</t>
        </is>
      </c>
      <c r="G99" t="inlineStr">
        <is>
          <t>ÖSTERÅKER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39394-2023</t>
        </is>
      </c>
      <c r="B100" t="inlineStr">
        <is>
          <t>avverkningsanmälan</t>
        </is>
      </c>
      <c r="C100" t="inlineStr">
        <is>
          <t>Föryngringsavverkning</t>
        </is>
      </c>
      <c r="D100" s="1" t="n">
        <v>45166</v>
      </c>
      <c r="E100" s="1" t="n">
        <v>46303</v>
      </c>
      <c r="F100" t="inlineStr">
        <is>
          <t>STOCKHOLMS LÄN</t>
        </is>
      </c>
      <c r="G100" t="inlineStr">
        <is>
          <t>ÖSTERÅKER</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845-2024</t>
        </is>
      </c>
      <c r="B101" t="inlineStr">
        <is>
          <t>avverkningsanmälan</t>
        </is>
      </c>
      <c r="C101" t="inlineStr">
        <is>
          <t>Föryngringsavverkning</t>
        </is>
      </c>
      <c r="D101" s="1" t="n">
        <v>45300</v>
      </c>
      <c r="E101" s="1" t="n">
        <v>46303</v>
      </c>
      <c r="F101" t="inlineStr">
        <is>
          <t>STOCKHOLMS LÄN</t>
        </is>
      </c>
      <c r="G101" t="inlineStr">
        <is>
          <t>ÖSTERÅKER</t>
        </is>
      </c>
      <c r="I101" t="n">
        <v>10.1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37037-2023</t>
        </is>
      </c>
      <c r="B102" t="inlineStr">
        <is>
          <t>avverkningsanmälan</t>
        </is>
      </c>
      <c r="C102" t="inlineStr">
        <is>
          <t>Föryngringsavverkning</t>
        </is>
      </c>
      <c r="D102" s="1" t="n">
        <v>45155</v>
      </c>
      <c r="E102" s="1" t="n">
        <v>46303</v>
      </c>
      <c r="F102" t="inlineStr">
        <is>
          <t>STOCKHOLMS LÄN</t>
        </is>
      </c>
      <c r="G102" t="inlineStr">
        <is>
          <t>ÖSTERÅKER</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40142-2026</t>
        </is>
      </c>
      <c r="B103" t="inlineStr">
        <is>
          <t>avverkningsanmälan</t>
        </is>
      </c>
      <c r="C103" t="inlineStr">
        <is>
          <t>Föryngringsavverkning</t>
        </is>
      </c>
      <c r="D103" s="1" t="n">
        <v>46293</v>
      </c>
      <c r="E103" s="1" t="n">
        <v>46303</v>
      </c>
      <c r="F103" t="inlineStr">
        <is>
          <t>STOCKHOLMS LÄN</t>
        </is>
      </c>
      <c r="G103" t="inlineStr">
        <is>
          <t>ÖSTERÅKER</t>
        </is>
      </c>
      <c r="I103" t="n">
        <v>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46303</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46303</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46303</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2026-10-08T02:08:52Z</dcterms:created>
  <dcterms:modified xmlns:dcterms="http://purl.org/dc/terms/" xmlns:xsi="http://www.w3.org/2001/XMLSchema-instance" xsi:type="dcterms:W3CDTF">2026-10-08T02:08:52Z</dcterms:modified>
</cp:coreProperties>
</file>