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46324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46324</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46324</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46324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46324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46324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46324</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46324</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31523-2022</t>
        </is>
      </c>
      <c r="B10" t="inlineStr">
        <is>
          <t>avverkningsanmälan</t>
        </is>
      </c>
      <c r="C10" t="inlineStr">
        <is>
          <t>Föryngringsavverkning</t>
        </is>
      </c>
      <c r="D10" s="1" t="n">
        <v>44775</v>
      </c>
      <c r="E10" s="1" t="n">
        <v>46324</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37244-2024</t>
        </is>
      </c>
      <c r="B11" t="inlineStr">
        <is>
          <t>avverkningsanmälan</t>
        </is>
      </c>
      <c r="C11" t="inlineStr">
        <is>
          <t>Föryngringsavverkning</t>
        </is>
      </c>
      <c r="D11" s="1" t="n">
        <v>45540</v>
      </c>
      <c r="E11" s="1" t="n">
        <v>46324</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3914-2023</t>
        </is>
      </c>
      <c r="B12" t="inlineStr">
        <is>
          <t>avverkningsanmälan</t>
        </is>
      </c>
      <c r="C12" t="inlineStr">
        <is>
          <t>Föryngringsavverkning</t>
        </is>
      </c>
      <c r="D12" s="1" t="n">
        <v>44952</v>
      </c>
      <c r="E12" s="1" t="n">
        <v>46324</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27948-2025</t>
        </is>
      </c>
      <c r="B13" t="inlineStr">
        <is>
          <t>avverkningsanmälan</t>
        </is>
      </c>
      <c r="C13" t="inlineStr">
        <is>
          <t>Föryngringsavverkning</t>
        </is>
      </c>
      <c r="D13" s="1" t="n">
        <v>45817</v>
      </c>
      <c r="E13" s="1" t="n">
        <v>46324</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46324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46324</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12620-2022</t>
        </is>
      </c>
      <c r="B16" t="inlineStr">
        <is>
          <t>avverkningsanmälan</t>
        </is>
      </c>
      <c r="C16" t="inlineStr">
        <is>
          <t>Föryngringsavverkning</t>
        </is>
      </c>
      <c r="D16" s="1" t="n">
        <v>44638</v>
      </c>
      <c r="E16" s="1" t="n">
        <v>46324</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67244-2021</t>
        </is>
      </c>
      <c r="B17" t="inlineStr">
        <is>
          <t>avverkningsanmälan</t>
        </is>
      </c>
      <c r="C17" t="inlineStr">
        <is>
          <t>Avverkning för annat ändamål</t>
        </is>
      </c>
      <c r="D17" s="1" t="n">
        <v>44523</v>
      </c>
      <c r="E17" s="1" t="n">
        <v>46324</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46324</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46324</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46324</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46324</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31716-2025</t>
        </is>
      </c>
      <c r="B22" t="inlineStr">
        <is>
          <t>avverkningsanmälan</t>
        </is>
      </c>
      <c r="C22" t="inlineStr">
        <is>
          <t>Föryngringsavverkning</t>
        </is>
      </c>
      <c r="D22" s="1" t="n">
        <v>45834</v>
      </c>
      <c r="E22" s="1" t="n">
        <v>46324</v>
      </c>
      <c r="F22" t="inlineStr">
        <is>
          <t>STOCKHOLMS LÄN</t>
        </is>
      </c>
      <c r="G22" t="inlineStr">
        <is>
          <t>ÖSTERÅKER</t>
        </is>
      </c>
      <c r="I22" t="n">
        <v>2.8</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HYPERLINK("https://klasma.github.io/Logging_0117/artfynd/A 31716-2025 artfynd.xlsx", "A 31716-2025")</f>
        <v/>
      </c>
      <c r="X22">
        <f>HYPERLINK("https://klasma.github.io/Logging_0117/kartor/A 31716-2025 karta.png", "A 31716-2025")</f>
        <v/>
      </c>
      <c r="Y22">
        <f>HYPERLINK("https://klasma.github.io/Logging_0117/kartor_geotiff/A 31716-2025 georefererad karta.tif", "A 31716-2025")</f>
        <v/>
      </c>
      <c r="AA22">
        <f>HYPERLINK("https://klasma.github.io/Logging_0117/klagomål/A 31716-2025 FSC-klagomål.docx", "A 31716-2025")</f>
        <v/>
      </c>
      <c r="AB22">
        <f>HYPERLINK("https://klasma.github.io/Logging_0117/klagomålsmail/A 31716-2025 FSC-klagomål mail.docx", "A 31716-2025")</f>
        <v/>
      </c>
      <c r="AC22">
        <f>HYPERLINK("https://klasma.github.io/Logging_0117/tillsyn/A 31716-2025 tillsynsbegäran.docx", "A 31716-2025")</f>
        <v/>
      </c>
      <c r="AD22">
        <f>HYPERLINK("https://klasma.github.io/Logging_0117/tillsynsmail/A 31716-2025 tillsynsbegäran mail.docx", "A 31716-2025")</f>
        <v/>
      </c>
    </row>
    <row r="23" ht="15" customHeight="1">
      <c r="A23" t="inlineStr">
        <is>
          <t>A 67265-2021</t>
        </is>
      </c>
      <c r="B23" t="inlineStr">
        <is>
          <t>avverkningsanmälan</t>
        </is>
      </c>
      <c r="C23" t="inlineStr">
        <is>
          <t>Föryngringsavverkning</t>
        </is>
      </c>
      <c r="D23" s="1" t="n">
        <v>44523</v>
      </c>
      <c r="E23" s="1" t="n">
        <v>46324</v>
      </c>
      <c r="F23" t="inlineStr">
        <is>
          <t>STOCKHOLMS LÄN</t>
        </is>
      </c>
      <c r="G23" t="inlineStr">
        <is>
          <t>ÖSTERÅKER</t>
        </is>
      </c>
      <c r="H23" t="inlineStr">
        <is>
          <t>Kommuner</t>
        </is>
      </c>
      <c r="I23" t="n">
        <v>2.6</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HYPERLINK("https://klasma.github.io/Logging_0117/artfynd/A 67265-2021 artfynd.xlsx", "A 67265-2021")</f>
        <v/>
      </c>
      <c r="X23">
        <f>HYPERLINK("https://klasma.github.io/Logging_0117/kartor/A 67265-2021 karta.png", "A 67265-2021")</f>
        <v/>
      </c>
      <c r="Y23">
        <f>HYPERLINK("https://klasma.github.io/Logging_0117/kartor_geotiff/A 67265-2021 georefererad karta.tif", "A 67265-2021")</f>
        <v/>
      </c>
      <c r="AA23">
        <f>HYPERLINK("https://klasma.github.io/Logging_0117/klagomål/A 67265-2021 FSC-klagomål.docx", "A 67265-2021")</f>
        <v/>
      </c>
      <c r="AB23">
        <f>HYPERLINK("https://klasma.github.io/Logging_0117/klagomålsmail/A 67265-2021 FSC-klagomål mail.docx", "A 67265-2021")</f>
        <v/>
      </c>
      <c r="AC23">
        <f>HYPERLINK("https://klasma.github.io/Logging_0117/tillsyn/A 67265-2021 tillsynsbegäran.docx", "A 67265-2021")</f>
        <v/>
      </c>
      <c r="AD23">
        <f>HYPERLINK("https://klasma.github.io/Logging_0117/tillsynsmail/A 67265-2021 tillsynsbegäran mail.docx", "A 67265-2021")</f>
        <v/>
      </c>
      <c r="AE23">
        <f>HYPERLINK("https://klasma.github.io/Logging_0117/fåglar/A 67265-2021 prioriterade fågelarter.docx", "A 67265-2021")</f>
        <v/>
      </c>
    </row>
    <row r="24" ht="15" customHeight="1">
      <c r="A24" t="inlineStr">
        <is>
          <t>A 62839-2025</t>
        </is>
      </c>
      <c r="B24" t="inlineStr">
        <is>
          <t>avverkningsanmälan</t>
        </is>
      </c>
      <c r="C24" t="inlineStr">
        <is>
          <t>Föryngringsavverkning</t>
        </is>
      </c>
      <c r="D24" s="1" t="n">
        <v>46008</v>
      </c>
      <c r="E24" s="1" t="n">
        <v>46324</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46324</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61323-2022</t>
        </is>
      </c>
      <c r="B26" t="inlineStr">
        <is>
          <t>avverkningsanmälan</t>
        </is>
      </c>
      <c r="C26" t="inlineStr">
        <is>
          <t>Föryngringsavverkning</t>
        </is>
      </c>
      <c r="D26" s="1" t="n">
        <v>44915</v>
      </c>
      <c r="E26" s="1" t="n">
        <v>46324</v>
      </c>
      <c r="F26" t="inlineStr">
        <is>
          <t>STOCKHOLMS LÄN</t>
        </is>
      </c>
      <c r="G26" t="inlineStr">
        <is>
          <t>ÖSTERÅKER</t>
        </is>
      </c>
      <c r="I26" t="n">
        <v>2.7</v>
      </c>
      <c r="J26" t="n">
        <v>0</v>
      </c>
      <c r="K26" t="n">
        <v>0</v>
      </c>
      <c r="L26" t="n">
        <v>0</v>
      </c>
      <c r="M26" t="n">
        <v>1</v>
      </c>
      <c r="N26" t="n">
        <v>0</v>
      </c>
      <c r="O26" t="n">
        <v>0</v>
      </c>
      <c r="P26" t="n">
        <v>0</v>
      </c>
      <c r="Q26" t="n">
        <v>1</v>
      </c>
      <c r="R26" t="n">
        <v>1</v>
      </c>
      <c r="S26" t="n">
        <v>1</v>
      </c>
      <c r="T26" t="n">
        <v>1</v>
      </c>
      <c r="U26" t="n">
        <v>1</v>
      </c>
      <c r="V26" s="2" t="inlineStr">
        <is>
          <t>Gulvit blekspik</t>
        </is>
      </c>
      <c r="W26">
        <f>HYPERLINK("https://klasma.github.io/Logging_0117/artfynd/A 61323-2022 artfynd.xlsx", "A 61323-2022")</f>
        <v/>
      </c>
      <c r="X26">
        <f>HYPERLINK("https://klasma.github.io/Logging_0117/kartor/A 61323-2022 karta.png", "A 61323-2022")</f>
        <v/>
      </c>
      <c r="Y26">
        <f>HYPERLINK("https://klasma.github.io/Logging_0117/kartor_geotiff/A 61323-2022 georefererad karta.tif", "A 61323-2022")</f>
        <v/>
      </c>
      <c r="AA26">
        <f>HYPERLINK("https://klasma.github.io/Logging_0117/klagomål/A 61323-2022 FSC-klagomål.docx", "A 61323-2022")</f>
        <v/>
      </c>
      <c r="AB26">
        <f>HYPERLINK("https://klasma.github.io/Logging_0117/klagomålsmail/A 61323-2022 FSC-klagomål mail.docx", "A 61323-2022")</f>
        <v/>
      </c>
      <c r="AC26">
        <f>HYPERLINK("https://klasma.github.io/Logging_0117/tillsyn/A 61323-2022 tillsynsbegäran.docx", "A 61323-2022")</f>
        <v/>
      </c>
      <c r="AD26">
        <f>HYPERLINK("https://klasma.github.io/Logging_0117/tillsynsmail/A 61323-2022 tillsynsbegäran mail.docx", "A 61323-2022")</f>
        <v/>
      </c>
    </row>
    <row r="27" ht="15" customHeight="1">
      <c r="A27" t="inlineStr">
        <is>
          <t>S 5861-2022</t>
        </is>
      </c>
      <c r="B27" t="inlineStr">
        <is>
          <t>samrådsanmälan</t>
        </is>
      </c>
      <c r="C27" t="inlineStr">
        <is>
          <t>Annan skogsbruksåtgärd</t>
        </is>
      </c>
      <c r="D27" s="1" t="n">
        <v>44852</v>
      </c>
      <c r="E27" s="1" t="n">
        <v>46324</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46324</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46324</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46324</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46324</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46324</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46324</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46324</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46324</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46324</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46324</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46324</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28399-2022</t>
        </is>
      </c>
      <c r="B39" t="inlineStr">
        <is>
          <t>avverkningsanmälan</t>
        </is>
      </c>
      <c r="C39" t="inlineStr">
        <is>
          <t>Föryngringsavverkning</t>
        </is>
      </c>
      <c r="D39" s="1" t="n">
        <v>44747</v>
      </c>
      <c r="E39" s="1" t="n">
        <v>46324</v>
      </c>
      <c r="F39" t="inlineStr">
        <is>
          <t>STOCKHOLMS LÄN</t>
        </is>
      </c>
      <c r="G39" t="inlineStr">
        <is>
          <t>ÖSTERÅKER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46324</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46324</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46324</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6655-2023</t>
        </is>
      </c>
      <c r="B43" t="inlineStr">
        <is>
          <t>avverkningsanmälan</t>
        </is>
      </c>
      <c r="C43" t="inlineStr">
        <is>
          <t>Föryngringsavverkning</t>
        </is>
      </c>
      <c r="D43" s="1" t="n">
        <v>44966</v>
      </c>
      <c r="E43" s="1" t="n">
        <v>46324</v>
      </c>
      <c r="F43" t="inlineStr">
        <is>
          <t>STOCKHOLMS LÄN</t>
        </is>
      </c>
      <c r="G43" t="inlineStr">
        <is>
          <t>ÖSTERÅKER</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46324</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56909-2024</t>
        </is>
      </c>
      <c r="B45" t="inlineStr">
        <is>
          <t>avverkningsanmälan</t>
        </is>
      </c>
      <c r="C45" t="inlineStr">
        <is>
          <t>Avverkning för att bevara och utveckla /försöksver</t>
        </is>
      </c>
      <c r="D45" s="1" t="n">
        <v>45628</v>
      </c>
      <c r="E45" s="1" t="n">
        <v>46324</v>
      </c>
      <c r="F45" t="inlineStr">
        <is>
          <t>STOCKHOLMS LÄN</t>
        </is>
      </c>
      <c r="G45" t="inlineStr">
        <is>
          <t>ÖSTERÅKER</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27137-2025</t>
        </is>
      </c>
      <c r="B46" t="inlineStr">
        <is>
          <t>avverkningsanmälan</t>
        </is>
      </c>
      <c r="C46" t="inlineStr">
        <is>
          <t>Föryngringsavverkning</t>
        </is>
      </c>
      <c r="D46" s="1" t="n">
        <v>45811</v>
      </c>
      <c r="E46" s="1" t="n">
        <v>46324</v>
      </c>
      <c r="F46" t="inlineStr">
        <is>
          <t>STOCKHOLMS LÄN</t>
        </is>
      </c>
      <c r="G46" t="inlineStr">
        <is>
          <t>ÖSTERÅKER</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1603-2023</t>
        </is>
      </c>
      <c r="B47" t="inlineStr">
        <is>
          <t>avverkningsanmälan</t>
        </is>
      </c>
      <c r="C47" t="inlineStr">
        <is>
          <t>Föryngringsavverkning</t>
        </is>
      </c>
      <c r="D47" s="1" t="n">
        <v>44937</v>
      </c>
      <c r="E47" s="1" t="n">
        <v>46324</v>
      </c>
      <c r="F47" t="inlineStr">
        <is>
          <t>STOCKHOLMS LÄN</t>
        </is>
      </c>
      <c r="G47" t="inlineStr">
        <is>
          <t>ÖSTERÅKER</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1605-2023</t>
        </is>
      </c>
      <c r="B48" t="inlineStr">
        <is>
          <t>avverkningsanmälan</t>
        </is>
      </c>
      <c r="C48" t="inlineStr">
        <is>
          <t>Föryngringsavverkning</t>
        </is>
      </c>
      <c r="D48" s="1" t="n">
        <v>44937</v>
      </c>
      <c r="E48" s="1" t="n">
        <v>46324</v>
      </c>
      <c r="F48" t="inlineStr">
        <is>
          <t>STOCKHOLMS LÄN</t>
        </is>
      </c>
      <c r="G48" t="inlineStr">
        <is>
          <t>ÖSTERÅKER</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845-2024</t>
        </is>
      </c>
      <c r="B49" t="inlineStr">
        <is>
          <t>avverkningsanmälan</t>
        </is>
      </c>
      <c r="C49" t="inlineStr">
        <is>
          <t>Föryngringsavverkning</t>
        </is>
      </c>
      <c r="D49" s="1" t="n">
        <v>45300</v>
      </c>
      <c r="E49" s="1" t="n">
        <v>46324</v>
      </c>
      <c r="F49" t="inlineStr">
        <is>
          <t>STOCKHOLMS LÄN</t>
        </is>
      </c>
      <c r="G49" t="inlineStr">
        <is>
          <t>ÖSTERÅKER</t>
        </is>
      </c>
      <c r="I49" t="n">
        <v>10.1</v>
      </c>
      <c r="J49" t="n">
        <v>0</v>
      </c>
      <c r="K49" t="n">
        <v>0</v>
      </c>
      <c r="L49" t="n">
        <v>0</v>
      </c>
      <c r="M49" t="n">
        <v>0</v>
      </c>
      <c r="N49" t="n">
        <v>0</v>
      </c>
      <c r="O49" t="n">
        <v>0</v>
      </c>
      <c r="P49" t="n">
        <v>0</v>
      </c>
      <c r="Q49" t="n">
        <v>0</v>
      </c>
      <c r="R49" t="n">
        <v>0</v>
      </c>
      <c r="S49" t="n">
        <v>0</v>
      </c>
      <c r="T49" t="n">
        <v>0</v>
      </c>
      <c r="U49" t="n">
        <v>0</v>
      </c>
      <c r="V49" s="2" t="inlineStr"/>
    </row>
    <row r="50" ht="15" customHeight="1">
      <c r="A50" t="inlineStr">
        <is>
          <t>A 37037-2023</t>
        </is>
      </c>
      <c r="B50" t="inlineStr">
        <is>
          <t>avverkningsanmälan</t>
        </is>
      </c>
      <c r="C50" t="inlineStr">
        <is>
          <t>Föryngringsavverkning</t>
        </is>
      </c>
      <c r="D50" s="1" t="n">
        <v>45155</v>
      </c>
      <c r="E50" s="1" t="n">
        <v>46324</v>
      </c>
      <c r="F50" t="inlineStr">
        <is>
          <t>STOCKHOLMS LÄN</t>
        </is>
      </c>
      <c r="G50" t="inlineStr">
        <is>
          <t>ÖSTERÅKER</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31134-2023</t>
        </is>
      </c>
      <c r="B51" t="inlineStr">
        <is>
          <t>avverkningsanmälan</t>
        </is>
      </c>
      <c r="C51" t="inlineStr">
        <is>
          <t>Föryngringsavverkning</t>
        </is>
      </c>
      <c r="D51" s="1" t="n">
        <v>45113</v>
      </c>
      <c r="E51" s="1" t="n">
        <v>46324</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46324</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3828-2023</t>
        </is>
      </c>
      <c r="B53" t="inlineStr">
        <is>
          <t>avverkningsanmälan</t>
        </is>
      </c>
      <c r="C53" t="inlineStr">
        <is>
          <t>Föryngringsavverkning</t>
        </is>
      </c>
      <c r="D53" s="1" t="n">
        <v>44951</v>
      </c>
      <c r="E53" s="1" t="n">
        <v>46324</v>
      </c>
      <c r="F53" t="inlineStr">
        <is>
          <t>STOCKHOLMS LÄN</t>
        </is>
      </c>
      <c r="G53" t="inlineStr">
        <is>
          <t>ÖSTERÅKER</t>
        </is>
      </c>
      <c r="H53" t="inlineStr">
        <is>
          <t>Kommuner</t>
        </is>
      </c>
      <c r="I53" t="n">
        <v>3.2</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46324</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10185-2025</t>
        </is>
      </c>
      <c r="B55" t="inlineStr">
        <is>
          <t>avverkningsanmälan</t>
        </is>
      </c>
      <c r="C55" t="inlineStr">
        <is>
          <t>Föryngringsavverkning</t>
        </is>
      </c>
      <c r="D55" s="1" t="n">
        <v>45719</v>
      </c>
      <c r="E55" s="1" t="n">
        <v>46324</v>
      </c>
      <c r="F55" t="inlineStr">
        <is>
          <t>STOCKHOLMS LÄN</t>
        </is>
      </c>
      <c r="G55" t="inlineStr">
        <is>
          <t>ÖSTERÅKER</t>
        </is>
      </c>
      <c r="I55" t="n">
        <v>4.1</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46324</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23144-2024</t>
        </is>
      </c>
      <c r="B57" t="inlineStr">
        <is>
          <t>avverkningsanmälan</t>
        </is>
      </c>
      <c r="C57" t="inlineStr">
        <is>
          <t>Föryngringsavverkning</t>
        </is>
      </c>
      <c r="D57" s="1" t="n">
        <v>45450</v>
      </c>
      <c r="E57" s="1" t="n">
        <v>46324</v>
      </c>
      <c r="F57" t="inlineStr">
        <is>
          <t>STOCKHOLMS LÄN</t>
        </is>
      </c>
      <c r="G57" t="inlineStr">
        <is>
          <t>ÖSTERÅKER</t>
        </is>
      </c>
      <c r="H57" t="inlineStr">
        <is>
          <t>Övriga Aktiebolag</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17263-2022</t>
        </is>
      </c>
      <c r="B58" t="inlineStr">
        <is>
          <t>avverkningsanmälan</t>
        </is>
      </c>
      <c r="C58" t="inlineStr">
        <is>
          <t>Föryngringsavverkning</t>
        </is>
      </c>
      <c r="D58" s="1" t="n">
        <v>44678</v>
      </c>
      <c r="E58" s="1" t="n">
        <v>46324</v>
      </c>
      <c r="F58" t="inlineStr">
        <is>
          <t>STOCKHOLMS LÄN</t>
        </is>
      </c>
      <c r="G58" t="inlineStr">
        <is>
          <t>ÖSTERÅKER</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24499-2023</t>
        </is>
      </c>
      <c r="B59" t="inlineStr">
        <is>
          <t>avverkningsanmälan</t>
        </is>
      </c>
      <c r="C59" t="inlineStr">
        <is>
          <t>Föryngringsavverkning</t>
        </is>
      </c>
      <c r="D59" s="1" t="n">
        <v>45082</v>
      </c>
      <c r="E59" s="1" t="n">
        <v>46324</v>
      </c>
      <c r="F59" t="inlineStr">
        <is>
          <t>STOCKHOLMS LÄN</t>
        </is>
      </c>
      <c r="G59" t="inlineStr">
        <is>
          <t>ÖSTERÅKER</t>
        </is>
      </c>
      <c r="I59" t="n">
        <v>0.1</v>
      </c>
      <c r="J59" t="n">
        <v>0</v>
      </c>
      <c r="K59" t="n">
        <v>0</v>
      </c>
      <c r="L59" t="n">
        <v>0</v>
      </c>
      <c r="M59" t="n">
        <v>0</v>
      </c>
      <c r="N59" t="n">
        <v>0</v>
      </c>
      <c r="O59" t="n">
        <v>0</v>
      </c>
      <c r="P59" t="n">
        <v>0</v>
      </c>
      <c r="Q59" t="n">
        <v>0</v>
      </c>
      <c r="R59" t="n">
        <v>0</v>
      </c>
      <c r="S59" t="n">
        <v>0</v>
      </c>
      <c r="T59" t="n">
        <v>0</v>
      </c>
      <c r="U59" t="n">
        <v>0</v>
      </c>
      <c r="V59" s="2" t="inlineStr"/>
    </row>
    <row r="60" ht="15" customHeight="1">
      <c r="A60" t="inlineStr">
        <is>
          <t>A 33158-2024</t>
        </is>
      </c>
      <c r="B60" t="inlineStr">
        <is>
          <t>avverkningsanmälan</t>
        </is>
      </c>
      <c r="C60" t="inlineStr">
        <is>
          <t>Avverkning för annat ändamål</t>
        </is>
      </c>
      <c r="D60" s="1" t="n">
        <v>45518</v>
      </c>
      <c r="E60" s="1" t="n">
        <v>46324</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28146-2024</t>
        </is>
      </c>
      <c r="B61" t="inlineStr">
        <is>
          <t>avverkningsanmälan</t>
        </is>
      </c>
      <c r="C61" t="inlineStr">
        <is>
          <t>Föryngringsavverkning</t>
        </is>
      </c>
      <c r="D61" s="1" t="n">
        <v>45476</v>
      </c>
      <c r="E61" s="1" t="n">
        <v>46324</v>
      </c>
      <c r="F61" t="inlineStr">
        <is>
          <t>STOCKHOLMS LÄN</t>
        </is>
      </c>
      <c r="G61" t="inlineStr">
        <is>
          <t>ÖSTERÅKER</t>
        </is>
      </c>
      <c r="H61" t="inlineStr">
        <is>
          <t>Övriga Aktiebolag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34038-2025</t>
        </is>
      </c>
      <c r="B62" t="inlineStr">
        <is>
          <t>avverkningsanmälan</t>
        </is>
      </c>
      <c r="C62" t="inlineStr">
        <is>
          <t>Föryngringsavverkning</t>
        </is>
      </c>
      <c r="D62" s="1" t="n">
        <v>45842</v>
      </c>
      <c r="E62" s="1" t="n">
        <v>46324</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57048-2024</t>
        </is>
      </c>
      <c r="B63" t="inlineStr">
        <is>
          <t>avverkningsanmälan</t>
        </is>
      </c>
      <c r="C63" t="inlineStr">
        <is>
          <t>Föryngringsavverkning</t>
        </is>
      </c>
      <c r="D63" s="1" t="n">
        <v>45629</v>
      </c>
      <c r="E63" s="1" t="n">
        <v>46324</v>
      </c>
      <c r="F63" t="inlineStr">
        <is>
          <t>STOCKHOLMS LÄN</t>
        </is>
      </c>
      <c r="G63" t="inlineStr">
        <is>
          <t>ÖSTERÅKER</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5286-2025</t>
        </is>
      </c>
      <c r="B64" t="inlineStr">
        <is>
          <t>avverkningsanmälan</t>
        </is>
      </c>
      <c r="C64" t="inlineStr">
        <is>
          <t>Föryngringsavverkning</t>
        </is>
      </c>
      <c r="D64" s="1" t="n">
        <v>45692</v>
      </c>
      <c r="E64" s="1" t="n">
        <v>46324</v>
      </c>
      <c r="F64" t="inlineStr">
        <is>
          <t>STOCKHOLMS LÄN</t>
        </is>
      </c>
      <c r="G64" t="inlineStr">
        <is>
          <t>ÖSTERÅKER</t>
        </is>
      </c>
      <c r="I64" t="n">
        <v>11.2</v>
      </c>
      <c r="J64" t="n">
        <v>0</v>
      </c>
      <c r="K64" t="n">
        <v>0</v>
      </c>
      <c r="L64" t="n">
        <v>0</v>
      </c>
      <c r="M64" t="n">
        <v>0</v>
      </c>
      <c r="N64" t="n">
        <v>0</v>
      </c>
      <c r="O64" t="n">
        <v>0</v>
      </c>
      <c r="P64" t="n">
        <v>0</v>
      </c>
      <c r="Q64" t="n">
        <v>0</v>
      </c>
      <c r="R64" t="n">
        <v>0</v>
      </c>
      <c r="S64" t="n">
        <v>0</v>
      </c>
      <c r="T64" t="n">
        <v>0</v>
      </c>
      <c r="U64" t="n">
        <v>0</v>
      </c>
      <c r="V64" s="2" t="inlineStr"/>
    </row>
    <row r="65" ht="15" customHeight="1">
      <c r="A65" t="inlineStr">
        <is>
          <t>A 3817-2023</t>
        </is>
      </c>
      <c r="B65" t="inlineStr">
        <is>
          <t>avverkningsanmälan</t>
        </is>
      </c>
      <c r="C65" t="inlineStr">
        <is>
          <t>Föryngringsavverkning</t>
        </is>
      </c>
      <c r="D65" s="1" t="n">
        <v>44951</v>
      </c>
      <c r="E65" s="1" t="n">
        <v>46324</v>
      </c>
      <c r="F65" t="inlineStr">
        <is>
          <t>STOCKHOLMS LÄN</t>
        </is>
      </c>
      <c r="G65" t="inlineStr">
        <is>
          <t>ÖSTERÅKER</t>
        </is>
      </c>
      <c r="H65" t="inlineStr">
        <is>
          <t>Kommuner</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544-2023</t>
        </is>
      </c>
      <c r="B66" t="inlineStr">
        <is>
          <t>avverkningsanmälan</t>
        </is>
      </c>
      <c r="C66" t="inlineStr">
        <is>
          <t>Avverkning för annat ändamål</t>
        </is>
      </c>
      <c r="D66" s="1" t="n">
        <v>44924</v>
      </c>
      <c r="E66" s="1" t="n">
        <v>46324</v>
      </c>
      <c r="F66" t="inlineStr">
        <is>
          <t>STOCKHOLMS LÄN</t>
        </is>
      </c>
      <c r="G66" t="inlineStr">
        <is>
          <t>ÖSTERÅKER</t>
        </is>
      </c>
      <c r="H66" t="inlineStr">
        <is>
          <t>Övriga Aktiebolag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3326-2022</t>
        </is>
      </c>
      <c r="B67" t="inlineStr">
        <is>
          <t>avverkningsanmälan</t>
        </is>
      </c>
      <c r="C67" t="inlineStr">
        <is>
          <t>Föryngringsavverkning</t>
        </is>
      </c>
      <c r="D67" s="1" t="n">
        <v>44583</v>
      </c>
      <c r="E67" s="1" t="n">
        <v>46324</v>
      </c>
      <c r="F67" t="inlineStr">
        <is>
          <t>STOCKHOLMS LÄN</t>
        </is>
      </c>
      <c r="G67" t="inlineStr">
        <is>
          <t>ÖSTERÅKER</t>
        </is>
      </c>
      <c r="H67" t="inlineStr">
        <is>
          <t>Övriga Aktiebolag</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9865-2025</t>
        </is>
      </c>
      <c r="B68" t="inlineStr">
        <is>
          <t>avverkningsanmälan</t>
        </is>
      </c>
      <c r="C68" t="inlineStr">
        <is>
          <t>Föryngringsavverkning</t>
        </is>
      </c>
      <c r="D68" s="1" t="n">
        <v>45716</v>
      </c>
      <c r="E68" s="1" t="n">
        <v>46324</v>
      </c>
      <c r="F68" t="inlineStr">
        <is>
          <t>STOCKHOLMS LÄN</t>
        </is>
      </c>
      <c r="G68" t="inlineStr">
        <is>
          <t>ÖSTERÅKER</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13366-2024</t>
        </is>
      </c>
      <c r="B69" t="inlineStr">
        <is>
          <t>avverkningsanmälan</t>
        </is>
      </c>
      <c r="C69" t="inlineStr">
        <is>
          <t>Föryngringsavverkning</t>
        </is>
      </c>
      <c r="D69" s="1" t="n">
        <v>45387</v>
      </c>
      <c r="E69" s="1" t="n">
        <v>46324</v>
      </c>
      <c r="F69" t="inlineStr">
        <is>
          <t>STOCKHOLMS LÄN</t>
        </is>
      </c>
      <c r="G69" t="inlineStr">
        <is>
          <t>ÖSTERÅKER</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57055-2024</t>
        </is>
      </c>
      <c r="B70" t="inlineStr">
        <is>
          <t>avverkningsanmälan</t>
        </is>
      </c>
      <c r="C70" t="inlineStr">
        <is>
          <t>Föryngringsavverkning</t>
        </is>
      </c>
      <c r="D70" s="1" t="n">
        <v>45629</v>
      </c>
      <c r="E70" s="1" t="n">
        <v>46324</v>
      </c>
      <c r="F70" t="inlineStr">
        <is>
          <t>STOCKHOLMS LÄN</t>
        </is>
      </c>
      <c r="G70" t="inlineStr">
        <is>
          <t>ÖSTERÅKER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59379-2022</t>
        </is>
      </c>
      <c r="B71" t="inlineStr">
        <is>
          <t>avverkningsanmälan</t>
        </is>
      </c>
      <c r="C71" t="inlineStr">
        <is>
          <t>Föryngringsavverkning</t>
        </is>
      </c>
      <c r="D71" s="1" t="n">
        <v>44905</v>
      </c>
      <c r="E71" s="1" t="n">
        <v>46324</v>
      </c>
      <c r="F71" t="inlineStr">
        <is>
          <t>STOCKHOLMS LÄN</t>
        </is>
      </c>
      <c r="G71" t="inlineStr">
        <is>
          <t>ÖSTERÅKER</t>
        </is>
      </c>
      <c r="H71" t="inlineStr">
        <is>
          <t>Kommuner</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46688-2022</t>
        </is>
      </c>
      <c r="B72" t="inlineStr">
        <is>
          <t>avverkningsanmälan</t>
        </is>
      </c>
      <c r="C72" t="inlineStr">
        <is>
          <t>Föryngringsavverkning</t>
        </is>
      </c>
      <c r="D72" s="1" t="n">
        <v>44851</v>
      </c>
      <c r="E72" s="1" t="n">
        <v>46324</v>
      </c>
      <c r="F72" t="inlineStr">
        <is>
          <t>STOCKHOLMS LÄN</t>
        </is>
      </c>
      <c r="G72" t="inlineStr">
        <is>
          <t>ÖSTERÅKER</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16738-2022</t>
        </is>
      </c>
      <c r="B73" t="inlineStr">
        <is>
          <t>avverkningsanmälan</t>
        </is>
      </c>
      <c r="C73" t="inlineStr">
        <is>
          <t>Avverkning för annat ändamål</t>
        </is>
      </c>
      <c r="D73" s="1" t="n">
        <v>44673</v>
      </c>
      <c r="E73" s="1" t="n">
        <v>46324</v>
      </c>
      <c r="F73" t="inlineStr">
        <is>
          <t>STOCKHOLMS LÄN</t>
        </is>
      </c>
      <c r="G73" t="inlineStr">
        <is>
          <t>ÖSTERÅKER</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26249-2026</t>
        </is>
      </c>
      <c r="B74" t="inlineStr">
        <is>
          <t>avverkningsanmälan</t>
        </is>
      </c>
      <c r="C74" t="inlineStr">
        <is>
          <t>Avverkning för annat ändamål</t>
        </is>
      </c>
      <c r="D74" s="1" t="n">
        <v>46182</v>
      </c>
      <c r="E74" s="1" t="n">
        <v>46324</v>
      </c>
      <c r="F74" t="inlineStr">
        <is>
          <t>STOCKHOLMS LÄN</t>
        </is>
      </c>
      <c r="G74" t="inlineStr">
        <is>
          <t>ÖSTERÅKER</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17196-2022</t>
        </is>
      </c>
      <c r="B75" t="inlineStr">
        <is>
          <t>avverkningsanmälan</t>
        </is>
      </c>
      <c r="C75" t="inlineStr">
        <is>
          <t>Föryngringsavverkning</t>
        </is>
      </c>
      <c r="D75" s="1" t="n">
        <v>44677</v>
      </c>
      <c r="E75" s="1" t="n">
        <v>46324</v>
      </c>
      <c r="F75" t="inlineStr">
        <is>
          <t>STOCKHOLMS LÄN</t>
        </is>
      </c>
      <c r="G75" t="inlineStr">
        <is>
          <t>ÖSTERÅKER</t>
        </is>
      </c>
      <c r="I75" t="n">
        <v>5.9</v>
      </c>
      <c r="J75" t="n">
        <v>0</v>
      </c>
      <c r="K75" t="n">
        <v>0</v>
      </c>
      <c r="L75" t="n">
        <v>0</v>
      </c>
      <c r="M75" t="n">
        <v>0</v>
      </c>
      <c r="N75" t="n">
        <v>0</v>
      </c>
      <c r="O75" t="n">
        <v>0</v>
      </c>
      <c r="P75" t="n">
        <v>0</v>
      </c>
      <c r="Q75" t="n">
        <v>0</v>
      </c>
      <c r="R75" t="n">
        <v>0</v>
      </c>
      <c r="S75" t="n">
        <v>0</v>
      </c>
      <c r="T75" t="n">
        <v>0</v>
      </c>
      <c r="U75" t="n">
        <v>0</v>
      </c>
      <c r="V75" s="2" t="inlineStr"/>
    </row>
    <row r="76" ht="15" customHeight="1">
      <c r="A76" t="inlineStr">
        <is>
          <t>A 5038-2026</t>
        </is>
      </c>
      <c r="B76" t="inlineStr">
        <is>
          <t>avverkningsanmälan</t>
        </is>
      </c>
      <c r="C76" t="inlineStr">
        <is>
          <t>Föryngringsavverkning</t>
        </is>
      </c>
      <c r="D76" s="1" t="n">
        <v>46049</v>
      </c>
      <c r="E76" s="1" t="n">
        <v>46324</v>
      </c>
      <c r="F76" t="inlineStr">
        <is>
          <t>STOCKHOLMS LÄN</t>
        </is>
      </c>
      <c r="G76" t="inlineStr">
        <is>
          <t>ÖSTERÅKER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3917-2023</t>
        </is>
      </c>
      <c r="B77" t="inlineStr">
        <is>
          <t>avverkningsanmälan</t>
        </is>
      </c>
      <c r="C77" t="inlineStr">
        <is>
          <t>Föryngringsavverkning</t>
        </is>
      </c>
      <c r="D77" s="1" t="n">
        <v>44952</v>
      </c>
      <c r="E77" s="1" t="n">
        <v>46324</v>
      </c>
      <c r="F77" t="inlineStr">
        <is>
          <t>STOCKHOLMS LÄN</t>
        </is>
      </c>
      <c r="G77" t="inlineStr">
        <is>
          <t>ÖSTERÅKER</t>
        </is>
      </c>
      <c r="H77" t="inlineStr">
        <is>
          <t>Kommuner</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62108-2022</t>
        </is>
      </c>
      <c r="B78" t="inlineStr">
        <is>
          <t>avverkningsanmälan</t>
        </is>
      </c>
      <c r="C78" t="inlineStr">
        <is>
          <t>Föryngringsavverkning</t>
        </is>
      </c>
      <c r="D78" s="1" t="n">
        <v>44920</v>
      </c>
      <c r="E78" s="1" t="n">
        <v>46324</v>
      </c>
      <c r="F78" t="inlineStr">
        <is>
          <t>STOCKHOLMS LÄN</t>
        </is>
      </c>
      <c r="G78" t="inlineStr">
        <is>
          <t>ÖSTERÅKER</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46324</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29443-2026</t>
        </is>
      </c>
      <c r="B80" t="inlineStr">
        <is>
          <t>avverkningsanmälan</t>
        </is>
      </c>
      <c r="C80" t="inlineStr">
        <is>
          <t>Föryngringsavverkning</t>
        </is>
      </c>
      <c r="D80" s="1" t="n">
        <v>46203</v>
      </c>
      <c r="E80" s="1" t="n">
        <v>46324</v>
      </c>
      <c r="F80" t="inlineStr">
        <is>
          <t>STOCKHOLMS LÄN</t>
        </is>
      </c>
      <c r="G80" t="inlineStr">
        <is>
          <t>ÖSTERÅKER</t>
        </is>
      </c>
      <c r="I80" t="n">
        <v>13.8</v>
      </c>
      <c r="J80" t="n">
        <v>0</v>
      </c>
      <c r="K80" t="n">
        <v>0</v>
      </c>
      <c r="L80" t="n">
        <v>0</v>
      </c>
      <c r="M80" t="n">
        <v>0</v>
      </c>
      <c r="N80" t="n">
        <v>0</v>
      </c>
      <c r="O80" t="n">
        <v>0</v>
      </c>
      <c r="P80" t="n">
        <v>0</v>
      </c>
      <c r="Q80" t="n">
        <v>0</v>
      </c>
      <c r="R80" t="n">
        <v>0</v>
      </c>
      <c r="S80" t="n">
        <v>0</v>
      </c>
      <c r="T80" t="n">
        <v>0</v>
      </c>
      <c r="U80" t="n">
        <v>0</v>
      </c>
      <c r="V80" s="2" t="inlineStr"/>
    </row>
    <row r="81" ht="15" customHeight="1">
      <c r="A81" t="inlineStr">
        <is>
          <t>A 30599-2026</t>
        </is>
      </c>
      <c r="B81" t="inlineStr">
        <is>
          <t>avverkningsanmälan</t>
        </is>
      </c>
      <c r="C81" t="inlineStr">
        <is>
          <t>Föryngringsavverkning</t>
        </is>
      </c>
      <c r="D81" s="1" t="n">
        <v>46210</v>
      </c>
      <c r="E81" s="1" t="n">
        <v>46324</v>
      </c>
      <c r="F81" t="inlineStr">
        <is>
          <t>STOCKHOLMS LÄN</t>
        </is>
      </c>
      <c r="G81" t="inlineStr">
        <is>
          <t>ÖSTERÅKER</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31154-2026</t>
        </is>
      </c>
      <c r="B82" t="inlineStr">
        <is>
          <t>avverkningsanmälan</t>
        </is>
      </c>
      <c r="C82" t="inlineStr">
        <is>
          <t>Föryngringsavverkning</t>
        </is>
      </c>
      <c r="D82" s="1" t="n">
        <v>46216</v>
      </c>
      <c r="E82" s="1" t="n">
        <v>46324</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31146-2026</t>
        </is>
      </c>
      <c r="B83" t="inlineStr">
        <is>
          <t>avverkningsanmälan</t>
        </is>
      </c>
      <c r="C83" t="inlineStr">
        <is>
          <t>Föryngringsavverkning</t>
        </is>
      </c>
      <c r="D83" s="1" t="n">
        <v>46216</v>
      </c>
      <c r="E83" s="1" t="n">
        <v>46324</v>
      </c>
      <c r="F83" t="inlineStr">
        <is>
          <t>STOCKHOLMS LÄN</t>
        </is>
      </c>
      <c r="G83" t="inlineStr">
        <is>
          <t>ÖSTERÅKER</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46324</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31156-2026</t>
        </is>
      </c>
      <c r="B85" t="inlineStr">
        <is>
          <t>avverkningsanmälan</t>
        </is>
      </c>
      <c r="C85" t="inlineStr">
        <is>
          <t>Föryngringsavverkning</t>
        </is>
      </c>
      <c r="D85" s="1" t="n">
        <v>46216</v>
      </c>
      <c r="E85" s="1" t="n">
        <v>46324</v>
      </c>
      <c r="F85" t="inlineStr">
        <is>
          <t>STOCKHOLMS LÄN</t>
        </is>
      </c>
      <c r="G85" t="inlineStr">
        <is>
          <t>ÖSTERÅKER</t>
        </is>
      </c>
      <c r="I85" t="n">
        <v>5.1</v>
      </c>
      <c r="J85" t="n">
        <v>0</v>
      </c>
      <c r="K85" t="n">
        <v>0</v>
      </c>
      <c r="L85" t="n">
        <v>0</v>
      </c>
      <c r="M85" t="n">
        <v>0</v>
      </c>
      <c r="N85" t="n">
        <v>0</v>
      </c>
      <c r="O85" t="n">
        <v>0</v>
      </c>
      <c r="P85" t="n">
        <v>0</v>
      </c>
      <c r="Q85" t="n">
        <v>0</v>
      </c>
      <c r="R85" t="n">
        <v>0</v>
      </c>
      <c r="S85" t="n">
        <v>0</v>
      </c>
      <c r="T85" t="n">
        <v>0</v>
      </c>
      <c r="U85" t="n">
        <v>0</v>
      </c>
      <c r="V85" s="2" t="inlineStr"/>
    </row>
    <row r="86" ht="15" customHeight="1">
      <c r="A86" t="inlineStr">
        <is>
          <t>A 34713-2025</t>
        </is>
      </c>
      <c r="B86" t="inlineStr">
        <is>
          <t>avverkningsanmälan</t>
        </is>
      </c>
      <c r="C86" t="inlineStr">
        <is>
          <t>Föryngringsavverkning</t>
        </is>
      </c>
      <c r="D86" s="1" t="n">
        <v>45848</v>
      </c>
      <c r="E86" s="1" t="n">
        <v>46324</v>
      </c>
      <c r="F86" t="inlineStr">
        <is>
          <t>STOCKHOLMS LÄN</t>
        </is>
      </c>
      <c r="G86" t="inlineStr">
        <is>
          <t>ÖSTERÅKER</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60482-2025</t>
        </is>
      </c>
      <c r="B87" t="inlineStr">
        <is>
          <t>avverkningsanmälan</t>
        </is>
      </c>
      <c r="C87" t="inlineStr">
        <is>
          <t>Föryngringsavverkning</t>
        </is>
      </c>
      <c r="D87" s="1" t="n">
        <v>45995</v>
      </c>
      <c r="E87" s="1" t="n">
        <v>46324</v>
      </c>
      <c r="F87" t="inlineStr">
        <is>
          <t>STOCKHOLMS LÄN</t>
        </is>
      </c>
      <c r="G87" t="inlineStr">
        <is>
          <t>ÖSTERÅKER</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21796-2025</t>
        </is>
      </c>
      <c r="B88" t="inlineStr">
        <is>
          <t>avverkningsanmälan</t>
        </is>
      </c>
      <c r="C88" t="inlineStr">
        <is>
          <t>Föryngringsavverkning</t>
        </is>
      </c>
      <c r="D88" s="1" t="n">
        <v>45783</v>
      </c>
      <c r="E88" s="1" t="n">
        <v>46324</v>
      </c>
      <c r="F88" t="inlineStr">
        <is>
          <t>STOCKHOLMS LÄN</t>
        </is>
      </c>
      <c r="G88" t="inlineStr">
        <is>
          <t>ÖSTERÅKER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17353-2025</t>
        </is>
      </c>
      <c r="B89" t="inlineStr">
        <is>
          <t>avverkningsanmälan</t>
        </is>
      </c>
      <c r="C89" t="inlineStr">
        <is>
          <t>Föryngringsavverkning</t>
        </is>
      </c>
      <c r="D89" s="1" t="n">
        <v>45756</v>
      </c>
      <c r="E89" s="1" t="n">
        <v>46324</v>
      </c>
      <c r="F89" t="inlineStr">
        <is>
          <t>STOCKHOLMS LÄN</t>
        </is>
      </c>
      <c r="G89" t="inlineStr">
        <is>
          <t>ÖSTERÅKER</t>
        </is>
      </c>
      <c r="H89" t="inlineStr">
        <is>
          <t>Övriga Aktiebolag</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18711-2023</t>
        </is>
      </c>
      <c r="B90" t="inlineStr">
        <is>
          <t>avverkningsanmälan</t>
        </is>
      </c>
      <c r="C90" t="inlineStr">
        <is>
          <t>Föryngringsavverkning</t>
        </is>
      </c>
      <c r="D90" s="1" t="n">
        <v>45043</v>
      </c>
      <c r="E90" s="1" t="n">
        <v>46324</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61360-2022</t>
        </is>
      </c>
      <c r="B91" t="inlineStr">
        <is>
          <t>avverkningsanmälan</t>
        </is>
      </c>
      <c r="C91" t="inlineStr">
        <is>
          <t>Föryngringsavverkning</t>
        </is>
      </c>
      <c r="D91" s="1" t="n">
        <v>44915</v>
      </c>
      <c r="E91" s="1" t="n">
        <v>46324</v>
      </c>
      <c r="F91" t="inlineStr">
        <is>
          <t>STOCKHOLMS LÄN</t>
        </is>
      </c>
      <c r="G91" t="inlineStr">
        <is>
          <t>ÖSTERÅKER</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40142-2026</t>
        </is>
      </c>
      <c r="B92" t="inlineStr">
        <is>
          <t>avverkningsanmälan</t>
        </is>
      </c>
      <c r="C92" t="inlineStr">
        <is>
          <t>Föryngringsavverkning</t>
        </is>
      </c>
      <c r="D92" s="1" t="n">
        <v>46293</v>
      </c>
      <c r="E92" s="1" t="n">
        <v>46324</v>
      </c>
      <c r="F92" t="inlineStr">
        <is>
          <t>STOCKHOLMS LÄN</t>
        </is>
      </c>
      <c r="G92" t="inlineStr">
        <is>
          <t>ÖSTERÅKER</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16728-2022</t>
        </is>
      </c>
      <c r="B93" t="inlineStr">
        <is>
          <t>avverkningsanmälan</t>
        </is>
      </c>
      <c r="C93" t="inlineStr">
        <is>
          <t>Föryngringsavverkning</t>
        </is>
      </c>
      <c r="D93" s="1" t="n">
        <v>44673</v>
      </c>
      <c r="E93" s="1" t="n">
        <v>46324</v>
      </c>
      <c r="F93" t="inlineStr">
        <is>
          <t>STOCKHOLMS LÄN</t>
        </is>
      </c>
      <c r="G93" t="inlineStr">
        <is>
          <t>ÖSTERÅKER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1136-2023</t>
        </is>
      </c>
      <c r="B94" t="inlineStr">
        <is>
          <t>avverkningsanmälan</t>
        </is>
      </c>
      <c r="C94" t="inlineStr">
        <is>
          <t>Avverkning för annat ändamål</t>
        </is>
      </c>
      <c r="D94" s="1" t="n">
        <v>44935</v>
      </c>
      <c r="E94" s="1" t="n">
        <v>46324</v>
      </c>
      <c r="F94" t="inlineStr">
        <is>
          <t>STOCKHOLMS LÄN</t>
        </is>
      </c>
      <c r="G94" t="inlineStr">
        <is>
          <t>ÖSTERÅKER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61710-2022</t>
        </is>
      </c>
      <c r="B95" t="inlineStr">
        <is>
          <t>avverkningsanmälan</t>
        </is>
      </c>
      <c r="C95" t="inlineStr">
        <is>
          <t>Föryngringsavverkning</t>
        </is>
      </c>
      <c r="D95" s="1" t="n">
        <v>44917</v>
      </c>
      <c r="E95" s="1" t="n">
        <v>46324</v>
      </c>
      <c r="F95" t="inlineStr">
        <is>
          <t>STOCKHOLMS LÄN</t>
        </is>
      </c>
      <c r="G95" t="inlineStr">
        <is>
          <t>ÖSTERÅKER</t>
        </is>
      </c>
      <c r="I95" t="n">
        <v>6.2</v>
      </c>
      <c r="J95" t="n">
        <v>0</v>
      </c>
      <c r="K95" t="n">
        <v>0</v>
      </c>
      <c r="L95" t="n">
        <v>0</v>
      </c>
      <c r="M95" t="n">
        <v>0</v>
      </c>
      <c r="N95" t="n">
        <v>0</v>
      </c>
      <c r="O95" t="n">
        <v>0</v>
      </c>
      <c r="P95" t="n">
        <v>0</v>
      </c>
      <c r="Q95" t="n">
        <v>0</v>
      </c>
      <c r="R95" t="n">
        <v>0</v>
      </c>
      <c r="S95" t="n">
        <v>0</v>
      </c>
      <c r="T95" t="n">
        <v>0</v>
      </c>
      <c r="U95" t="n">
        <v>0</v>
      </c>
      <c r="V95" s="2" t="inlineStr"/>
    </row>
    <row r="96" ht="15" customHeight="1">
      <c r="A96" t="inlineStr">
        <is>
          <t>A 22528-2024</t>
        </is>
      </c>
      <c r="B96" t="inlineStr">
        <is>
          <t>avverkningsanmälan</t>
        </is>
      </c>
      <c r="C96" t="inlineStr">
        <is>
          <t>Föryngringsavverkning</t>
        </is>
      </c>
      <c r="D96" s="1" t="n">
        <v>45447</v>
      </c>
      <c r="E96" s="1" t="n">
        <v>46324</v>
      </c>
      <c r="F96" t="inlineStr">
        <is>
          <t>STOCKHOLMS LÄN</t>
        </is>
      </c>
      <c r="G96" t="inlineStr">
        <is>
          <t>ÖSTERÅKER</t>
        </is>
      </c>
      <c r="H96" t="inlineStr">
        <is>
          <t>Övriga Aktiebolag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28143-2024</t>
        </is>
      </c>
      <c r="B97" t="inlineStr">
        <is>
          <t>avverkningsanmälan</t>
        </is>
      </c>
      <c r="C97" t="inlineStr">
        <is>
          <t>Föryngringsavverkning</t>
        </is>
      </c>
      <c r="D97" s="1" t="n">
        <v>45476</v>
      </c>
      <c r="E97" s="1" t="n">
        <v>46324</v>
      </c>
      <c r="F97" t="inlineStr">
        <is>
          <t>STOCKHOLMS LÄN</t>
        </is>
      </c>
      <c r="G97" t="inlineStr">
        <is>
          <t>ÖSTERÅKER</t>
        </is>
      </c>
      <c r="H97" t="inlineStr">
        <is>
          <t>Övriga Aktiebolag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14776-2024</t>
        </is>
      </c>
      <c r="B98" t="inlineStr">
        <is>
          <t>avverkningsanmälan</t>
        </is>
      </c>
      <c r="C98" t="inlineStr">
        <is>
          <t>Föryngringsavverkning</t>
        </is>
      </c>
      <c r="D98" s="1" t="n">
        <v>45397</v>
      </c>
      <c r="E98" s="1" t="n">
        <v>46324</v>
      </c>
      <c r="F98" t="inlineStr">
        <is>
          <t>STOCKHOLMS LÄN</t>
        </is>
      </c>
      <c r="G98" t="inlineStr">
        <is>
          <t>ÖSTERÅKER</t>
        </is>
      </c>
      <c r="I98" t="n">
        <v>13.6</v>
      </c>
      <c r="J98" t="n">
        <v>0</v>
      </c>
      <c r="K98" t="n">
        <v>0</v>
      </c>
      <c r="L98" t="n">
        <v>0</v>
      </c>
      <c r="M98" t="n">
        <v>0</v>
      </c>
      <c r="N98" t="n">
        <v>0</v>
      </c>
      <c r="O98" t="n">
        <v>0</v>
      </c>
      <c r="P98" t="n">
        <v>0</v>
      </c>
      <c r="Q98" t="n">
        <v>0</v>
      </c>
      <c r="R98" t="n">
        <v>0</v>
      </c>
      <c r="S98" t="n">
        <v>0</v>
      </c>
      <c r="T98" t="n">
        <v>0</v>
      </c>
      <c r="U98" t="n">
        <v>0</v>
      </c>
      <c r="V98" s="2" t="inlineStr"/>
    </row>
    <row r="99" ht="15" customHeight="1">
      <c r="A99" t="inlineStr">
        <is>
          <t>A 41772-2026</t>
        </is>
      </c>
      <c r="B99" t="inlineStr">
        <is>
          <t>avverkningsanmälan</t>
        </is>
      </c>
      <c r="C99" t="inlineStr">
        <is>
          <t>Föryngringsavverkning</t>
        </is>
      </c>
      <c r="D99" s="1" t="n">
        <v>46302</v>
      </c>
      <c r="E99" s="1" t="n">
        <v>46324</v>
      </c>
      <c r="F99" t="inlineStr">
        <is>
          <t>STOCKHOLMS LÄN</t>
        </is>
      </c>
      <c r="G99" t="inlineStr">
        <is>
          <t>ÖSTERÅKER</t>
        </is>
      </c>
      <c r="H99" t="inlineStr">
        <is>
          <t>Övriga Aktiebolag</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46324</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16803-2022</t>
        </is>
      </c>
      <c r="B101" t="inlineStr">
        <is>
          <t>avverkningsanmälan</t>
        </is>
      </c>
      <c r="C101" t="inlineStr">
        <is>
          <t>Föryngringsavverkning</t>
        </is>
      </c>
      <c r="D101" s="1" t="n">
        <v>44673</v>
      </c>
      <c r="E101" s="1" t="n">
        <v>46324</v>
      </c>
      <c r="F101" t="inlineStr">
        <is>
          <t>STOCKHOLMS LÄN</t>
        </is>
      </c>
      <c r="G101" t="inlineStr">
        <is>
          <t>ÖSTERÅKER</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470-2022</t>
        </is>
      </c>
      <c r="B102" t="inlineStr">
        <is>
          <t>avverkningsanmälan</t>
        </is>
      </c>
      <c r="C102" t="inlineStr">
        <is>
          <t>Föryngringsavverkning</t>
        </is>
      </c>
      <c r="D102" s="1" t="n">
        <v>44565</v>
      </c>
      <c r="E102" s="1" t="n">
        <v>46324</v>
      </c>
      <c r="F102" t="inlineStr">
        <is>
          <t>STOCKHOLMS LÄN</t>
        </is>
      </c>
      <c r="G102" t="inlineStr">
        <is>
          <t>ÖSTERÅKER</t>
        </is>
      </c>
      <c r="H102" t="inlineStr">
        <is>
          <t>Övriga Aktiebolag</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46324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46324</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46324</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2026-10-29T03:15:34Z</dcterms:created>
  <dcterms:modified xmlns:dcterms="http://purl.org/dc/terms/" xmlns:xsi="http://www.w3.org/2001/XMLSchema-instance" xsi:type="dcterms:W3CDTF">2026-10-29T03:15:34Z</dcterms:modified>
</cp:coreProperties>
</file>