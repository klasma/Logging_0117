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46279</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46279</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46279</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46279</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46279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46279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46279</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46279</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46279</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46279</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46279</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46279</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46279</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54703-2024</t>
        </is>
      </c>
      <c r="B15" t="inlineStr">
        <is>
          <t>avverkningsanmälan</t>
        </is>
      </c>
      <c r="C15" t="inlineStr">
        <is>
          <t>Avverkning för annat ändamål</t>
        </is>
      </c>
      <c r="D15" s="1" t="n">
        <v>45618</v>
      </c>
      <c r="E15" s="1" t="n">
        <v>46279</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t="n">
        <v>0</v>
      </c>
      <c r="V15" s="2" t="inlineStr">
        <is>
          <t>Tallticka
Spillkråka
Kungsfågel</t>
        </is>
      </c>
      <c r="W15">
        <f>HYPERLINK("https://klasma.github.io/Logging_0117/artfynd/A 54703-2024 artfynd.xlsx", "A 54703-2024")</f>
        <v/>
      </c>
      <c r="X15">
        <f>HYPERLINK("https://klasma.github.io/Logging_0117/kartor/A 54703-2024 karta.png", "A 54703-2024")</f>
        <v/>
      </c>
      <c r="Y15">
        <f>HYPERLINK("https://klasma.github.io/Logging_0117/kartor_geotiff/A 54703-2024 georefererad karta.tif", "A 54703-2024")</f>
        <v/>
      </c>
      <c r="AA15">
        <f>HYPERLINK("https://klasma.github.io/Logging_0117/klagomål/A 54703-2024 FSC-klagomål.docx", "A 54703-2024")</f>
        <v/>
      </c>
      <c r="AB15">
        <f>HYPERLINK("https://klasma.github.io/Logging_0117/klagomålsmail/A 54703-2024 FSC-klagomål mail.docx", "A 54703-2024")</f>
        <v/>
      </c>
      <c r="AC15">
        <f>HYPERLINK("https://klasma.github.io/Logging_0117/tillsyn/A 54703-2024 tillsynsbegäran.docx", "A 54703-2024")</f>
        <v/>
      </c>
      <c r="AD15">
        <f>HYPERLINK("https://klasma.github.io/Logging_0117/tillsynsmail/A 54703-2024 tillsynsbegäran mail.docx", "A 54703-2024")</f>
        <v/>
      </c>
      <c r="AE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46279</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27948-2025</t>
        </is>
      </c>
      <c r="B17" t="inlineStr">
        <is>
          <t>avverkningsanmälan</t>
        </is>
      </c>
      <c r="C17" t="inlineStr">
        <is>
          <t>Föryngringsavverkning</t>
        </is>
      </c>
      <c r="D17" s="1" t="n">
        <v>45817</v>
      </c>
      <c r="E17" s="1" t="n">
        <v>46279</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46279</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46279</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46279</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46279</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46279</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46279</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46279</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46279</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46279</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46279</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46279</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46279</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46279</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46279</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46279</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46279</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46279</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46279</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46279</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46279</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46279</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46279</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46279</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46279</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46279</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46279</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46279</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46279</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46279</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22528-2024</t>
        </is>
      </c>
      <c r="B47" t="inlineStr">
        <is>
          <t>avverkningsanmälan</t>
        </is>
      </c>
      <c r="C47" t="inlineStr">
        <is>
          <t>Föryngringsavverkning</t>
        </is>
      </c>
      <c r="D47" s="1" t="n">
        <v>45447</v>
      </c>
      <c r="E47" s="1" t="n">
        <v>46279</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16803-2022</t>
        </is>
      </c>
      <c r="B48" t="inlineStr">
        <is>
          <t>avverkningsanmälan</t>
        </is>
      </c>
      <c r="C48" t="inlineStr">
        <is>
          <t>Föryngringsavverkning</t>
        </is>
      </c>
      <c r="D48" s="1" t="n">
        <v>44673</v>
      </c>
      <c r="E48" s="1" t="n">
        <v>46279</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61710-2022</t>
        </is>
      </c>
      <c r="B49" t="inlineStr">
        <is>
          <t>avverkningsanmälan</t>
        </is>
      </c>
      <c r="C49" t="inlineStr">
        <is>
          <t>Föryngringsavverkning</t>
        </is>
      </c>
      <c r="D49" s="1" t="n">
        <v>44917</v>
      </c>
      <c r="E49" s="1" t="n">
        <v>46279</v>
      </c>
      <c r="F49" t="inlineStr">
        <is>
          <t>STOCKHOLMS LÄN</t>
        </is>
      </c>
      <c r="G49" t="inlineStr">
        <is>
          <t>ÖSTERÅKER</t>
        </is>
      </c>
      <c r="I49" t="n">
        <v>6.2</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46279</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34034-2025</t>
        </is>
      </c>
      <c r="B51" t="inlineStr">
        <is>
          <t>avverkningsanmälan</t>
        </is>
      </c>
      <c r="C51" t="inlineStr">
        <is>
          <t>Föryngringsavverkning</t>
        </is>
      </c>
      <c r="D51" s="1" t="n">
        <v>45842</v>
      </c>
      <c r="E51" s="1" t="n">
        <v>46279</v>
      </c>
      <c r="F51" t="inlineStr">
        <is>
          <t>STOCKHOLMS LÄN</t>
        </is>
      </c>
      <c r="G51" t="inlineStr">
        <is>
          <t>ÖSTERÅKER</t>
        </is>
      </c>
      <c r="H51" t="inlineStr">
        <is>
          <t>Övriga Aktiebolag</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3917-2023</t>
        </is>
      </c>
      <c r="B52" t="inlineStr">
        <is>
          <t>avverkningsanmälan</t>
        </is>
      </c>
      <c r="C52" t="inlineStr">
        <is>
          <t>Föryngringsavverkning</t>
        </is>
      </c>
      <c r="D52" s="1" t="n">
        <v>44952</v>
      </c>
      <c r="E52" s="1" t="n">
        <v>46279</v>
      </c>
      <c r="F52" t="inlineStr">
        <is>
          <t>STOCKHOLMS LÄN</t>
        </is>
      </c>
      <c r="G52" t="inlineStr">
        <is>
          <t>ÖSTERÅKER</t>
        </is>
      </c>
      <c r="H52" t="inlineStr">
        <is>
          <t>Kommuner</t>
        </is>
      </c>
      <c r="I52" t="n">
        <v>2.8</v>
      </c>
      <c r="J52" t="n">
        <v>0</v>
      </c>
      <c r="K52" t="n">
        <v>0</v>
      </c>
      <c r="L52" t="n">
        <v>0</v>
      </c>
      <c r="M52" t="n">
        <v>0</v>
      </c>
      <c r="N52" t="n">
        <v>0</v>
      </c>
      <c r="O52" t="n">
        <v>0</v>
      </c>
      <c r="P52" t="n">
        <v>0</v>
      </c>
      <c r="Q52" t="n">
        <v>0</v>
      </c>
      <c r="R52" t="n">
        <v>0</v>
      </c>
      <c r="S52" t="n">
        <v>0</v>
      </c>
      <c r="T52" t="n">
        <v>0</v>
      </c>
      <c r="U52" t="n">
        <v>0</v>
      </c>
      <c r="V52" s="2" t="inlineStr"/>
    </row>
    <row r="53" ht="15" customHeight="1">
      <c r="A53" t="inlineStr">
        <is>
          <t>A 35819-2025</t>
        </is>
      </c>
      <c r="B53" t="inlineStr">
        <is>
          <t>avverkningsanmälan</t>
        </is>
      </c>
      <c r="C53" t="inlineStr">
        <is>
          <t>Föryngringsavverkning</t>
        </is>
      </c>
      <c r="D53" s="1" t="n">
        <v>45861</v>
      </c>
      <c r="E53" s="1" t="n">
        <v>46279</v>
      </c>
      <c r="F53" t="inlineStr">
        <is>
          <t>STOCKHOLMS LÄN</t>
        </is>
      </c>
      <c r="G53" t="inlineStr">
        <is>
          <t>ÖSTERÅKER</t>
        </is>
      </c>
      <c r="H53" t="inlineStr">
        <is>
          <t>Övriga Aktiebolag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12345-2026</t>
        </is>
      </c>
      <c r="B54" t="inlineStr">
        <is>
          <t>avverkningsanmälan</t>
        </is>
      </c>
      <c r="C54" t="inlineStr">
        <is>
          <t>Föryngringsavverkning</t>
        </is>
      </c>
      <c r="D54" s="1" t="n">
        <v>46087</v>
      </c>
      <c r="E54" s="1" t="n">
        <v>46279</v>
      </c>
      <c r="F54" t="inlineStr">
        <is>
          <t>STOCKHOLMS LÄN</t>
        </is>
      </c>
      <c r="G54" t="inlineStr">
        <is>
          <t>ÖSTERÅKER</t>
        </is>
      </c>
      <c r="H54" t="inlineStr">
        <is>
          <t>Övriga Aktiebolag</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544-2023</t>
        </is>
      </c>
      <c r="B55" t="inlineStr">
        <is>
          <t>avverkningsanmälan</t>
        </is>
      </c>
      <c r="C55" t="inlineStr">
        <is>
          <t>Avverkning för annat ändamål</t>
        </is>
      </c>
      <c r="D55" s="1" t="n">
        <v>44924</v>
      </c>
      <c r="E55" s="1" t="n">
        <v>46279</v>
      </c>
      <c r="F55" t="inlineStr">
        <is>
          <t>STOCKHOLMS LÄN</t>
        </is>
      </c>
      <c r="G55" t="inlineStr">
        <is>
          <t>ÖSTERÅKER</t>
        </is>
      </c>
      <c r="H55" t="inlineStr">
        <is>
          <t>Övriga Aktiebolag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46279</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470-2022</t>
        </is>
      </c>
      <c r="B57" t="inlineStr">
        <is>
          <t>avverkningsanmälan</t>
        </is>
      </c>
      <c r="C57" t="inlineStr">
        <is>
          <t>Föryngringsavverkning</t>
        </is>
      </c>
      <c r="D57" s="1" t="n">
        <v>44565</v>
      </c>
      <c r="E57" s="1" t="n">
        <v>46279</v>
      </c>
      <c r="F57" t="inlineStr">
        <is>
          <t>STOCKHOLMS LÄN</t>
        </is>
      </c>
      <c r="G57" t="inlineStr">
        <is>
          <t>ÖSTERÅKER</t>
        </is>
      </c>
      <c r="H57" t="inlineStr">
        <is>
          <t>Övriga Aktiebolag</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21796-2025</t>
        </is>
      </c>
      <c r="B58" t="inlineStr">
        <is>
          <t>avverkningsanmälan</t>
        </is>
      </c>
      <c r="C58" t="inlineStr">
        <is>
          <t>Föryngringsavverkning</t>
        </is>
      </c>
      <c r="D58" s="1" t="n">
        <v>45783</v>
      </c>
      <c r="E58" s="1" t="n">
        <v>46279</v>
      </c>
      <c r="F58" t="inlineStr">
        <is>
          <t>STOCKHOLMS LÄN</t>
        </is>
      </c>
      <c r="G58" t="inlineStr">
        <is>
          <t>ÖSTERÅKER</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33158-2024</t>
        </is>
      </c>
      <c r="B59" t="inlineStr">
        <is>
          <t>avverkningsanmälan</t>
        </is>
      </c>
      <c r="C59" t="inlineStr">
        <is>
          <t>Avverkning för annat ändamål</t>
        </is>
      </c>
      <c r="D59" s="1" t="n">
        <v>45518</v>
      </c>
      <c r="E59" s="1" t="n">
        <v>46279</v>
      </c>
      <c r="F59" t="inlineStr">
        <is>
          <t>STOCKHOLMS LÄN</t>
        </is>
      </c>
      <c r="G59" t="inlineStr">
        <is>
          <t>ÖSTERÅKER</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13366-2024</t>
        </is>
      </c>
      <c r="B60" t="inlineStr">
        <is>
          <t>avverkningsanmälan</t>
        </is>
      </c>
      <c r="C60" t="inlineStr">
        <is>
          <t>Föryngringsavverkning</t>
        </is>
      </c>
      <c r="D60" s="1" t="n">
        <v>45387</v>
      </c>
      <c r="E60" s="1" t="n">
        <v>46279</v>
      </c>
      <c r="F60" t="inlineStr">
        <is>
          <t>STOCKHOLMS LÄN</t>
        </is>
      </c>
      <c r="G60" t="inlineStr">
        <is>
          <t>ÖSTERÅKER</t>
        </is>
      </c>
      <c r="I60" t="n">
        <v>13.7</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46279</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60482-2025</t>
        </is>
      </c>
      <c r="B62" t="inlineStr">
        <is>
          <t>avverkningsanmälan</t>
        </is>
      </c>
      <c r="C62" t="inlineStr">
        <is>
          <t>Föryngringsavverkning</t>
        </is>
      </c>
      <c r="D62" s="1" t="n">
        <v>45995</v>
      </c>
      <c r="E62" s="1" t="n">
        <v>46279</v>
      </c>
      <c r="F62" t="inlineStr">
        <is>
          <t>STOCKHOLMS LÄN</t>
        </is>
      </c>
      <c r="G62" t="inlineStr">
        <is>
          <t>ÖSTERÅKER</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18711-2023</t>
        </is>
      </c>
      <c r="B63" t="inlineStr">
        <is>
          <t>avverkningsanmälan</t>
        </is>
      </c>
      <c r="C63" t="inlineStr">
        <is>
          <t>Föryngringsavverkning</t>
        </is>
      </c>
      <c r="D63" s="1" t="n">
        <v>45043</v>
      </c>
      <c r="E63" s="1" t="n">
        <v>46279</v>
      </c>
      <c r="F63" t="inlineStr">
        <is>
          <t>STOCKHOLMS LÄN</t>
        </is>
      </c>
      <c r="G63" t="inlineStr">
        <is>
          <t>ÖSTERÅKER</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62108-2022</t>
        </is>
      </c>
      <c r="B64" t="inlineStr">
        <is>
          <t>avverkningsanmälan</t>
        </is>
      </c>
      <c r="C64" t="inlineStr">
        <is>
          <t>Föryngringsavverkning</t>
        </is>
      </c>
      <c r="D64" s="1" t="n">
        <v>44920</v>
      </c>
      <c r="E64" s="1" t="n">
        <v>46279</v>
      </c>
      <c r="F64" t="inlineStr">
        <is>
          <t>STOCKHOLMS LÄN</t>
        </is>
      </c>
      <c r="G64" t="inlineStr">
        <is>
          <t>ÖSTERÅKER</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5038-2026</t>
        </is>
      </c>
      <c r="B65" t="inlineStr">
        <is>
          <t>avverkningsanmälan</t>
        </is>
      </c>
      <c r="C65" t="inlineStr">
        <is>
          <t>Föryngringsavverkning</t>
        </is>
      </c>
      <c r="D65" s="1" t="n">
        <v>46049</v>
      </c>
      <c r="E65" s="1" t="n">
        <v>46279</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34713-2025</t>
        </is>
      </c>
      <c r="B66" t="inlineStr">
        <is>
          <t>avverkningsanmälan</t>
        </is>
      </c>
      <c r="C66" t="inlineStr">
        <is>
          <t>Föryngringsavverkning</t>
        </is>
      </c>
      <c r="D66" s="1" t="n">
        <v>45848</v>
      </c>
      <c r="E66" s="1" t="n">
        <v>46279</v>
      </c>
      <c r="F66" t="inlineStr">
        <is>
          <t>STOCKHOLMS LÄN</t>
        </is>
      </c>
      <c r="G66" t="inlineStr">
        <is>
          <t>ÖSTERÅKER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46279</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23144-2024</t>
        </is>
      </c>
      <c r="B68" t="inlineStr">
        <is>
          <t>avverkningsanmälan</t>
        </is>
      </c>
      <c r="C68" t="inlineStr">
        <is>
          <t>Föryngringsavverkning</t>
        </is>
      </c>
      <c r="D68" s="1" t="n">
        <v>45450</v>
      </c>
      <c r="E68" s="1" t="n">
        <v>46279</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17263-2022</t>
        </is>
      </c>
      <c r="B69" t="inlineStr">
        <is>
          <t>avverkningsanmälan</t>
        </is>
      </c>
      <c r="C69" t="inlineStr">
        <is>
          <t>Föryngringsavverkning</t>
        </is>
      </c>
      <c r="D69" s="1" t="n">
        <v>44678</v>
      </c>
      <c r="E69" s="1" t="n">
        <v>46279</v>
      </c>
      <c r="F69" t="inlineStr">
        <is>
          <t>STOCKHOLMS LÄN</t>
        </is>
      </c>
      <c r="G69" t="inlineStr">
        <is>
          <t>ÖSTERÅKER</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31134-2023</t>
        </is>
      </c>
      <c r="B70" t="inlineStr">
        <is>
          <t>avverkningsanmälan</t>
        </is>
      </c>
      <c r="C70" t="inlineStr">
        <is>
          <t>Föryngringsavverkning</t>
        </is>
      </c>
      <c r="D70" s="1" t="n">
        <v>45113</v>
      </c>
      <c r="E70" s="1" t="n">
        <v>46279</v>
      </c>
      <c r="F70" t="inlineStr">
        <is>
          <t>STOCKHOLMS LÄN</t>
        </is>
      </c>
      <c r="G70" t="inlineStr">
        <is>
          <t>ÖSTERÅKER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57048-2024</t>
        </is>
      </c>
      <c r="B71" t="inlineStr">
        <is>
          <t>avverkningsanmälan</t>
        </is>
      </c>
      <c r="C71" t="inlineStr">
        <is>
          <t>Föryngringsavverkning</t>
        </is>
      </c>
      <c r="D71" s="1" t="n">
        <v>45629</v>
      </c>
      <c r="E71" s="1" t="n">
        <v>46279</v>
      </c>
      <c r="F71" t="inlineStr">
        <is>
          <t>STOCKHOLMS LÄN</t>
        </is>
      </c>
      <c r="G71" t="inlineStr">
        <is>
          <t>ÖSTERÅKER</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57055-2024</t>
        </is>
      </c>
      <c r="B72" t="inlineStr">
        <is>
          <t>avverkningsanmälan</t>
        </is>
      </c>
      <c r="C72" t="inlineStr">
        <is>
          <t>Föryngringsavverkning</t>
        </is>
      </c>
      <c r="D72" s="1" t="n">
        <v>45629</v>
      </c>
      <c r="E72" s="1" t="n">
        <v>46279</v>
      </c>
      <c r="F72" t="inlineStr">
        <is>
          <t>STOCKHOLMS LÄN</t>
        </is>
      </c>
      <c r="G72" t="inlineStr">
        <is>
          <t>ÖSTERÅKER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34038-2025</t>
        </is>
      </c>
      <c r="B73" t="inlineStr">
        <is>
          <t>avverkningsanmälan</t>
        </is>
      </c>
      <c r="C73" t="inlineStr">
        <is>
          <t>Föryngringsavverkning</t>
        </is>
      </c>
      <c r="D73" s="1" t="n">
        <v>45842</v>
      </c>
      <c r="E73" s="1" t="n">
        <v>46279</v>
      </c>
      <c r="F73" t="inlineStr">
        <is>
          <t>STOCKHOLMS LÄN</t>
        </is>
      </c>
      <c r="G73" t="inlineStr">
        <is>
          <t>ÖSTERÅKER</t>
        </is>
      </c>
      <c r="H73" t="inlineStr">
        <is>
          <t>Övriga Aktiebolag</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3326-2022</t>
        </is>
      </c>
      <c r="B74" t="inlineStr">
        <is>
          <t>avverkningsanmälan</t>
        </is>
      </c>
      <c r="C74" t="inlineStr">
        <is>
          <t>Föryngringsavverkning</t>
        </is>
      </c>
      <c r="D74" s="1" t="n">
        <v>44583</v>
      </c>
      <c r="E74" s="1" t="n">
        <v>46279</v>
      </c>
      <c r="F74" t="inlineStr">
        <is>
          <t>STOCKHOLMS LÄN</t>
        </is>
      </c>
      <c r="G74" t="inlineStr">
        <is>
          <t>ÖSTERÅKER</t>
        </is>
      </c>
      <c r="H74" t="inlineStr">
        <is>
          <t>Övriga Aktiebolag</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56909-2024</t>
        </is>
      </c>
      <c r="B75" t="inlineStr">
        <is>
          <t>avverkningsanmälan</t>
        </is>
      </c>
      <c r="C75" t="inlineStr">
        <is>
          <t>Avverkning för att bevara och utveckla /försöksver</t>
        </is>
      </c>
      <c r="D75" s="1" t="n">
        <v>45628</v>
      </c>
      <c r="E75" s="1" t="n">
        <v>46279</v>
      </c>
      <c r="F75" t="inlineStr">
        <is>
          <t>STOCKHOLMS LÄN</t>
        </is>
      </c>
      <c r="G75" t="inlineStr">
        <is>
          <t>ÖSTERÅKER</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23198-2026</t>
        </is>
      </c>
      <c r="B76" t="inlineStr">
        <is>
          <t>avverkningsanmälan</t>
        </is>
      </c>
      <c r="C76" t="inlineStr">
        <is>
          <t>Avverkning för annat ändamål</t>
        </is>
      </c>
      <c r="D76" s="1" t="n">
        <v>46161</v>
      </c>
      <c r="E76" s="1" t="n">
        <v>46279</v>
      </c>
      <c r="F76" t="inlineStr">
        <is>
          <t>STOCKHOLMS LÄN</t>
        </is>
      </c>
      <c r="G76" t="inlineStr">
        <is>
          <t>ÖSTERÅKER</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16738-2022</t>
        </is>
      </c>
      <c r="B77" t="inlineStr">
        <is>
          <t>avverkningsanmälan</t>
        </is>
      </c>
      <c r="C77" t="inlineStr">
        <is>
          <t>Avverkning för annat ändamål</t>
        </is>
      </c>
      <c r="D77" s="1" t="n">
        <v>44673</v>
      </c>
      <c r="E77" s="1" t="n">
        <v>46279</v>
      </c>
      <c r="F77" t="inlineStr">
        <is>
          <t>STOCKHOLMS LÄN</t>
        </is>
      </c>
      <c r="G77" t="inlineStr">
        <is>
          <t>ÖSTERÅKER</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9865-2025</t>
        </is>
      </c>
      <c r="B78" t="inlineStr">
        <is>
          <t>avverkningsanmälan</t>
        </is>
      </c>
      <c r="C78" t="inlineStr">
        <is>
          <t>Föryngringsavverkning</t>
        </is>
      </c>
      <c r="D78" s="1" t="n">
        <v>45716</v>
      </c>
      <c r="E78" s="1" t="n">
        <v>46279</v>
      </c>
      <c r="F78" t="inlineStr">
        <is>
          <t>STOCKHOLMS LÄN</t>
        </is>
      </c>
      <c r="G78" t="inlineStr">
        <is>
          <t>ÖSTERÅKER</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59379-2022</t>
        </is>
      </c>
      <c r="B79" t="inlineStr">
        <is>
          <t>avverkningsanmälan</t>
        </is>
      </c>
      <c r="C79" t="inlineStr">
        <is>
          <t>Föryngringsavverkning</t>
        </is>
      </c>
      <c r="D79" s="1" t="n">
        <v>44905</v>
      </c>
      <c r="E79" s="1" t="n">
        <v>46279</v>
      </c>
      <c r="F79" t="inlineStr">
        <is>
          <t>STOCKHOLMS LÄN</t>
        </is>
      </c>
      <c r="G79" t="inlineStr">
        <is>
          <t>ÖSTERÅKER</t>
        </is>
      </c>
      <c r="H79" t="inlineStr">
        <is>
          <t>Kommuner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10185-2025</t>
        </is>
      </c>
      <c r="B80" t="inlineStr">
        <is>
          <t>avverkningsanmälan</t>
        </is>
      </c>
      <c r="C80" t="inlineStr">
        <is>
          <t>Föryngringsavverkning</t>
        </is>
      </c>
      <c r="D80" s="1" t="n">
        <v>45719</v>
      </c>
      <c r="E80" s="1" t="n">
        <v>46279</v>
      </c>
      <c r="F80" t="inlineStr">
        <is>
          <t>STOCKHOLMS LÄN</t>
        </is>
      </c>
      <c r="G80" t="inlineStr">
        <is>
          <t>ÖSTERÅKER</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26249-2026</t>
        </is>
      </c>
      <c r="B81" t="inlineStr">
        <is>
          <t>avverkningsanmälan</t>
        </is>
      </c>
      <c r="C81" t="inlineStr">
        <is>
          <t>Avverkning för annat ändamål</t>
        </is>
      </c>
      <c r="D81" s="1" t="n">
        <v>46182</v>
      </c>
      <c r="E81" s="1" t="n">
        <v>46279</v>
      </c>
      <c r="F81" t="inlineStr">
        <is>
          <t>STOCKHOLMS LÄN</t>
        </is>
      </c>
      <c r="G81" t="inlineStr">
        <is>
          <t>ÖSTERÅKER</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16728-2022</t>
        </is>
      </c>
      <c r="B82" t="inlineStr">
        <is>
          <t>avverkningsanmälan</t>
        </is>
      </c>
      <c r="C82" t="inlineStr">
        <is>
          <t>Föryngringsavverkning</t>
        </is>
      </c>
      <c r="D82" s="1" t="n">
        <v>44673</v>
      </c>
      <c r="E82" s="1" t="n">
        <v>46279</v>
      </c>
      <c r="F82" t="inlineStr">
        <is>
          <t>STOCKHOLMS LÄN</t>
        </is>
      </c>
      <c r="G82" t="inlineStr">
        <is>
          <t>ÖSTERÅKER</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14776-2024</t>
        </is>
      </c>
      <c r="B83" t="inlineStr">
        <is>
          <t>avverkningsanmälan</t>
        </is>
      </c>
      <c r="C83" t="inlineStr">
        <is>
          <t>Föryngringsavverkning</t>
        </is>
      </c>
      <c r="D83" s="1" t="n">
        <v>45397</v>
      </c>
      <c r="E83" s="1" t="n">
        <v>46279</v>
      </c>
      <c r="F83" t="inlineStr">
        <is>
          <t>STOCKHOLMS LÄN</t>
        </is>
      </c>
      <c r="G83" t="inlineStr">
        <is>
          <t>ÖSTERÅKER</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61370-2022</t>
        </is>
      </c>
      <c r="B84" t="inlineStr">
        <is>
          <t>avverkningsanmälan</t>
        </is>
      </c>
      <c r="C84" t="inlineStr">
        <is>
          <t>Föryngringsavverkning</t>
        </is>
      </c>
      <c r="D84" s="1" t="n">
        <v>44915</v>
      </c>
      <c r="E84" s="1" t="n">
        <v>46279</v>
      </c>
      <c r="F84" t="inlineStr">
        <is>
          <t>STOCKHOLMS LÄN</t>
        </is>
      </c>
      <c r="G84" t="inlineStr">
        <is>
          <t>ÖSTERÅKER</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3817-2023</t>
        </is>
      </c>
      <c r="B85" t="inlineStr">
        <is>
          <t>avverkningsanmälan</t>
        </is>
      </c>
      <c r="C85" t="inlineStr">
        <is>
          <t>Föryngringsavverkning</t>
        </is>
      </c>
      <c r="D85" s="1" t="n">
        <v>44951</v>
      </c>
      <c r="E85" s="1" t="n">
        <v>46279</v>
      </c>
      <c r="F85" t="inlineStr">
        <is>
          <t>STOCKHOLMS LÄN</t>
        </is>
      </c>
      <c r="G85" t="inlineStr">
        <is>
          <t>ÖSTERÅKER</t>
        </is>
      </c>
      <c r="H85" t="inlineStr">
        <is>
          <t>Kommuner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3828-2023</t>
        </is>
      </c>
      <c r="B86" t="inlineStr">
        <is>
          <t>avverkningsanmälan</t>
        </is>
      </c>
      <c r="C86" t="inlineStr">
        <is>
          <t>Föryngringsavverkning</t>
        </is>
      </c>
      <c r="D86" s="1" t="n">
        <v>44951</v>
      </c>
      <c r="E86" s="1" t="n">
        <v>46279</v>
      </c>
      <c r="F86" t="inlineStr">
        <is>
          <t>STOCKHOLMS LÄN</t>
        </is>
      </c>
      <c r="G86" t="inlineStr">
        <is>
          <t>ÖSTERÅKER</t>
        </is>
      </c>
      <c r="H86" t="inlineStr">
        <is>
          <t>Kommuner</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29443-2026</t>
        </is>
      </c>
      <c r="B87" t="inlineStr">
        <is>
          <t>avverkningsanmälan</t>
        </is>
      </c>
      <c r="C87" t="inlineStr">
        <is>
          <t>Föryngringsavverkning</t>
        </is>
      </c>
      <c r="D87" s="1" t="n">
        <v>46203</v>
      </c>
      <c r="E87" s="1" t="n">
        <v>46279</v>
      </c>
      <c r="F87" t="inlineStr">
        <is>
          <t>STOCKHOLMS LÄN</t>
        </is>
      </c>
      <c r="G87" t="inlineStr">
        <is>
          <t>ÖSTERÅKER</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24499-2023</t>
        </is>
      </c>
      <c r="B88" t="inlineStr">
        <is>
          <t>avverkningsanmälan</t>
        </is>
      </c>
      <c r="C88" t="inlineStr">
        <is>
          <t>Föryngringsavverkning</t>
        </is>
      </c>
      <c r="D88" s="1" t="n">
        <v>45082</v>
      </c>
      <c r="E88" s="1" t="n">
        <v>46279</v>
      </c>
      <c r="F88" t="inlineStr">
        <is>
          <t>STOCKHOLMS LÄN</t>
        </is>
      </c>
      <c r="G88" t="inlineStr">
        <is>
          <t>ÖSTERÅKER</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17196-2022</t>
        </is>
      </c>
      <c r="B89" t="inlineStr">
        <is>
          <t>avverkningsanmälan</t>
        </is>
      </c>
      <c r="C89" t="inlineStr">
        <is>
          <t>Föryngringsavverkning</t>
        </is>
      </c>
      <c r="D89" s="1" t="n">
        <v>44677</v>
      </c>
      <c r="E89" s="1" t="n">
        <v>46279</v>
      </c>
      <c r="F89" t="inlineStr">
        <is>
          <t>STOCKHOLMS LÄN</t>
        </is>
      </c>
      <c r="G89" t="inlineStr">
        <is>
          <t>ÖSTERÅKER</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30599-2026</t>
        </is>
      </c>
      <c r="B90" t="inlineStr">
        <is>
          <t>avverkningsanmälan</t>
        </is>
      </c>
      <c r="C90" t="inlineStr">
        <is>
          <t>Föryngringsavverkning</t>
        </is>
      </c>
      <c r="D90" s="1" t="n">
        <v>46210</v>
      </c>
      <c r="E90" s="1" t="n">
        <v>46279</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31149-2026</t>
        </is>
      </c>
      <c r="B91" t="inlineStr">
        <is>
          <t>avverkningsanmälan</t>
        </is>
      </c>
      <c r="C91" t="inlineStr">
        <is>
          <t>Föryngringsavverkning</t>
        </is>
      </c>
      <c r="D91" s="1" t="n">
        <v>46216</v>
      </c>
      <c r="E91" s="1" t="n">
        <v>46279</v>
      </c>
      <c r="F91" t="inlineStr">
        <is>
          <t>STOCKHOLMS LÄN</t>
        </is>
      </c>
      <c r="G91" t="inlineStr">
        <is>
          <t>ÖSTERÅKER</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31156-2026</t>
        </is>
      </c>
      <c r="B92" t="inlineStr">
        <is>
          <t>avverkningsanmälan</t>
        </is>
      </c>
      <c r="C92" t="inlineStr">
        <is>
          <t>Föryngringsavverkning</t>
        </is>
      </c>
      <c r="D92" s="1" t="n">
        <v>46216</v>
      </c>
      <c r="E92" s="1" t="n">
        <v>46279</v>
      </c>
      <c r="F92" t="inlineStr">
        <is>
          <t>STOCKHOLMS LÄN</t>
        </is>
      </c>
      <c r="G92" t="inlineStr">
        <is>
          <t>ÖSTERÅKER</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31146-2026</t>
        </is>
      </c>
      <c r="B93" t="inlineStr">
        <is>
          <t>avverkningsanmälan</t>
        </is>
      </c>
      <c r="C93" t="inlineStr">
        <is>
          <t>Föryngringsavverkning</t>
        </is>
      </c>
      <c r="D93" s="1" t="n">
        <v>46216</v>
      </c>
      <c r="E93" s="1" t="n">
        <v>46279</v>
      </c>
      <c r="F93" t="inlineStr">
        <is>
          <t>STOCKHOLMS LÄN</t>
        </is>
      </c>
      <c r="G93" t="inlineStr">
        <is>
          <t>ÖSTERÅKER</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1603-2023</t>
        </is>
      </c>
      <c r="B94" t="inlineStr">
        <is>
          <t>avverkningsanmälan</t>
        </is>
      </c>
      <c r="C94" t="inlineStr">
        <is>
          <t>Föryngringsavverkning</t>
        </is>
      </c>
      <c r="D94" s="1" t="n">
        <v>44937</v>
      </c>
      <c r="E94" s="1" t="n">
        <v>46279</v>
      </c>
      <c r="F94" t="inlineStr">
        <is>
          <t>STOCKHOLMS LÄN</t>
        </is>
      </c>
      <c r="G94" t="inlineStr">
        <is>
          <t>ÖSTERÅKER</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1605-2023</t>
        </is>
      </c>
      <c r="B95" t="inlineStr">
        <is>
          <t>avverkningsanmälan</t>
        </is>
      </c>
      <c r="C95" t="inlineStr">
        <is>
          <t>Föryngringsavverkning</t>
        </is>
      </c>
      <c r="D95" s="1" t="n">
        <v>44937</v>
      </c>
      <c r="E95" s="1" t="n">
        <v>46279</v>
      </c>
      <c r="F95" t="inlineStr">
        <is>
          <t>STOCKHOLMS LÄN</t>
        </is>
      </c>
      <c r="G95" t="inlineStr">
        <is>
          <t>ÖSTERÅKER</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31154-2026</t>
        </is>
      </c>
      <c r="B96" t="inlineStr">
        <is>
          <t>avverkningsanmälan</t>
        </is>
      </c>
      <c r="C96" t="inlineStr">
        <is>
          <t>Föryngringsavverkning</t>
        </is>
      </c>
      <c r="D96" s="1" t="n">
        <v>46216</v>
      </c>
      <c r="E96" s="1" t="n">
        <v>46279</v>
      </c>
      <c r="F96" t="inlineStr">
        <is>
          <t>STOCKHOLMS LÄN</t>
        </is>
      </c>
      <c r="G96" t="inlineStr">
        <is>
          <t>ÖSTERÅKER</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5286-2025</t>
        </is>
      </c>
      <c r="B97" t="inlineStr">
        <is>
          <t>avverkningsanmälan</t>
        </is>
      </c>
      <c r="C97" t="inlineStr">
        <is>
          <t>Föryngringsavverkning</t>
        </is>
      </c>
      <c r="D97" s="1" t="n">
        <v>45692</v>
      </c>
      <c r="E97" s="1" t="n">
        <v>46279</v>
      </c>
      <c r="F97" t="inlineStr">
        <is>
          <t>STOCKHOLMS LÄN</t>
        </is>
      </c>
      <c r="G97" t="inlineStr">
        <is>
          <t>ÖSTERÅKER</t>
        </is>
      </c>
      <c r="I97" t="n">
        <v>11.2</v>
      </c>
      <c r="J97" t="n">
        <v>0</v>
      </c>
      <c r="K97" t="n">
        <v>0</v>
      </c>
      <c r="L97" t="n">
        <v>0</v>
      </c>
      <c r="M97" t="n">
        <v>0</v>
      </c>
      <c r="N97" t="n">
        <v>0</v>
      </c>
      <c r="O97" t="n">
        <v>0</v>
      </c>
      <c r="P97" t="n">
        <v>0</v>
      </c>
      <c r="Q97" t="n">
        <v>0</v>
      </c>
      <c r="R97" t="n">
        <v>0</v>
      </c>
      <c r="S97" t="n">
        <v>0</v>
      </c>
      <c r="T97" t="n">
        <v>0</v>
      </c>
      <c r="U97" t="n">
        <v>0</v>
      </c>
      <c r="V97" s="2" t="inlineStr"/>
    </row>
    <row r="98" ht="15" customHeight="1">
      <c r="A98" t="inlineStr">
        <is>
          <t>A 1136-2023</t>
        </is>
      </c>
      <c r="B98" t="inlineStr">
        <is>
          <t>avverkningsanmälan</t>
        </is>
      </c>
      <c r="C98" t="inlineStr">
        <is>
          <t>Avverkning för annat ändamål</t>
        </is>
      </c>
      <c r="D98" s="1" t="n">
        <v>44935</v>
      </c>
      <c r="E98" s="1" t="n">
        <v>46279</v>
      </c>
      <c r="F98" t="inlineStr">
        <is>
          <t>STOCKHOLMS LÄN</t>
        </is>
      </c>
      <c r="G98" t="inlineStr">
        <is>
          <t>ÖSTERÅKER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39394-2023</t>
        </is>
      </c>
      <c r="B99" t="inlineStr">
        <is>
          <t>avverkningsanmälan</t>
        </is>
      </c>
      <c r="C99" t="inlineStr">
        <is>
          <t>Föryngringsavverkning</t>
        </is>
      </c>
      <c r="D99" s="1" t="n">
        <v>45166</v>
      </c>
      <c r="E99" s="1" t="n">
        <v>46279</v>
      </c>
      <c r="F99" t="inlineStr">
        <is>
          <t>STOCKHOLMS LÄN</t>
        </is>
      </c>
      <c r="G99" t="inlineStr">
        <is>
          <t>ÖSTERÅKER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845-2024</t>
        </is>
      </c>
      <c r="B100" t="inlineStr">
        <is>
          <t>avverkningsanmälan</t>
        </is>
      </c>
      <c r="C100" t="inlineStr">
        <is>
          <t>Föryngringsavverkning</t>
        </is>
      </c>
      <c r="D100" s="1" t="n">
        <v>45300</v>
      </c>
      <c r="E100" s="1" t="n">
        <v>46279</v>
      </c>
      <c r="F100" t="inlineStr">
        <is>
          <t>STOCKHOLMS LÄN</t>
        </is>
      </c>
      <c r="G100" t="inlineStr">
        <is>
          <t>ÖSTERÅKER</t>
        </is>
      </c>
      <c r="I100" t="n">
        <v>10.1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37037-2023</t>
        </is>
      </c>
      <c r="B101" t="inlineStr">
        <is>
          <t>avverkningsanmälan</t>
        </is>
      </c>
      <c r="C101" t="inlineStr">
        <is>
          <t>Föryngringsavverkning</t>
        </is>
      </c>
      <c r="D101" s="1" t="n">
        <v>45155</v>
      </c>
      <c r="E101" s="1" t="n">
        <v>46279</v>
      </c>
      <c r="F101" t="inlineStr">
        <is>
          <t>STOCKHOLMS LÄN</t>
        </is>
      </c>
      <c r="G101" t="inlineStr">
        <is>
          <t>ÖSTERÅKER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27137-2025</t>
        </is>
      </c>
      <c r="B102" t="inlineStr">
        <is>
          <t>avverkningsanmälan</t>
        </is>
      </c>
      <c r="C102" t="inlineStr">
        <is>
          <t>Föryngringsavverkning</t>
        </is>
      </c>
      <c r="D102" s="1" t="n">
        <v>45811</v>
      </c>
      <c r="E102" s="1" t="n">
        <v>46279</v>
      </c>
      <c r="F102" t="inlineStr">
        <is>
          <t>STOCKHOLMS LÄN</t>
        </is>
      </c>
      <c r="G102" t="inlineStr">
        <is>
          <t>ÖSTERÅKER</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46279</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46279</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46279</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2026-09-14T02:13:05Z</dcterms:created>
  <dcterms:modified xmlns:dcterms="http://purl.org/dc/terms/" xmlns:xsi="http://www.w3.org/2001/XMLSchema-instance" xsi:type="dcterms:W3CDTF">2026-09-14T02:13:05Z</dcterms:modified>
</cp:coreProperties>
</file>