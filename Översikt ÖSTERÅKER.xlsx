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46198</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46198</v>
      </c>
      <c r="D3" t="inlineStr">
        <is>
          <t>STOCKHOLMS LÄN</t>
        </is>
      </c>
      <c r="E3" t="inlineStr">
        <is>
          <t>ÖSTERÅKER</t>
        </is>
      </c>
      <c r="G3" t="n">
        <v>5.7</v>
      </c>
      <c r="H3" t="n">
        <v>5</v>
      </c>
      <c r="I3" t="n">
        <v>4</v>
      </c>
      <c r="J3" t="n">
        <v>5</v>
      </c>
      <c r="K3" t="n">
        <v>1</v>
      </c>
      <c r="L3" t="n">
        <v>0</v>
      </c>
      <c r="M3" t="n">
        <v>0</v>
      </c>
      <c r="N3" t="n">
        <v>0</v>
      </c>
      <c r="O3" t="n">
        <v>6</v>
      </c>
      <c r="P3" t="n">
        <v>1</v>
      </c>
      <c r="Q3" t="n">
        <v>14</v>
      </c>
      <c r="R3" s="2" t="inlineStr">
        <is>
          <t>Garnlav
Sårläka
Tallticka
Talltita
Ullticka
Älg
Björksplintborre
Mörk husmossa
Thomsons trägnagare
Tibast
Blåsippa
Spillkråka
Sångsvan
Nattviol</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3919-2023</t>
        </is>
      </c>
      <c r="B4" s="1" t="n">
        <v>44952</v>
      </c>
      <c r="C4" s="1" t="n">
        <v>46198</v>
      </c>
      <c r="D4" t="inlineStr">
        <is>
          <t>STOCKHOLMS LÄN</t>
        </is>
      </c>
      <c r="E4" t="inlineStr">
        <is>
          <t>ÖSTERÅKER</t>
        </is>
      </c>
      <c r="F4" t="inlineStr">
        <is>
          <t>Kommuner</t>
        </is>
      </c>
      <c r="G4" t="n">
        <v>4.9</v>
      </c>
      <c r="H4" t="n">
        <v>13</v>
      </c>
      <c r="I4" t="n">
        <v>0</v>
      </c>
      <c r="J4" t="n">
        <v>4</v>
      </c>
      <c r="K4" t="n">
        <v>2</v>
      </c>
      <c r="L4" t="n">
        <v>0</v>
      </c>
      <c r="M4" t="n">
        <v>0</v>
      </c>
      <c r="N4" t="n">
        <v>0</v>
      </c>
      <c r="O4" t="n">
        <v>6</v>
      </c>
      <c r="P4" t="n">
        <v>2</v>
      </c>
      <c r="Q4" t="n">
        <v>14</v>
      </c>
      <c r="R4" s="2" t="inlineStr">
        <is>
          <t>Grönfink
Stare
Brunlångöra
Grönsångare
Nordfladdermus
Tallticka
Tofsmes
Dvärgpipistrell
Grönsiska
Kråka
Kungsfågel
Större brunfladdermus
Svartvit flugsnappare
Trädlärka</t>
        </is>
      </c>
      <c r="S4">
        <f>HYPERLINK("https://klasma.github.io/Logging_0117/artfynd/A 3919-2023 artfynd.xlsx", "A 3919-2023")</f>
        <v/>
      </c>
      <c r="T4">
        <f>HYPERLINK("https://klasma.github.io/Logging_0117/kartor/A 3919-2023 karta.png", "A 3919-2023")</f>
        <v/>
      </c>
      <c r="V4">
        <f>HYPERLINK("https://klasma.github.io/Logging_0117/klagomål/A 3919-2023 FSC-klagomål.docx", "A 3919-2023")</f>
        <v/>
      </c>
      <c r="W4">
        <f>HYPERLINK("https://klasma.github.io/Logging_0117/klagomålsmail/A 3919-2023 FSC-klagomål mail.docx", "A 3919-2023")</f>
        <v/>
      </c>
      <c r="X4">
        <f>HYPERLINK("https://klasma.github.io/Logging_0117/tillsyn/A 3919-2023 tillsynsbegäran.docx", "A 3919-2023")</f>
        <v/>
      </c>
      <c r="Y4">
        <f>HYPERLINK("https://klasma.github.io/Logging_0117/tillsynsmail/A 3919-2023 tillsynsbegäran mail.docx", "A 3919-2023")</f>
        <v/>
      </c>
      <c r="Z4">
        <f>HYPERLINK("https://klasma.github.io/Logging_0117/fåglar/A 3919-2023 prioriterade fågelarter.docx", "A 3919-2023")</f>
        <v/>
      </c>
    </row>
    <row r="5" ht="15" customHeight="1">
      <c r="A5" t="inlineStr">
        <is>
          <t>A 25888-2026</t>
        </is>
      </c>
      <c r="B5" s="1" t="n">
        <v>46178</v>
      </c>
      <c r="C5" s="1" t="n">
        <v>46198</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46198</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46198</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46198</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46198</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46198</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46198</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46198</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62578-2025</t>
        </is>
      </c>
      <c r="B13" s="1" t="n">
        <v>46007</v>
      </c>
      <c r="C13" s="1" t="n">
        <v>46198</v>
      </c>
      <c r="D13" t="inlineStr">
        <is>
          <t>STOCKHOLMS LÄN</t>
        </is>
      </c>
      <c r="E13" t="inlineStr">
        <is>
          <t>ÖSTERÅKER</t>
        </is>
      </c>
      <c r="G13" t="n">
        <v>3.4</v>
      </c>
      <c r="H13" t="n">
        <v>0</v>
      </c>
      <c r="I13" t="n">
        <v>3</v>
      </c>
      <c r="J13" t="n">
        <v>0</v>
      </c>
      <c r="K13" t="n">
        <v>0</v>
      </c>
      <c r="L13" t="n">
        <v>0</v>
      </c>
      <c r="M13" t="n">
        <v>0</v>
      </c>
      <c r="N13" t="n">
        <v>0</v>
      </c>
      <c r="O13" t="n">
        <v>0</v>
      </c>
      <c r="P13" t="n">
        <v>0</v>
      </c>
      <c r="Q13" t="n">
        <v>3</v>
      </c>
      <c r="R13" s="2" t="inlineStr">
        <is>
          <t>Fällmossa
Mindre märgborre
Vedticka</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61363-2022</t>
        </is>
      </c>
      <c r="B14" s="1" t="n">
        <v>44915</v>
      </c>
      <c r="C14" s="1" t="n">
        <v>46198</v>
      </c>
      <c r="D14" t="inlineStr">
        <is>
          <t>STOCKHOLMS LÄN</t>
        </is>
      </c>
      <c r="E14" t="inlineStr">
        <is>
          <t>ÖSTERÅKER</t>
        </is>
      </c>
      <c r="G14" t="n">
        <v>5.3</v>
      </c>
      <c r="H14" t="n">
        <v>1</v>
      </c>
      <c r="I14" t="n">
        <v>0</v>
      </c>
      <c r="J14" t="n">
        <v>2</v>
      </c>
      <c r="K14" t="n">
        <v>0</v>
      </c>
      <c r="L14" t="n">
        <v>0</v>
      </c>
      <c r="M14" t="n">
        <v>0</v>
      </c>
      <c r="N14" t="n">
        <v>0</v>
      </c>
      <c r="O14" t="n">
        <v>2</v>
      </c>
      <c r="P14" t="n">
        <v>0</v>
      </c>
      <c r="Q14" t="n">
        <v>3</v>
      </c>
      <c r="R14" s="2" t="inlineStr">
        <is>
          <t>Motaggsvamp
Skuggblåslav
Tjäder</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c r="Z14">
        <f>HYPERLINK("https://klasma.github.io/Logging_0117/fåglar/A 61363-2022 prioriterade fågelarter.docx", "A 61363-2022")</f>
        <v/>
      </c>
    </row>
    <row r="15" ht="15" customHeight="1">
      <c r="A15" t="inlineStr">
        <is>
          <t>A 54703-2024</t>
        </is>
      </c>
      <c r="B15" s="1" t="n">
        <v>45618</v>
      </c>
      <c r="C15" s="1" t="n">
        <v>46198</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27948-2025</t>
        </is>
      </c>
      <c r="B16" s="1" t="n">
        <v>45817</v>
      </c>
      <c r="C16" s="1" t="n">
        <v>46198</v>
      </c>
      <c r="D16" t="inlineStr">
        <is>
          <t>STOCKHOLMS LÄN</t>
        </is>
      </c>
      <c r="E16" t="inlineStr">
        <is>
          <t>ÖSTERÅKER</t>
        </is>
      </c>
      <c r="G16" t="n">
        <v>5.6</v>
      </c>
      <c r="H16" t="n">
        <v>3</v>
      </c>
      <c r="I16" t="n">
        <v>0</v>
      </c>
      <c r="J16" t="n">
        <v>1</v>
      </c>
      <c r="K16" t="n">
        <v>1</v>
      </c>
      <c r="L16" t="n">
        <v>0</v>
      </c>
      <c r="M16" t="n">
        <v>0</v>
      </c>
      <c r="N16" t="n">
        <v>0</v>
      </c>
      <c r="O16" t="n">
        <v>2</v>
      </c>
      <c r="P16" t="n">
        <v>1</v>
      </c>
      <c r="Q16" t="n">
        <v>3</v>
      </c>
      <c r="R16" s="2" t="inlineStr">
        <is>
          <t>Tornseglare
Ladusvala
Törnskata</t>
        </is>
      </c>
      <c r="S16">
        <f>HYPERLINK("https://klasma.github.io/Logging_0117/artfynd/A 27948-2025 artfynd.xlsx", "A 27948-2025")</f>
        <v/>
      </c>
      <c r="T16">
        <f>HYPERLINK("https://klasma.github.io/Logging_0117/kartor/A 27948-2025 karta.png", "A 27948-2025")</f>
        <v/>
      </c>
      <c r="V16">
        <f>HYPERLINK("https://klasma.github.io/Logging_0117/klagomål/A 27948-2025 FSC-klagomål.docx", "A 27948-2025")</f>
        <v/>
      </c>
      <c r="W16">
        <f>HYPERLINK("https://klasma.github.io/Logging_0117/klagomålsmail/A 27948-2025 FSC-klagomål mail.docx", "A 27948-2025")</f>
        <v/>
      </c>
      <c r="X16">
        <f>HYPERLINK("https://klasma.github.io/Logging_0117/tillsyn/A 27948-2025 tillsynsbegäran.docx", "A 27948-2025")</f>
        <v/>
      </c>
      <c r="Y16">
        <f>HYPERLINK("https://klasma.github.io/Logging_0117/tillsynsmail/A 27948-2025 tillsynsbegäran mail.docx", "A 27948-2025")</f>
        <v/>
      </c>
      <c r="Z16">
        <f>HYPERLINK("https://klasma.github.io/Logging_0117/fåglar/A 27948-2025 prioriterade fågelarter.docx", "A 27948-2025")</f>
        <v/>
      </c>
    </row>
    <row r="17" ht="15" customHeight="1">
      <c r="A17" t="inlineStr">
        <is>
          <t>A 67244-2021</t>
        </is>
      </c>
      <c r="B17" s="1" t="n">
        <v>44523</v>
      </c>
      <c r="C17" s="1" t="n">
        <v>46198</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46198</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43308-2024</t>
        </is>
      </c>
      <c r="B19" s="1" t="n">
        <v>45568</v>
      </c>
      <c r="C19" s="1" t="n">
        <v>46198</v>
      </c>
      <c r="D19" t="inlineStr">
        <is>
          <t>STOCKHOLMS LÄN</t>
        </is>
      </c>
      <c r="E19" t="inlineStr">
        <is>
          <t>ÖSTERÅKER</t>
        </is>
      </c>
      <c r="F19" t="inlineStr">
        <is>
          <t>Kyrkan</t>
        </is>
      </c>
      <c r="G19" t="n">
        <v>3.2</v>
      </c>
      <c r="H19" t="n">
        <v>0</v>
      </c>
      <c r="I19" t="n">
        <v>0</v>
      </c>
      <c r="J19" t="n">
        <v>2</v>
      </c>
      <c r="K19" t="n">
        <v>0</v>
      </c>
      <c r="L19" t="n">
        <v>0</v>
      </c>
      <c r="M19" t="n">
        <v>0</v>
      </c>
      <c r="N19" t="n">
        <v>0</v>
      </c>
      <c r="O19" t="n">
        <v>2</v>
      </c>
      <c r="P19" t="n">
        <v>0</v>
      </c>
      <c r="Q19" t="n">
        <v>2</v>
      </c>
      <c r="R19" s="2" t="inlineStr">
        <is>
          <t>Dropptaggsvamp
Tallticka</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30949-2024</t>
        </is>
      </c>
      <c r="B20" s="1" t="n">
        <v>45499</v>
      </c>
      <c r="C20" s="1" t="n">
        <v>46198</v>
      </c>
      <c r="D20" t="inlineStr">
        <is>
          <t>STOCKHOLMS LÄN</t>
        </is>
      </c>
      <c r="E20" t="inlineStr">
        <is>
          <t>ÖSTERÅKER</t>
        </is>
      </c>
      <c r="F20" t="inlineStr">
        <is>
          <t>Övriga Aktiebolag</t>
        </is>
      </c>
      <c r="G20" t="n">
        <v>3.2</v>
      </c>
      <c r="H20" t="n">
        <v>0</v>
      </c>
      <c r="I20" t="n">
        <v>1</v>
      </c>
      <c r="J20" t="n">
        <v>1</v>
      </c>
      <c r="K20" t="n">
        <v>0</v>
      </c>
      <c r="L20" t="n">
        <v>0</v>
      </c>
      <c r="M20" t="n">
        <v>0</v>
      </c>
      <c r="N20" t="n">
        <v>0</v>
      </c>
      <c r="O20" t="n">
        <v>1</v>
      </c>
      <c r="P20" t="n">
        <v>0</v>
      </c>
      <c r="Q20" t="n">
        <v>2</v>
      </c>
      <c r="R20" s="2" t="inlineStr">
        <is>
          <t>Tallticka
Blåmossa</t>
        </is>
      </c>
      <c r="S20">
        <f>HYPERLINK("https://klasma.github.io/Logging_0117/artfynd/A 30949-2024 artfynd.xlsx", "A 30949-2024")</f>
        <v/>
      </c>
      <c r="T20">
        <f>HYPERLINK("https://klasma.github.io/Logging_0117/kartor/A 30949-2024 karta.png", "A 30949-2024")</f>
        <v/>
      </c>
      <c r="V20">
        <f>HYPERLINK("https://klasma.github.io/Logging_0117/klagomål/A 30949-2024 FSC-klagomål.docx", "A 30949-2024")</f>
        <v/>
      </c>
      <c r="W20">
        <f>HYPERLINK("https://klasma.github.io/Logging_0117/klagomålsmail/A 30949-2024 FSC-klagomål mail.docx", "A 30949-2024")</f>
        <v/>
      </c>
      <c r="X20">
        <f>HYPERLINK("https://klasma.github.io/Logging_0117/tillsyn/A 30949-2024 tillsynsbegäran.docx", "A 30949-2024")</f>
        <v/>
      </c>
      <c r="Y20">
        <f>HYPERLINK("https://klasma.github.io/Logging_0117/tillsynsmail/A 30949-2024 tillsynsbegäran mail.docx", "A 30949-2024")</f>
        <v/>
      </c>
    </row>
    <row r="21" ht="15" customHeight="1">
      <c r="A21" t="inlineStr">
        <is>
          <t>A 31575-2022</t>
        </is>
      </c>
      <c r="B21" s="1" t="n">
        <v>44775</v>
      </c>
      <c r="C21" s="1" t="n">
        <v>46198</v>
      </c>
      <c r="D21" t="inlineStr">
        <is>
          <t>STOCKHOLMS LÄN</t>
        </is>
      </c>
      <c r="E21" t="inlineStr">
        <is>
          <t>ÖSTERÅKER</t>
        </is>
      </c>
      <c r="G21" t="n">
        <v>5</v>
      </c>
      <c r="H21" t="n">
        <v>0</v>
      </c>
      <c r="I21" t="n">
        <v>1</v>
      </c>
      <c r="J21" t="n">
        <v>0</v>
      </c>
      <c r="K21" t="n">
        <v>1</v>
      </c>
      <c r="L21" t="n">
        <v>0</v>
      </c>
      <c r="M21" t="n">
        <v>0</v>
      </c>
      <c r="N21" t="n">
        <v>0</v>
      </c>
      <c r="O21" t="n">
        <v>1</v>
      </c>
      <c r="P21" t="n">
        <v>1</v>
      </c>
      <c r="Q21" t="n">
        <v>2</v>
      </c>
      <c r="R21" s="2" t="inlineStr">
        <is>
          <t>Aspgelélav
Dvärgtufs</t>
        </is>
      </c>
      <c r="S21">
        <f>HYPERLINK("https://klasma.github.io/Logging_0117/artfynd/A 31575-2022 artfynd.xlsx", "A 31575-2022")</f>
        <v/>
      </c>
      <c r="T21">
        <f>HYPERLINK("https://klasma.github.io/Logging_0117/kartor/A 31575-2022 karta.png", "A 31575-2022")</f>
        <v/>
      </c>
      <c r="V21">
        <f>HYPERLINK("https://klasma.github.io/Logging_0117/klagomål/A 31575-2022 FSC-klagomål.docx", "A 31575-2022")</f>
        <v/>
      </c>
      <c r="W21">
        <f>HYPERLINK("https://klasma.github.io/Logging_0117/klagomålsmail/A 31575-2022 FSC-klagomål mail.docx", "A 31575-2022")</f>
        <v/>
      </c>
      <c r="X21">
        <f>HYPERLINK("https://klasma.github.io/Logging_0117/tillsyn/A 31575-2022 tillsynsbegäran.docx", "A 31575-2022")</f>
        <v/>
      </c>
      <c r="Y21">
        <f>HYPERLINK("https://klasma.github.io/Logging_0117/tillsynsmail/A 31575-2022 tillsynsbegäran mail.docx", "A 31575-2022")</f>
        <v/>
      </c>
    </row>
    <row r="22" ht="15" customHeight="1">
      <c r="A22" t="inlineStr">
        <is>
          <t>A 61323-2022</t>
        </is>
      </c>
      <c r="B22" s="1" t="n">
        <v>44915</v>
      </c>
      <c r="C22" s="1" t="n">
        <v>46198</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62839-2025</t>
        </is>
      </c>
      <c r="B23" s="1" t="n">
        <v>46008</v>
      </c>
      <c r="C23" s="1" t="n">
        <v>46198</v>
      </c>
      <c r="D23" t="inlineStr">
        <is>
          <t>STOCKHOLMS LÄN</t>
        </is>
      </c>
      <c r="E23" t="inlineStr">
        <is>
          <t>ÖSTERÅKER</t>
        </is>
      </c>
      <c r="G23" t="n">
        <v>1.4</v>
      </c>
      <c r="H23" t="n">
        <v>0</v>
      </c>
      <c r="I23" t="n">
        <v>0</v>
      </c>
      <c r="J23" t="n">
        <v>1</v>
      </c>
      <c r="K23" t="n">
        <v>0</v>
      </c>
      <c r="L23" t="n">
        <v>0</v>
      </c>
      <c r="M23" t="n">
        <v>0</v>
      </c>
      <c r="N23" t="n">
        <v>0</v>
      </c>
      <c r="O23" t="n">
        <v>1</v>
      </c>
      <c r="P23" t="n">
        <v>0</v>
      </c>
      <c r="Q23" t="n">
        <v>1</v>
      </c>
      <c r="R23" s="2" t="inlineStr">
        <is>
          <t>Gullpudra</t>
        </is>
      </c>
      <c r="S23">
        <f>HYPERLINK("https://klasma.github.io/Logging_0117/artfynd/A 62839-2025 artfynd.xlsx", "A 62839-2025")</f>
        <v/>
      </c>
      <c r="T23">
        <f>HYPERLINK("https://klasma.github.io/Logging_0117/kartor/A 62839-2025 karta.png", "A 62839-2025")</f>
        <v/>
      </c>
      <c r="V23">
        <f>HYPERLINK("https://klasma.github.io/Logging_0117/klagomål/A 62839-2025 FSC-klagomål.docx", "A 62839-2025")</f>
        <v/>
      </c>
      <c r="W23">
        <f>HYPERLINK("https://klasma.github.io/Logging_0117/klagomålsmail/A 62839-2025 FSC-klagomål mail.docx", "A 62839-2025")</f>
        <v/>
      </c>
      <c r="X23">
        <f>HYPERLINK("https://klasma.github.io/Logging_0117/tillsyn/A 62839-2025 tillsynsbegäran.docx", "A 62839-2025")</f>
        <v/>
      </c>
      <c r="Y23">
        <f>HYPERLINK("https://klasma.github.io/Logging_0117/tillsynsmail/A 62839-2025 tillsynsbegäran mail.docx", "A 62839-2025")</f>
        <v/>
      </c>
    </row>
    <row r="24" ht="15" customHeight="1">
      <c r="A24" t="inlineStr">
        <is>
          <t>A 67265-2021</t>
        </is>
      </c>
      <c r="B24" s="1" t="n">
        <v>44523</v>
      </c>
      <c r="C24" s="1" t="n">
        <v>46198</v>
      </c>
      <c r="D24" t="inlineStr">
        <is>
          <t>STOCKHOLMS LÄN</t>
        </is>
      </c>
      <c r="E24" t="inlineStr">
        <is>
          <t>ÖSTERÅKER</t>
        </is>
      </c>
      <c r="F24" t="inlineStr">
        <is>
          <t>Kommuner</t>
        </is>
      </c>
      <c r="G24" t="n">
        <v>2.6</v>
      </c>
      <c r="H24" t="n">
        <v>1</v>
      </c>
      <c r="I24" t="n">
        <v>0</v>
      </c>
      <c r="J24" t="n">
        <v>1</v>
      </c>
      <c r="K24" t="n">
        <v>0</v>
      </c>
      <c r="L24" t="n">
        <v>0</v>
      </c>
      <c r="M24" t="n">
        <v>0</v>
      </c>
      <c r="N24" t="n">
        <v>0</v>
      </c>
      <c r="O24" t="n">
        <v>1</v>
      </c>
      <c r="P24" t="n">
        <v>0</v>
      </c>
      <c r="Q24" t="n">
        <v>1</v>
      </c>
      <c r="R24" s="2" t="inlineStr">
        <is>
          <t>Mindre hackspett</t>
        </is>
      </c>
      <c r="S24">
        <f>HYPERLINK("https://klasma.github.io/Logging_0117/artfynd/A 67265-2021 artfynd.xlsx", "A 67265-2021")</f>
        <v/>
      </c>
      <c r="T24">
        <f>HYPERLINK("https://klasma.github.io/Logging_0117/kartor/A 67265-2021 karta.png", "A 67265-2021")</f>
        <v/>
      </c>
      <c r="V24">
        <f>HYPERLINK("https://klasma.github.io/Logging_0117/klagomål/A 67265-2021 FSC-klagomål.docx", "A 67265-2021")</f>
        <v/>
      </c>
      <c r="W24">
        <f>HYPERLINK("https://klasma.github.io/Logging_0117/klagomålsmail/A 67265-2021 FSC-klagomål mail.docx", "A 67265-2021")</f>
        <v/>
      </c>
      <c r="X24">
        <f>HYPERLINK("https://klasma.github.io/Logging_0117/tillsyn/A 67265-2021 tillsynsbegäran.docx", "A 67265-2021")</f>
        <v/>
      </c>
      <c r="Y24">
        <f>HYPERLINK("https://klasma.github.io/Logging_0117/tillsynsmail/A 67265-2021 tillsynsbegäran mail.docx", "A 67265-2021")</f>
        <v/>
      </c>
      <c r="Z24">
        <f>HYPERLINK("https://klasma.github.io/Logging_0117/fåglar/A 67265-2021 prioriterade fågelarter.docx", "A 67265-2021")</f>
        <v/>
      </c>
    </row>
    <row r="25" ht="15" customHeight="1">
      <c r="A25" t="inlineStr">
        <is>
          <t>A 13652-2026</t>
        </is>
      </c>
      <c r="B25" s="1" t="n">
        <v>46097</v>
      </c>
      <c r="C25" s="1" t="n">
        <v>46198</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62831-2025</t>
        </is>
      </c>
      <c r="B26" s="1" t="n">
        <v>46008</v>
      </c>
      <c r="C26" s="1" t="n">
        <v>46198</v>
      </c>
      <c r="D26" t="inlineStr">
        <is>
          <t>STOCKHOLMS LÄN</t>
        </is>
      </c>
      <c r="E26" t="inlineStr">
        <is>
          <t>ÖSTERÅKER</t>
        </is>
      </c>
      <c r="G26" t="n">
        <v>1.2</v>
      </c>
      <c r="H26" t="n">
        <v>0</v>
      </c>
      <c r="I26" t="n">
        <v>1</v>
      </c>
      <c r="J26" t="n">
        <v>0</v>
      </c>
      <c r="K26" t="n">
        <v>0</v>
      </c>
      <c r="L26" t="n">
        <v>0</v>
      </c>
      <c r="M26" t="n">
        <v>0</v>
      </c>
      <c r="N26" t="n">
        <v>0</v>
      </c>
      <c r="O26" t="n">
        <v>0</v>
      </c>
      <c r="P26" t="n">
        <v>0</v>
      </c>
      <c r="Q26" t="n">
        <v>1</v>
      </c>
      <c r="R26" s="2" t="inlineStr">
        <is>
          <t>Vedticka</t>
        </is>
      </c>
      <c r="S26">
        <f>HYPERLINK("https://klasma.github.io/Logging_0117/artfynd/A 62831-2025 artfynd.xlsx", "A 62831-2025")</f>
        <v/>
      </c>
      <c r="T26">
        <f>HYPERLINK("https://klasma.github.io/Logging_0117/kartor/A 62831-2025 karta.png", "A 62831-2025")</f>
        <v/>
      </c>
      <c r="V26">
        <f>HYPERLINK("https://klasma.github.io/Logging_0117/klagomål/A 62831-2025 FSC-klagomål.docx", "A 62831-2025")</f>
        <v/>
      </c>
      <c r="W26">
        <f>HYPERLINK("https://klasma.github.io/Logging_0117/klagomålsmail/A 62831-2025 FSC-klagomål mail.docx", "A 62831-2025")</f>
        <v/>
      </c>
      <c r="X26">
        <f>HYPERLINK("https://klasma.github.io/Logging_0117/tillsyn/A 62831-2025 tillsynsbegäran.docx", "A 62831-2025")</f>
        <v/>
      </c>
      <c r="Y26">
        <f>HYPERLINK("https://klasma.github.io/Logging_0117/tillsynsmail/A 62831-2025 tillsynsbegäran mail.docx", "A 62831-2025")</f>
        <v/>
      </c>
    </row>
    <row r="27" ht="15" customHeight="1">
      <c r="A27" t="inlineStr">
        <is>
          <t>A 31716-2025</t>
        </is>
      </c>
      <c r="B27" s="1" t="n">
        <v>45834</v>
      </c>
      <c r="C27" s="1" t="n">
        <v>46198</v>
      </c>
      <c r="D27" t="inlineStr">
        <is>
          <t>STOCKHOLMS LÄN</t>
        </is>
      </c>
      <c r="E27" t="inlineStr">
        <is>
          <t>ÖSTERÅKER</t>
        </is>
      </c>
      <c r="G27" t="n">
        <v>2.8</v>
      </c>
      <c r="H27" t="n">
        <v>1</v>
      </c>
      <c r="I27" t="n">
        <v>0</v>
      </c>
      <c r="J27" t="n">
        <v>0</v>
      </c>
      <c r="K27" t="n">
        <v>0</v>
      </c>
      <c r="L27" t="n">
        <v>0</v>
      </c>
      <c r="M27" t="n">
        <v>0</v>
      </c>
      <c r="N27" t="n">
        <v>0</v>
      </c>
      <c r="O27" t="n">
        <v>0</v>
      </c>
      <c r="P27" t="n">
        <v>0</v>
      </c>
      <c r="Q27" t="n">
        <v>1</v>
      </c>
      <c r="R27" s="2" t="inlineStr">
        <is>
          <t>Revlummer</t>
        </is>
      </c>
      <c r="S27">
        <f>HYPERLINK("https://klasma.github.io/Logging_0117/artfynd/A 31716-2025 artfynd.xlsx", "A 31716-2025")</f>
        <v/>
      </c>
      <c r="T27">
        <f>HYPERLINK("https://klasma.github.io/Logging_0117/kartor/A 31716-2025 karta.png", "A 31716-2025")</f>
        <v/>
      </c>
      <c r="V27">
        <f>HYPERLINK("https://klasma.github.io/Logging_0117/klagomål/A 31716-2025 FSC-klagomål.docx", "A 31716-2025")</f>
        <v/>
      </c>
      <c r="W27">
        <f>HYPERLINK("https://klasma.github.io/Logging_0117/klagomålsmail/A 31716-2025 FSC-klagomål mail.docx", "A 31716-2025")</f>
        <v/>
      </c>
      <c r="X27">
        <f>HYPERLINK("https://klasma.github.io/Logging_0117/tillsyn/A 31716-2025 tillsynsbegäran.docx", "A 31716-2025")</f>
        <v/>
      </c>
      <c r="Y27">
        <f>HYPERLINK("https://klasma.github.io/Logging_0117/tillsynsmail/A 31716-2025 tillsynsbegäran mail.docx", "A 31716-2025")</f>
        <v/>
      </c>
    </row>
    <row r="28" ht="15" customHeight="1">
      <c r="A28" t="inlineStr">
        <is>
          <t>A 2148-2022</t>
        </is>
      </c>
      <c r="B28" s="1" t="n">
        <v>44575</v>
      </c>
      <c r="C28" s="1" t="n">
        <v>46198</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46198</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46198</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46198</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v>
      </c>
      <c r="C32" s="1" t="n">
        <v>46198</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v>
      </c>
      <c r="C33" s="1" t="n">
        <v>46198</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46198</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46198</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46198</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46198</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46198</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46198</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46198</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46198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46198</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1603-2023</t>
        </is>
      </c>
      <c r="B43" s="1" t="n">
        <v>44937</v>
      </c>
      <c r="C43" s="1" t="n">
        <v>46198</v>
      </c>
      <c r="D43" t="inlineStr">
        <is>
          <t>STOCKHOLMS LÄN</t>
        </is>
      </c>
      <c r="E43" t="inlineStr">
        <is>
          <t>ÖSTERÅKER</t>
        </is>
      </c>
      <c r="G43" t="n">
        <v>1.7</v>
      </c>
      <c r="H43" t="n">
        <v>0</v>
      </c>
      <c r="I43" t="n">
        <v>0</v>
      </c>
      <c r="J43" t="n">
        <v>0</v>
      </c>
      <c r="K43" t="n">
        <v>0</v>
      </c>
      <c r="L43" t="n">
        <v>0</v>
      </c>
      <c r="M43" t="n">
        <v>0</v>
      </c>
      <c r="N43" t="n">
        <v>0</v>
      </c>
      <c r="O43" t="n">
        <v>0</v>
      </c>
      <c r="P43" t="n">
        <v>0</v>
      </c>
      <c r="Q43" t="n">
        <v>0</v>
      </c>
      <c r="R43" s="2" t="inlineStr"/>
    </row>
    <row r="44" ht="15" customHeight="1">
      <c r="A44" t="inlineStr">
        <is>
          <t>A 1605-2023</t>
        </is>
      </c>
      <c r="B44" s="1" t="n">
        <v>44937</v>
      </c>
      <c r="C44" s="1" t="n">
        <v>46198</v>
      </c>
      <c r="D44" t="inlineStr">
        <is>
          <t>STOCKHOLMS LÄN</t>
        </is>
      </c>
      <c r="E44" t="inlineStr">
        <is>
          <t>ÖSTERÅKER</t>
        </is>
      </c>
      <c r="G44" t="n">
        <v>2.9</v>
      </c>
      <c r="H44" t="n">
        <v>0</v>
      </c>
      <c r="I44" t="n">
        <v>0</v>
      </c>
      <c r="J44" t="n">
        <v>0</v>
      </c>
      <c r="K44" t="n">
        <v>0</v>
      </c>
      <c r="L44" t="n">
        <v>0</v>
      </c>
      <c r="M44" t="n">
        <v>0</v>
      </c>
      <c r="N44" t="n">
        <v>0</v>
      </c>
      <c r="O44" t="n">
        <v>0</v>
      </c>
      <c r="P44" t="n">
        <v>0</v>
      </c>
      <c r="Q44" t="n">
        <v>0</v>
      </c>
      <c r="R44" s="2" t="inlineStr"/>
    </row>
    <row r="45" ht="15" customHeight="1">
      <c r="A45" t="inlineStr">
        <is>
          <t>A 37037-2023</t>
        </is>
      </c>
      <c r="B45" s="1" t="n">
        <v>45155</v>
      </c>
      <c r="C45" s="1" t="n">
        <v>46198</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3828-2023</t>
        </is>
      </c>
      <c r="B46" s="1" t="n">
        <v>44951</v>
      </c>
      <c r="C46" s="1" t="n">
        <v>46198</v>
      </c>
      <c r="D46" t="inlineStr">
        <is>
          <t>STOCKHOLMS LÄN</t>
        </is>
      </c>
      <c r="E46" t="inlineStr">
        <is>
          <t>ÖSTERÅKER</t>
        </is>
      </c>
      <c r="F46" t="inlineStr">
        <is>
          <t>Kommuner</t>
        </is>
      </c>
      <c r="G46" t="n">
        <v>3.2</v>
      </c>
      <c r="H46" t="n">
        <v>0</v>
      </c>
      <c r="I46" t="n">
        <v>0</v>
      </c>
      <c r="J46" t="n">
        <v>0</v>
      </c>
      <c r="K46" t="n">
        <v>0</v>
      </c>
      <c r="L46" t="n">
        <v>0</v>
      </c>
      <c r="M46" t="n">
        <v>0</v>
      </c>
      <c r="N46" t="n">
        <v>0</v>
      </c>
      <c r="O46" t="n">
        <v>0</v>
      </c>
      <c r="P46" t="n">
        <v>0</v>
      </c>
      <c r="Q46" t="n">
        <v>0</v>
      </c>
      <c r="R46" s="2" t="inlineStr"/>
    </row>
    <row r="47" ht="15" customHeight="1">
      <c r="A47" t="inlineStr">
        <is>
          <t>A 33158-2024</t>
        </is>
      </c>
      <c r="B47" s="1" t="n">
        <v>45518</v>
      </c>
      <c r="C47" s="1" t="n">
        <v>46198</v>
      </c>
      <c r="D47" t="inlineStr">
        <is>
          <t>STOCKHOLMS LÄN</t>
        </is>
      </c>
      <c r="E47" t="inlineStr">
        <is>
          <t>ÖSTERÅKER</t>
        </is>
      </c>
      <c r="G47" t="n">
        <v>1.6</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46198</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17353-2025</t>
        </is>
      </c>
      <c r="B49" s="1" t="n">
        <v>45756</v>
      </c>
      <c r="C49" s="1" t="n">
        <v>46198</v>
      </c>
      <c r="D49" t="inlineStr">
        <is>
          <t>STOCKHOLMS LÄN</t>
        </is>
      </c>
      <c r="E49" t="inlineStr">
        <is>
          <t>ÖSTERÅKER</t>
        </is>
      </c>
      <c r="F49" t="inlineStr">
        <is>
          <t>Övriga Aktiebolag</t>
        </is>
      </c>
      <c r="G49" t="n">
        <v>5.5</v>
      </c>
      <c r="H49" t="n">
        <v>0</v>
      </c>
      <c r="I49" t="n">
        <v>0</v>
      </c>
      <c r="J49" t="n">
        <v>0</v>
      </c>
      <c r="K49" t="n">
        <v>0</v>
      </c>
      <c r="L49" t="n">
        <v>0</v>
      </c>
      <c r="M49" t="n">
        <v>0</v>
      </c>
      <c r="N49" t="n">
        <v>0</v>
      </c>
      <c r="O49" t="n">
        <v>0</v>
      </c>
      <c r="P49" t="n">
        <v>0</v>
      </c>
      <c r="Q49" t="n">
        <v>0</v>
      </c>
      <c r="R49" s="2" t="inlineStr"/>
    </row>
    <row r="50" ht="15" customHeight="1">
      <c r="A50" t="inlineStr">
        <is>
          <t>A 61360-2022</t>
        </is>
      </c>
      <c r="B50" s="1" t="n">
        <v>44915</v>
      </c>
      <c r="C50" s="1" t="n">
        <v>46198</v>
      </c>
      <c r="D50" t="inlineStr">
        <is>
          <t>STOCKHOLMS LÄN</t>
        </is>
      </c>
      <c r="E50" t="inlineStr">
        <is>
          <t>ÖSTERÅKER</t>
        </is>
      </c>
      <c r="G50" t="n">
        <v>2.3</v>
      </c>
      <c r="H50" t="n">
        <v>0</v>
      </c>
      <c r="I50" t="n">
        <v>0</v>
      </c>
      <c r="J50" t="n">
        <v>0</v>
      </c>
      <c r="K50" t="n">
        <v>0</v>
      </c>
      <c r="L50" t="n">
        <v>0</v>
      </c>
      <c r="M50" t="n">
        <v>0</v>
      </c>
      <c r="N50" t="n">
        <v>0</v>
      </c>
      <c r="O50" t="n">
        <v>0</v>
      </c>
      <c r="P50" t="n">
        <v>0</v>
      </c>
      <c r="Q50" t="n">
        <v>0</v>
      </c>
      <c r="R50" s="2" t="inlineStr"/>
    </row>
    <row r="51" ht="15" customHeight="1">
      <c r="A51" t="inlineStr">
        <is>
          <t>A 16728-2022</t>
        </is>
      </c>
      <c r="B51" s="1" t="n">
        <v>44673</v>
      </c>
      <c r="C51" s="1" t="n">
        <v>46198</v>
      </c>
      <c r="D51" t="inlineStr">
        <is>
          <t>STOCKHOLMS LÄN</t>
        </is>
      </c>
      <c r="E51" t="inlineStr">
        <is>
          <t>ÖSTERÅKER</t>
        </is>
      </c>
      <c r="G51" t="n">
        <v>0.9</v>
      </c>
      <c r="H51" t="n">
        <v>0</v>
      </c>
      <c r="I51" t="n">
        <v>0</v>
      </c>
      <c r="J51" t="n">
        <v>0</v>
      </c>
      <c r="K51" t="n">
        <v>0</v>
      </c>
      <c r="L51" t="n">
        <v>0</v>
      </c>
      <c r="M51" t="n">
        <v>0</v>
      </c>
      <c r="N51" t="n">
        <v>0</v>
      </c>
      <c r="O51" t="n">
        <v>0</v>
      </c>
      <c r="P51" t="n">
        <v>0</v>
      </c>
      <c r="Q51" t="n">
        <v>0</v>
      </c>
      <c r="R51" s="2" t="inlineStr"/>
    </row>
    <row r="52" ht="15" customHeight="1">
      <c r="A52" t="inlineStr">
        <is>
          <t>A 61710-2022</t>
        </is>
      </c>
      <c r="B52" s="1" t="n">
        <v>44917</v>
      </c>
      <c r="C52" s="1" t="n">
        <v>46198</v>
      </c>
      <c r="D52" t="inlineStr">
        <is>
          <t>STOCKHOLMS LÄN</t>
        </is>
      </c>
      <c r="E52" t="inlineStr">
        <is>
          <t>ÖSTERÅKER</t>
        </is>
      </c>
      <c r="G52" t="n">
        <v>6.2</v>
      </c>
      <c r="H52" t="n">
        <v>0</v>
      </c>
      <c r="I52" t="n">
        <v>0</v>
      </c>
      <c r="J52" t="n">
        <v>0</v>
      </c>
      <c r="K52" t="n">
        <v>0</v>
      </c>
      <c r="L52" t="n">
        <v>0</v>
      </c>
      <c r="M52" t="n">
        <v>0</v>
      </c>
      <c r="N52" t="n">
        <v>0</v>
      </c>
      <c r="O52" t="n">
        <v>0</v>
      </c>
      <c r="P52" t="n">
        <v>0</v>
      </c>
      <c r="Q52" t="n">
        <v>0</v>
      </c>
      <c r="R52" s="2" t="inlineStr"/>
    </row>
    <row r="53" ht="15" customHeight="1">
      <c r="A53" t="inlineStr">
        <is>
          <t>A 1136-2023</t>
        </is>
      </c>
      <c r="B53" s="1" t="n">
        <v>44935</v>
      </c>
      <c r="C53" s="1" t="n">
        <v>46198</v>
      </c>
      <c r="D53" t="inlineStr">
        <is>
          <t>STOCKHOLMS LÄN</t>
        </is>
      </c>
      <c r="E53" t="inlineStr">
        <is>
          <t>ÖSTERÅKER</t>
        </is>
      </c>
      <c r="G53" t="n">
        <v>0.5</v>
      </c>
      <c r="H53" t="n">
        <v>0</v>
      </c>
      <c r="I53" t="n">
        <v>0</v>
      </c>
      <c r="J53" t="n">
        <v>0</v>
      </c>
      <c r="K53" t="n">
        <v>0</v>
      </c>
      <c r="L53" t="n">
        <v>0</v>
      </c>
      <c r="M53" t="n">
        <v>0</v>
      </c>
      <c r="N53" t="n">
        <v>0</v>
      </c>
      <c r="O53" t="n">
        <v>0</v>
      </c>
      <c r="P53" t="n">
        <v>0</v>
      </c>
      <c r="Q53" t="n">
        <v>0</v>
      </c>
      <c r="R53" s="2" t="inlineStr"/>
    </row>
    <row r="54" ht="15" customHeight="1">
      <c r="A54" t="inlineStr">
        <is>
          <t>A 22528-2024</t>
        </is>
      </c>
      <c r="B54" s="1" t="n">
        <v>45447</v>
      </c>
      <c r="C54" s="1" t="n">
        <v>46198</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46198</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46198</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14776-2024</t>
        </is>
      </c>
      <c r="B57" s="1" t="n">
        <v>45397</v>
      </c>
      <c r="C57" s="1" t="n">
        <v>46198</v>
      </c>
      <c r="D57" t="inlineStr">
        <is>
          <t>STOCKHOLMS LÄN</t>
        </is>
      </c>
      <c r="E57" t="inlineStr">
        <is>
          <t>ÖSTERÅKER</t>
        </is>
      </c>
      <c r="G57" t="n">
        <v>13.6</v>
      </c>
      <c r="H57" t="n">
        <v>0</v>
      </c>
      <c r="I57" t="n">
        <v>0</v>
      </c>
      <c r="J57" t="n">
        <v>0</v>
      </c>
      <c r="K57" t="n">
        <v>0</v>
      </c>
      <c r="L57" t="n">
        <v>0</v>
      </c>
      <c r="M57" t="n">
        <v>0</v>
      </c>
      <c r="N57" t="n">
        <v>0</v>
      </c>
      <c r="O57" t="n">
        <v>0</v>
      </c>
      <c r="P57" t="n">
        <v>0</v>
      </c>
      <c r="Q57" t="n">
        <v>0</v>
      </c>
      <c r="R57" s="2" t="inlineStr"/>
    </row>
    <row r="58" ht="15" customHeight="1">
      <c r="A58" t="inlineStr">
        <is>
          <t>A 60482-2025</t>
        </is>
      </c>
      <c r="B58" s="1" t="n">
        <v>45995</v>
      </c>
      <c r="C58" s="1" t="n">
        <v>46198</v>
      </c>
      <c r="D58" t="inlineStr">
        <is>
          <t>STOCKHOLMS LÄN</t>
        </is>
      </c>
      <c r="E58" t="inlineStr">
        <is>
          <t>ÖSTERÅKER</t>
        </is>
      </c>
      <c r="G58" t="n">
        <v>1.4</v>
      </c>
      <c r="H58" t="n">
        <v>0</v>
      </c>
      <c r="I58" t="n">
        <v>0</v>
      </c>
      <c r="J58" t="n">
        <v>0</v>
      </c>
      <c r="K58" t="n">
        <v>0</v>
      </c>
      <c r="L58" t="n">
        <v>0</v>
      </c>
      <c r="M58" t="n">
        <v>0</v>
      </c>
      <c r="N58" t="n">
        <v>0</v>
      </c>
      <c r="O58" t="n">
        <v>0</v>
      </c>
      <c r="P58" t="n">
        <v>0</v>
      </c>
      <c r="Q58" t="n">
        <v>0</v>
      </c>
      <c r="R58" s="2" t="inlineStr"/>
    </row>
    <row r="59" ht="15" customHeight="1">
      <c r="A59" t="inlineStr">
        <is>
          <t>A 21796-2025</t>
        </is>
      </c>
      <c r="B59" s="1" t="n">
        <v>45783</v>
      </c>
      <c r="C59" s="1" t="n">
        <v>46198</v>
      </c>
      <c r="D59" t="inlineStr">
        <is>
          <t>STOCKHOLMS LÄN</t>
        </is>
      </c>
      <c r="E59" t="inlineStr">
        <is>
          <t>ÖSTERÅKER</t>
        </is>
      </c>
      <c r="G59" t="n">
        <v>2.5</v>
      </c>
      <c r="H59" t="n">
        <v>0</v>
      </c>
      <c r="I59" t="n">
        <v>0</v>
      </c>
      <c r="J59" t="n">
        <v>0</v>
      </c>
      <c r="K59" t="n">
        <v>0</v>
      </c>
      <c r="L59" t="n">
        <v>0</v>
      </c>
      <c r="M59" t="n">
        <v>0</v>
      </c>
      <c r="N59" t="n">
        <v>0</v>
      </c>
      <c r="O59" t="n">
        <v>0</v>
      </c>
      <c r="P59" t="n">
        <v>0</v>
      </c>
      <c r="Q59" t="n">
        <v>0</v>
      </c>
      <c r="R59" s="2" t="inlineStr"/>
    </row>
    <row r="60" ht="15" customHeight="1">
      <c r="A60" t="inlineStr">
        <is>
          <t>A 18711-2023</t>
        </is>
      </c>
      <c r="B60" s="1" t="n">
        <v>45043</v>
      </c>
      <c r="C60" s="1" t="n">
        <v>46198</v>
      </c>
      <c r="D60" t="inlineStr">
        <is>
          <t>STOCKHOLMS LÄN</t>
        </is>
      </c>
      <c r="E60" t="inlineStr">
        <is>
          <t>ÖSTERÅKER</t>
        </is>
      </c>
      <c r="G60" t="n">
        <v>3</v>
      </c>
      <c r="H60" t="n">
        <v>0</v>
      </c>
      <c r="I60" t="n">
        <v>0</v>
      </c>
      <c r="J60" t="n">
        <v>0</v>
      </c>
      <c r="K60" t="n">
        <v>0</v>
      </c>
      <c r="L60" t="n">
        <v>0</v>
      </c>
      <c r="M60" t="n">
        <v>0</v>
      </c>
      <c r="N60" t="n">
        <v>0</v>
      </c>
      <c r="O60" t="n">
        <v>0</v>
      </c>
      <c r="P60" t="n">
        <v>0</v>
      </c>
      <c r="Q60" t="n">
        <v>0</v>
      </c>
      <c r="R60" s="2" t="inlineStr"/>
    </row>
    <row r="61" ht="15" customHeight="1">
      <c r="A61" t="inlineStr">
        <is>
          <t>A 39394-2023</t>
        </is>
      </c>
      <c r="B61" s="1" t="n">
        <v>45166</v>
      </c>
      <c r="C61" s="1" t="n">
        <v>46198</v>
      </c>
      <c r="D61" t="inlineStr">
        <is>
          <t>STOCKHOLMS LÄN</t>
        </is>
      </c>
      <c r="E61" t="inlineStr">
        <is>
          <t>ÖSTERÅKER</t>
        </is>
      </c>
      <c r="G61" t="n">
        <v>0.4</v>
      </c>
      <c r="H61" t="n">
        <v>0</v>
      </c>
      <c r="I61" t="n">
        <v>0</v>
      </c>
      <c r="J61" t="n">
        <v>0</v>
      </c>
      <c r="K61" t="n">
        <v>0</v>
      </c>
      <c r="L61" t="n">
        <v>0</v>
      </c>
      <c r="M61" t="n">
        <v>0</v>
      </c>
      <c r="N61" t="n">
        <v>0</v>
      </c>
      <c r="O61" t="n">
        <v>0</v>
      </c>
      <c r="P61" t="n">
        <v>0</v>
      </c>
      <c r="Q61" t="n">
        <v>0</v>
      </c>
      <c r="R61" s="2" t="inlineStr"/>
    </row>
    <row r="62" ht="15" customHeight="1">
      <c r="A62" t="inlineStr">
        <is>
          <t>A 16803-2022</t>
        </is>
      </c>
      <c r="B62" s="1" t="n">
        <v>44673</v>
      </c>
      <c r="C62" s="1" t="n">
        <v>46198</v>
      </c>
      <c r="D62" t="inlineStr">
        <is>
          <t>STOCKHOLMS LÄN</t>
        </is>
      </c>
      <c r="E62" t="inlineStr">
        <is>
          <t>ÖSTERÅKER</t>
        </is>
      </c>
      <c r="G62" t="n">
        <v>1.9</v>
      </c>
      <c r="H62" t="n">
        <v>0</v>
      </c>
      <c r="I62" t="n">
        <v>0</v>
      </c>
      <c r="J62" t="n">
        <v>0</v>
      </c>
      <c r="K62" t="n">
        <v>0</v>
      </c>
      <c r="L62" t="n">
        <v>0</v>
      </c>
      <c r="M62" t="n">
        <v>0</v>
      </c>
      <c r="N62" t="n">
        <v>0</v>
      </c>
      <c r="O62" t="n">
        <v>0</v>
      </c>
      <c r="P62" t="n">
        <v>0</v>
      </c>
      <c r="Q62" t="n">
        <v>0</v>
      </c>
      <c r="R62" s="2" t="inlineStr"/>
    </row>
    <row r="63" ht="15" customHeight="1">
      <c r="A63" t="inlineStr">
        <is>
          <t>A 470-2022</t>
        </is>
      </c>
      <c r="B63" s="1" t="n">
        <v>44565</v>
      </c>
      <c r="C63" s="1" t="n">
        <v>46198</v>
      </c>
      <c r="D63" t="inlineStr">
        <is>
          <t>STOCKHOLMS LÄN</t>
        </is>
      </c>
      <c r="E63" t="inlineStr">
        <is>
          <t>ÖSTERÅKER</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52220-2025</t>
        </is>
      </c>
      <c r="B64" s="1" t="n">
        <v>45953</v>
      </c>
      <c r="C64" s="1" t="n">
        <v>46198</v>
      </c>
      <c r="D64" t="inlineStr">
        <is>
          <t>STOCKHOLMS LÄN</t>
        </is>
      </c>
      <c r="E64" t="inlineStr">
        <is>
          <t>ÖSTERÅKER</t>
        </is>
      </c>
      <c r="G64" t="n">
        <v>0.8</v>
      </c>
      <c r="H64" t="n">
        <v>0</v>
      </c>
      <c r="I64" t="n">
        <v>0</v>
      </c>
      <c r="J64" t="n">
        <v>0</v>
      </c>
      <c r="K64" t="n">
        <v>0</v>
      </c>
      <c r="L64" t="n">
        <v>0</v>
      </c>
      <c r="M64" t="n">
        <v>0</v>
      </c>
      <c r="N64" t="n">
        <v>0</v>
      </c>
      <c r="O64" t="n">
        <v>0</v>
      </c>
      <c r="P64" t="n">
        <v>0</v>
      </c>
      <c r="Q64" t="n">
        <v>0</v>
      </c>
      <c r="R64" s="2" t="inlineStr"/>
    </row>
    <row r="65" ht="15" customHeight="1">
      <c r="A65" t="inlineStr">
        <is>
          <t>A 23144-2024</t>
        </is>
      </c>
      <c r="B65" s="1" t="n">
        <v>45450</v>
      </c>
      <c r="C65" s="1" t="n">
        <v>46198</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26249-2026</t>
        </is>
      </c>
      <c r="B66" s="1" t="n">
        <v>46182</v>
      </c>
      <c r="C66" s="1" t="n">
        <v>46198</v>
      </c>
      <c r="D66" t="inlineStr">
        <is>
          <t>STOCKHOLMS LÄN</t>
        </is>
      </c>
      <c r="E66" t="inlineStr">
        <is>
          <t>ÖSTERÅKER</t>
        </is>
      </c>
      <c r="G66" t="n">
        <v>4.9</v>
      </c>
      <c r="H66" t="n">
        <v>0</v>
      </c>
      <c r="I66" t="n">
        <v>0</v>
      </c>
      <c r="J66" t="n">
        <v>0</v>
      </c>
      <c r="K66" t="n">
        <v>0</v>
      </c>
      <c r="L66" t="n">
        <v>0</v>
      </c>
      <c r="M66" t="n">
        <v>0</v>
      </c>
      <c r="N66" t="n">
        <v>0</v>
      </c>
      <c r="O66" t="n">
        <v>0</v>
      </c>
      <c r="P66" t="n">
        <v>0</v>
      </c>
      <c r="Q66" t="n">
        <v>0</v>
      </c>
      <c r="R66" s="2" t="inlineStr"/>
    </row>
    <row r="67" ht="15" customHeight="1">
      <c r="A67" t="inlineStr">
        <is>
          <t>A 17263-2022</t>
        </is>
      </c>
      <c r="B67" s="1" t="n">
        <v>44678</v>
      </c>
      <c r="C67" s="1" t="n">
        <v>46198</v>
      </c>
      <c r="D67" t="inlineStr">
        <is>
          <t>STOCKHOLMS LÄN</t>
        </is>
      </c>
      <c r="E67" t="inlineStr">
        <is>
          <t>ÖSTERÅKER</t>
        </is>
      </c>
      <c r="G67" t="n">
        <v>2.4</v>
      </c>
      <c r="H67" t="n">
        <v>0</v>
      </c>
      <c r="I67" t="n">
        <v>0</v>
      </c>
      <c r="J67" t="n">
        <v>0</v>
      </c>
      <c r="K67" t="n">
        <v>0</v>
      </c>
      <c r="L67" t="n">
        <v>0</v>
      </c>
      <c r="M67" t="n">
        <v>0</v>
      </c>
      <c r="N67" t="n">
        <v>0</v>
      </c>
      <c r="O67" t="n">
        <v>0</v>
      </c>
      <c r="P67" t="n">
        <v>0</v>
      </c>
      <c r="Q67" t="n">
        <v>0</v>
      </c>
      <c r="R67" s="2" t="inlineStr"/>
    </row>
    <row r="68" ht="15" customHeight="1">
      <c r="A68" t="inlineStr">
        <is>
          <t>A 6655-2023</t>
        </is>
      </c>
      <c r="B68" s="1" t="n">
        <v>44966</v>
      </c>
      <c r="C68" s="1" t="n">
        <v>46198</v>
      </c>
      <c r="D68" t="inlineStr">
        <is>
          <t>STOCKHOLMS LÄN</t>
        </is>
      </c>
      <c r="E68" t="inlineStr">
        <is>
          <t>ÖSTERÅKER</t>
        </is>
      </c>
      <c r="G68" t="n">
        <v>0.8</v>
      </c>
      <c r="H68" t="n">
        <v>0</v>
      </c>
      <c r="I68" t="n">
        <v>0</v>
      </c>
      <c r="J68" t="n">
        <v>0</v>
      </c>
      <c r="K68" t="n">
        <v>0</v>
      </c>
      <c r="L68" t="n">
        <v>0</v>
      </c>
      <c r="M68" t="n">
        <v>0</v>
      </c>
      <c r="N68" t="n">
        <v>0</v>
      </c>
      <c r="O68" t="n">
        <v>0</v>
      </c>
      <c r="P68" t="n">
        <v>0</v>
      </c>
      <c r="Q68" t="n">
        <v>0</v>
      </c>
      <c r="R68" s="2" t="inlineStr"/>
    </row>
    <row r="69" ht="15" customHeight="1">
      <c r="A69" t="inlineStr">
        <is>
          <t>A 56909-2024</t>
        </is>
      </c>
      <c r="B69" s="1" t="n">
        <v>45628</v>
      </c>
      <c r="C69" s="1" t="n">
        <v>46198</v>
      </c>
      <c r="D69" t="inlineStr">
        <is>
          <t>STOCKHOLMS LÄN</t>
        </is>
      </c>
      <c r="E69" t="inlineStr">
        <is>
          <t>ÖSTERÅKER</t>
        </is>
      </c>
      <c r="G69" t="n">
        <v>1</v>
      </c>
      <c r="H69" t="n">
        <v>0</v>
      </c>
      <c r="I69" t="n">
        <v>0</v>
      </c>
      <c r="J69" t="n">
        <v>0</v>
      </c>
      <c r="K69" t="n">
        <v>0</v>
      </c>
      <c r="L69" t="n">
        <v>0</v>
      </c>
      <c r="M69" t="n">
        <v>0</v>
      </c>
      <c r="N69" t="n">
        <v>0</v>
      </c>
      <c r="O69" t="n">
        <v>0</v>
      </c>
      <c r="P69" t="n">
        <v>0</v>
      </c>
      <c r="Q69" t="n">
        <v>0</v>
      </c>
      <c r="R69" s="2" t="inlineStr"/>
    </row>
    <row r="70" ht="15" customHeight="1">
      <c r="A70" t="inlineStr">
        <is>
          <t>A 34038-2025</t>
        </is>
      </c>
      <c r="B70" s="1" t="n">
        <v>45842</v>
      </c>
      <c r="C70" s="1" t="n">
        <v>46198</v>
      </c>
      <c r="D70" t="inlineStr">
        <is>
          <t>STOCKHOLMS LÄN</t>
        </is>
      </c>
      <c r="E70" t="inlineStr">
        <is>
          <t>ÖSTERÅKER</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845-2024</t>
        </is>
      </c>
      <c r="B71" s="1" t="n">
        <v>45300</v>
      </c>
      <c r="C71" s="1" t="n">
        <v>46198</v>
      </c>
      <c r="D71" t="inlineStr">
        <is>
          <t>STOCKHOLMS LÄN</t>
        </is>
      </c>
      <c r="E71" t="inlineStr">
        <is>
          <t>ÖSTERÅKER</t>
        </is>
      </c>
      <c r="G71" t="n">
        <v>10.1</v>
      </c>
      <c r="H71" t="n">
        <v>0</v>
      </c>
      <c r="I71" t="n">
        <v>0</v>
      </c>
      <c r="J71" t="n">
        <v>0</v>
      </c>
      <c r="K71" t="n">
        <v>0</v>
      </c>
      <c r="L71" t="n">
        <v>0</v>
      </c>
      <c r="M71" t="n">
        <v>0</v>
      </c>
      <c r="N71" t="n">
        <v>0</v>
      </c>
      <c r="O71" t="n">
        <v>0</v>
      </c>
      <c r="P71" t="n">
        <v>0</v>
      </c>
      <c r="Q71" t="n">
        <v>0</v>
      </c>
      <c r="R71" s="2" t="inlineStr"/>
    </row>
    <row r="72" ht="15" customHeight="1">
      <c r="A72" t="inlineStr">
        <is>
          <t>A 5038-2026</t>
        </is>
      </c>
      <c r="B72" s="1" t="n">
        <v>46049</v>
      </c>
      <c r="C72" s="1" t="n">
        <v>46198</v>
      </c>
      <c r="D72" t="inlineStr">
        <is>
          <t>STOCKHOLMS LÄN</t>
        </is>
      </c>
      <c r="E72" t="inlineStr">
        <is>
          <t>ÖSTERÅKER</t>
        </is>
      </c>
      <c r="G72" t="n">
        <v>2.1</v>
      </c>
      <c r="H72" t="n">
        <v>0</v>
      </c>
      <c r="I72" t="n">
        <v>0</v>
      </c>
      <c r="J72" t="n">
        <v>0</v>
      </c>
      <c r="K72" t="n">
        <v>0</v>
      </c>
      <c r="L72" t="n">
        <v>0</v>
      </c>
      <c r="M72" t="n">
        <v>0</v>
      </c>
      <c r="N72" t="n">
        <v>0</v>
      </c>
      <c r="O72" t="n">
        <v>0</v>
      </c>
      <c r="P72" t="n">
        <v>0</v>
      </c>
      <c r="Q72" t="n">
        <v>0</v>
      </c>
      <c r="R72" s="2" t="inlineStr"/>
    </row>
    <row r="73" ht="15" customHeight="1">
      <c r="A73" t="inlineStr">
        <is>
          <t>A 31134-2023</t>
        </is>
      </c>
      <c r="B73" s="1" t="n">
        <v>45113</v>
      </c>
      <c r="C73" s="1" t="n">
        <v>46198</v>
      </c>
      <c r="D73" t="inlineStr">
        <is>
          <t>STOCKHOLMS LÄN</t>
        </is>
      </c>
      <c r="E73" t="inlineStr">
        <is>
          <t>ÖSTERÅKER</t>
        </is>
      </c>
      <c r="G73" t="n">
        <v>2.1</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46198</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12345-2026</t>
        </is>
      </c>
      <c r="B75" s="1" t="n">
        <v>46087</v>
      </c>
      <c r="C75" s="1" t="n">
        <v>46198</v>
      </c>
      <c r="D75" t="inlineStr">
        <is>
          <t>STOCKHOLMS LÄN</t>
        </is>
      </c>
      <c r="E75" t="inlineStr">
        <is>
          <t>ÖSTERÅKER</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24499-2023</t>
        </is>
      </c>
      <c r="B76" s="1" t="n">
        <v>45082</v>
      </c>
      <c r="C76" s="1" t="n">
        <v>46198</v>
      </c>
      <c r="D76" t="inlineStr">
        <is>
          <t>STOCKHOLMS LÄN</t>
        </is>
      </c>
      <c r="E76" t="inlineStr">
        <is>
          <t>ÖSTERÅKER</t>
        </is>
      </c>
      <c r="G76" t="n">
        <v>0.1</v>
      </c>
      <c r="H76" t="n">
        <v>0</v>
      </c>
      <c r="I76" t="n">
        <v>0</v>
      </c>
      <c r="J76" t="n">
        <v>0</v>
      </c>
      <c r="K76" t="n">
        <v>0</v>
      </c>
      <c r="L76" t="n">
        <v>0</v>
      </c>
      <c r="M76" t="n">
        <v>0</v>
      </c>
      <c r="N76" t="n">
        <v>0</v>
      </c>
      <c r="O76" t="n">
        <v>0</v>
      </c>
      <c r="P76" t="n">
        <v>0</v>
      </c>
      <c r="Q76" t="n">
        <v>0</v>
      </c>
      <c r="R76" s="2" t="inlineStr"/>
    </row>
    <row r="77" ht="15" customHeight="1">
      <c r="A77" t="inlineStr">
        <is>
          <t>A 28146-2024</t>
        </is>
      </c>
      <c r="B77" s="1" t="n">
        <v>45476</v>
      </c>
      <c r="C77" s="1" t="n">
        <v>46198</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57048-2024</t>
        </is>
      </c>
      <c r="B78" s="1" t="n">
        <v>45629</v>
      </c>
      <c r="C78" s="1" t="n">
        <v>46198</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5286-2025</t>
        </is>
      </c>
      <c r="B79" s="1" t="n">
        <v>45692</v>
      </c>
      <c r="C79" s="1" t="n">
        <v>46198</v>
      </c>
      <c r="D79" t="inlineStr">
        <is>
          <t>STOCKHOLMS LÄN</t>
        </is>
      </c>
      <c r="E79" t="inlineStr">
        <is>
          <t>ÖSTERÅKER</t>
        </is>
      </c>
      <c r="G79" t="n">
        <v>11.2</v>
      </c>
      <c r="H79" t="n">
        <v>0</v>
      </c>
      <c r="I79" t="n">
        <v>0</v>
      </c>
      <c r="J79" t="n">
        <v>0</v>
      </c>
      <c r="K79" t="n">
        <v>0</v>
      </c>
      <c r="L79" t="n">
        <v>0</v>
      </c>
      <c r="M79" t="n">
        <v>0</v>
      </c>
      <c r="N79" t="n">
        <v>0</v>
      </c>
      <c r="O79" t="n">
        <v>0</v>
      </c>
      <c r="P79" t="n">
        <v>0</v>
      </c>
      <c r="Q79" t="n">
        <v>0</v>
      </c>
      <c r="R79" s="2" t="inlineStr"/>
    </row>
    <row r="80" ht="15" customHeight="1">
      <c r="A80" t="inlineStr">
        <is>
          <t>A 3817-2023</t>
        </is>
      </c>
      <c r="B80" s="1" t="n">
        <v>44951</v>
      </c>
      <c r="C80" s="1" t="n">
        <v>46198</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544-2023</t>
        </is>
      </c>
      <c r="B81" s="1" t="n">
        <v>44924</v>
      </c>
      <c r="C81" s="1" t="n">
        <v>46198</v>
      </c>
      <c r="D81" t="inlineStr">
        <is>
          <t>STOCKHOLMS LÄN</t>
        </is>
      </c>
      <c r="E81" t="inlineStr">
        <is>
          <t>ÖSTERÅKER</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3326-2022</t>
        </is>
      </c>
      <c r="B82" s="1" t="n">
        <v>44583</v>
      </c>
      <c r="C82" s="1" t="n">
        <v>46198</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13366-2024</t>
        </is>
      </c>
      <c r="B83" s="1" t="n">
        <v>45387</v>
      </c>
      <c r="C83" s="1" t="n">
        <v>46198</v>
      </c>
      <c r="D83" t="inlineStr">
        <is>
          <t>STOCKHOLMS LÄN</t>
        </is>
      </c>
      <c r="E83" t="inlineStr">
        <is>
          <t>ÖSTERÅKER</t>
        </is>
      </c>
      <c r="G83" t="n">
        <v>13.7</v>
      </c>
      <c r="H83" t="n">
        <v>0</v>
      </c>
      <c r="I83" t="n">
        <v>0</v>
      </c>
      <c r="J83" t="n">
        <v>0</v>
      </c>
      <c r="K83" t="n">
        <v>0</v>
      </c>
      <c r="L83" t="n">
        <v>0</v>
      </c>
      <c r="M83" t="n">
        <v>0</v>
      </c>
      <c r="N83" t="n">
        <v>0</v>
      </c>
      <c r="O83" t="n">
        <v>0</v>
      </c>
      <c r="P83" t="n">
        <v>0</v>
      </c>
      <c r="Q83" t="n">
        <v>0</v>
      </c>
      <c r="R83" s="2" t="inlineStr"/>
    </row>
    <row r="84" ht="15" customHeight="1">
      <c r="A84" t="inlineStr">
        <is>
          <t>A 23198-2026</t>
        </is>
      </c>
      <c r="B84" s="1" t="n">
        <v>46161</v>
      </c>
      <c r="C84" s="1" t="n">
        <v>46198</v>
      </c>
      <c r="D84" t="inlineStr">
        <is>
          <t>STOCKHOLMS LÄN</t>
        </is>
      </c>
      <c r="E84" t="inlineStr">
        <is>
          <t>ÖSTERÅKER</t>
        </is>
      </c>
      <c r="G84" t="n">
        <v>0.6</v>
      </c>
      <c r="H84" t="n">
        <v>0</v>
      </c>
      <c r="I84" t="n">
        <v>0</v>
      </c>
      <c r="J84" t="n">
        <v>0</v>
      </c>
      <c r="K84" t="n">
        <v>0</v>
      </c>
      <c r="L84" t="n">
        <v>0</v>
      </c>
      <c r="M84" t="n">
        <v>0</v>
      </c>
      <c r="N84" t="n">
        <v>0</v>
      </c>
      <c r="O84" t="n">
        <v>0</v>
      </c>
      <c r="P84" t="n">
        <v>0</v>
      </c>
      <c r="Q84" t="n">
        <v>0</v>
      </c>
      <c r="R84" s="2" t="inlineStr"/>
    </row>
    <row r="85" ht="15" customHeight="1">
      <c r="A85" t="inlineStr">
        <is>
          <t>A 57055-2024</t>
        </is>
      </c>
      <c r="B85" s="1" t="n">
        <v>45629</v>
      </c>
      <c r="C85" s="1" t="n">
        <v>46198</v>
      </c>
      <c r="D85" t="inlineStr">
        <is>
          <t>STOCKHOLMS LÄN</t>
        </is>
      </c>
      <c r="E85" t="inlineStr">
        <is>
          <t>ÖSTERÅKER</t>
        </is>
      </c>
      <c r="G85" t="n">
        <v>0.5</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46198</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46688-2022</t>
        </is>
      </c>
      <c r="B87" s="1" t="n">
        <v>44851</v>
      </c>
      <c r="C87" s="1" t="n">
        <v>46198</v>
      </c>
      <c r="D87" t="inlineStr">
        <is>
          <t>STOCKHOLMS LÄN</t>
        </is>
      </c>
      <c r="E87" t="inlineStr">
        <is>
          <t>ÖSTERÅKER</t>
        </is>
      </c>
      <c r="G87" t="n">
        <v>2</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46198</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46198</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3917-2023</t>
        </is>
      </c>
      <c r="B90" s="1" t="n">
        <v>44952</v>
      </c>
      <c r="C90" s="1" t="n">
        <v>46198</v>
      </c>
      <c r="D90" t="inlineStr">
        <is>
          <t>STOCKHOLMS LÄN</t>
        </is>
      </c>
      <c r="E90" t="inlineStr">
        <is>
          <t>ÖSTERÅKER</t>
        </is>
      </c>
      <c r="F90" t="inlineStr">
        <is>
          <t>Kommuner</t>
        </is>
      </c>
      <c r="G90" t="n">
        <v>2.8</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46198</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27137-2025</t>
        </is>
      </c>
      <c r="B92" s="1" t="n">
        <v>45811</v>
      </c>
      <c r="C92" s="1" t="n">
        <v>46198</v>
      </c>
      <c r="D92" t="inlineStr">
        <is>
          <t>STOCKHOLMS LÄN</t>
        </is>
      </c>
      <c r="E92" t="inlineStr">
        <is>
          <t>ÖSTERÅKER</t>
        </is>
      </c>
      <c r="G92" t="n">
        <v>3.8</v>
      </c>
      <c r="H92" t="n">
        <v>0</v>
      </c>
      <c r="I92" t="n">
        <v>0</v>
      </c>
      <c r="J92" t="n">
        <v>0</v>
      </c>
      <c r="K92" t="n">
        <v>0</v>
      </c>
      <c r="L92" t="n">
        <v>0</v>
      </c>
      <c r="M92" t="n">
        <v>0</v>
      </c>
      <c r="N92" t="n">
        <v>0</v>
      </c>
      <c r="O92" t="n">
        <v>0</v>
      </c>
      <c r="P92" t="n">
        <v>0</v>
      </c>
      <c r="Q92" t="n">
        <v>0</v>
      </c>
      <c r="R92" s="2" t="inlineStr"/>
    </row>
    <row r="93" ht="15" customHeight="1">
      <c r="A93" t="inlineStr">
        <is>
          <t>A 34034-2025</t>
        </is>
      </c>
      <c r="B93" s="1" t="n">
        <v>45842</v>
      </c>
      <c r="C93" s="1" t="n">
        <v>46198</v>
      </c>
      <c r="D93" t="inlineStr">
        <is>
          <t>STOCKHOLMS LÄN</t>
        </is>
      </c>
      <c r="E93" t="inlineStr">
        <is>
          <t>ÖSTERÅKER</t>
        </is>
      </c>
      <c r="F93" t="inlineStr">
        <is>
          <t>Övriga Aktiebolag</t>
        </is>
      </c>
      <c r="G93" t="n">
        <v>3.9</v>
      </c>
      <c r="H93" t="n">
        <v>0</v>
      </c>
      <c r="I93" t="n">
        <v>0</v>
      </c>
      <c r="J93" t="n">
        <v>0</v>
      </c>
      <c r="K93" t="n">
        <v>0</v>
      </c>
      <c r="L93" t="n">
        <v>0</v>
      </c>
      <c r="M93" t="n">
        <v>0</v>
      </c>
      <c r="N93" t="n">
        <v>0</v>
      </c>
      <c r="O93" t="n">
        <v>0</v>
      </c>
      <c r="P93" t="n">
        <v>0</v>
      </c>
      <c r="Q93" t="n">
        <v>0</v>
      </c>
      <c r="R93" s="2" t="inlineStr"/>
    </row>
    <row r="94" ht="15" customHeight="1">
      <c r="A94" t="inlineStr">
        <is>
          <t>A 35656-2025</t>
        </is>
      </c>
      <c r="B94" s="1" t="n">
        <v>45859</v>
      </c>
      <c r="C94" s="1" t="n">
        <v>46198</v>
      </c>
      <c r="D94" t="inlineStr">
        <is>
          <t>STOCKHOLMS LÄN</t>
        </is>
      </c>
      <c r="E94" t="inlineStr">
        <is>
          <t>ÖSTERÅKER</t>
        </is>
      </c>
      <c r="G94" t="n">
        <v>1.5</v>
      </c>
      <c r="H94" t="n">
        <v>0</v>
      </c>
      <c r="I94" t="n">
        <v>0</v>
      </c>
      <c r="J94" t="n">
        <v>0</v>
      </c>
      <c r="K94" t="n">
        <v>0</v>
      </c>
      <c r="L94" t="n">
        <v>0</v>
      </c>
      <c r="M94" t="n">
        <v>0</v>
      </c>
      <c r="N94" t="n">
        <v>0</v>
      </c>
      <c r="O94" t="n">
        <v>0</v>
      </c>
      <c r="P94" t="n">
        <v>0</v>
      </c>
      <c r="Q94" t="n">
        <v>0</v>
      </c>
      <c r="R94" s="2" t="inlineStr"/>
    </row>
    <row r="95">
      <c r="A95" t="inlineStr">
        <is>
          <t>A 35819-2025</t>
        </is>
      </c>
      <c r="B95" s="1" t="n">
        <v>45861</v>
      </c>
      <c r="C95" s="1" t="n">
        <v>46198</v>
      </c>
      <c r="D95" t="inlineStr">
        <is>
          <t>STOCKHOLMS LÄN</t>
        </is>
      </c>
      <c r="E95" t="inlineStr">
        <is>
          <t>ÖSTERÅKER</t>
        </is>
      </c>
      <c r="F95" t="inlineStr">
        <is>
          <t>Övriga Aktiebolag</t>
        </is>
      </c>
      <c r="G95" t="n">
        <v>8</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2026-06-25T00:46:31Z</dcterms:created>
  <dcterms:modified xmlns:dcterms="http://purl.org/dc/terms/" xmlns:xsi="http://www.w3.org/2001/XMLSchema-instance" xsi:type="dcterms:W3CDTF">2026-06-25T00:46:31Z</dcterms:modified>
</cp:coreProperties>
</file>