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46201</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46201</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46201</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46201</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46201</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46201</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46201</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46201</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46201</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46201</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46201</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46201</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54703-2024</t>
        </is>
      </c>
      <c r="B14" s="1" t="n">
        <v>45618</v>
      </c>
      <c r="C14" s="1" t="n">
        <v>46201</v>
      </c>
      <c r="D14" t="inlineStr">
        <is>
          <t>STOCKHOLMS LÄN</t>
        </is>
      </c>
      <c r="E14" t="inlineStr">
        <is>
          <t>ÖSTERÅKER</t>
        </is>
      </c>
      <c r="G14" t="n">
        <v>7.7</v>
      </c>
      <c r="H14" t="n">
        <v>2</v>
      </c>
      <c r="I14" t="n">
        <v>0</v>
      </c>
      <c r="J14" t="n">
        <v>1</v>
      </c>
      <c r="K14" t="n">
        <v>0</v>
      </c>
      <c r="L14" t="n">
        <v>0</v>
      </c>
      <c r="M14" t="n">
        <v>0</v>
      </c>
      <c r="N14" t="n">
        <v>0</v>
      </c>
      <c r="O14" t="n">
        <v>1</v>
      </c>
      <c r="P14" t="n">
        <v>0</v>
      </c>
      <c r="Q14" t="n">
        <v>3</v>
      </c>
      <c r="R14" s="2" t="inlineStr">
        <is>
          <t>Tallticka
Spillkråka
Kungsfågel</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46201</v>
      </c>
      <c r="D15" t="inlineStr">
        <is>
          <t>STOCKHOLMS LÄN</t>
        </is>
      </c>
      <c r="E15" t="inlineStr">
        <is>
          <t>ÖSTERÅKER</t>
        </is>
      </c>
      <c r="G15" t="n">
        <v>5.3</v>
      </c>
      <c r="H15" t="n">
        <v>1</v>
      </c>
      <c r="I15" t="n">
        <v>0</v>
      </c>
      <c r="J15" t="n">
        <v>2</v>
      </c>
      <c r="K15" t="n">
        <v>0</v>
      </c>
      <c r="L15" t="n">
        <v>0</v>
      </c>
      <c r="M15" t="n">
        <v>0</v>
      </c>
      <c r="N15" t="n">
        <v>0</v>
      </c>
      <c r="O15" t="n">
        <v>2</v>
      </c>
      <c r="P15" t="n">
        <v>0</v>
      </c>
      <c r="Q15" t="n">
        <v>3</v>
      </c>
      <c r="R15" s="2" t="inlineStr">
        <is>
          <t>Motaggsvamp
Skuggblåslav
Tjäder</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c r="Z15">
        <f>HYPERLINK("https://klasma.github.io/Logging_0117/fåglar/A 61363-2022 prioriterade fågelarter.docx", "A 61363-2022")</f>
        <v/>
      </c>
    </row>
    <row r="16" ht="15" customHeight="1">
      <c r="A16" t="inlineStr">
        <is>
          <t>A 62578-2025</t>
        </is>
      </c>
      <c r="B16" s="1" t="n">
        <v>46007</v>
      </c>
      <c r="C16" s="1" t="n">
        <v>46201</v>
      </c>
      <c r="D16" t="inlineStr">
        <is>
          <t>STOCKHOLMS LÄN</t>
        </is>
      </c>
      <c r="E16" t="inlineStr">
        <is>
          <t>ÖSTERÅKER</t>
        </is>
      </c>
      <c r="G16" t="n">
        <v>3.4</v>
      </c>
      <c r="H16" t="n">
        <v>0</v>
      </c>
      <c r="I16" t="n">
        <v>3</v>
      </c>
      <c r="J16" t="n">
        <v>0</v>
      </c>
      <c r="K16" t="n">
        <v>0</v>
      </c>
      <c r="L16" t="n">
        <v>0</v>
      </c>
      <c r="M16" t="n">
        <v>0</v>
      </c>
      <c r="N16" t="n">
        <v>0</v>
      </c>
      <c r="O16" t="n">
        <v>0</v>
      </c>
      <c r="P16" t="n">
        <v>0</v>
      </c>
      <c r="Q16" t="n">
        <v>3</v>
      </c>
      <c r="R16" s="2" t="inlineStr">
        <is>
          <t>Fällmossa
Mindre märgborre
Vedticka</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67244-2021</t>
        </is>
      </c>
      <c r="B17" s="1" t="n">
        <v>44523</v>
      </c>
      <c r="C17" s="1" t="n">
        <v>46201</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46201</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46201</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31575-2022</t>
        </is>
      </c>
      <c r="B20" s="1" t="n">
        <v>44775</v>
      </c>
      <c r="C20" s="1" t="n">
        <v>46201</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43308-2024</t>
        </is>
      </c>
      <c r="B21" s="1" t="n">
        <v>45568</v>
      </c>
      <c r="C21" s="1" t="n">
        <v>46201</v>
      </c>
      <c r="D21" t="inlineStr">
        <is>
          <t>STOCKHOLMS LÄN</t>
        </is>
      </c>
      <c r="E21" t="inlineStr">
        <is>
          <t>ÖSTERÅKER</t>
        </is>
      </c>
      <c r="F21" t="inlineStr">
        <is>
          <t>Kyrkan</t>
        </is>
      </c>
      <c r="G21" t="n">
        <v>3.2</v>
      </c>
      <c r="H21" t="n">
        <v>0</v>
      </c>
      <c r="I21" t="n">
        <v>0</v>
      </c>
      <c r="J21" t="n">
        <v>2</v>
      </c>
      <c r="K21" t="n">
        <v>0</v>
      </c>
      <c r="L21" t="n">
        <v>0</v>
      </c>
      <c r="M21" t="n">
        <v>0</v>
      </c>
      <c r="N21" t="n">
        <v>0</v>
      </c>
      <c r="O21" t="n">
        <v>2</v>
      </c>
      <c r="P21" t="n">
        <v>0</v>
      </c>
      <c r="Q21" t="n">
        <v>2</v>
      </c>
      <c r="R21" s="2" t="inlineStr">
        <is>
          <t>Dropptaggsvamp
Tallticka</t>
        </is>
      </c>
      <c r="S21">
        <f>HYPERLINK("https://klasma.github.io/Logging_0117/artfynd/A 43308-2024 artfynd.xlsx", "A 43308-2024")</f>
        <v/>
      </c>
      <c r="T21">
        <f>HYPERLINK("https://klasma.github.io/Logging_0117/kartor/A 43308-2024 karta.png", "A 43308-2024")</f>
        <v/>
      </c>
      <c r="V21">
        <f>HYPERLINK("https://klasma.github.io/Logging_0117/klagomål/A 43308-2024 FSC-klagomål.docx", "A 43308-2024")</f>
        <v/>
      </c>
      <c r="W21">
        <f>HYPERLINK("https://klasma.github.io/Logging_0117/klagomålsmail/A 43308-2024 FSC-klagomål mail.docx", "A 43308-2024")</f>
        <v/>
      </c>
      <c r="X21">
        <f>HYPERLINK("https://klasma.github.io/Logging_0117/tillsyn/A 43308-2024 tillsynsbegäran.docx", "A 43308-2024")</f>
        <v/>
      </c>
      <c r="Y21">
        <f>HYPERLINK("https://klasma.github.io/Logging_0117/tillsynsmail/A 43308-2024 tillsynsbegäran mail.docx", "A 43308-2024")</f>
        <v/>
      </c>
    </row>
    <row r="22" ht="15" customHeight="1">
      <c r="A22" t="inlineStr">
        <is>
          <t>A 61323-2022</t>
        </is>
      </c>
      <c r="B22" s="1" t="n">
        <v>44915</v>
      </c>
      <c r="C22" s="1" t="n">
        <v>46201</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46201</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46201</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46201</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62831-2025</t>
        </is>
      </c>
      <c r="B26" s="1" t="n">
        <v>46008</v>
      </c>
      <c r="C26" s="1" t="n">
        <v>46201</v>
      </c>
      <c r="D26" t="inlineStr">
        <is>
          <t>STOCKHOLMS LÄN</t>
        </is>
      </c>
      <c r="E26" t="inlineStr">
        <is>
          <t>ÖSTERÅKER</t>
        </is>
      </c>
      <c r="G26" t="n">
        <v>1.2</v>
      </c>
      <c r="H26" t="n">
        <v>0</v>
      </c>
      <c r="I26" t="n">
        <v>1</v>
      </c>
      <c r="J26" t="n">
        <v>0</v>
      </c>
      <c r="K26" t="n">
        <v>0</v>
      </c>
      <c r="L26" t="n">
        <v>0</v>
      </c>
      <c r="M26" t="n">
        <v>0</v>
      </c>
      <c r="N26" t="n">
        <v>0</v>
      </c>
      <c r="O26" t="n">
        <v>0</v>
      </c>
      <c r="P26" t="n">
        <v>0</v>
      </c>
      <c r="Q26" t="n">
        <v>1</v>
      </c>
      <c r="R26" s="2" t="inlineStr">
        <is>
          <t>Vedticka</t>
        </is>
      </c>
      <c r="S26">
        <f>HYPERLINK("https://klasma.github.io/Logging_0117/artfynd/A 62831-2025 artfynd.xlsx", "A 62831-2025")</f>
        <v/>
      </c>
      <c r="T26">
        <f>HYPERLINK("https://klasma.github.io/Logging_0117/kartor/A 62831-2025 karta.png", "A 62831-2025")</f>
        <v/>
      </c>
      <c r="V26">
        <f>HYPERLINK("https://klasma.github.io/Logging_0117/klagomål/A 62831-2025 FSC-klagomål.docx", "A 62831-2025")</f>
        <v/>
      </c>
      <c r="W26">
        <f>HYPERLINK("https://klasma.github.io/Logging_0117/klagomålsmail/A 62831-2025 FSC-klagomål mail.docx", "A 62831-2025")</f>
        <v/>
      </c>
      <c r="X26">
        <f>HYPERLINK("https://klasma.github.io/Logging_0117/tillsyn/A 62831-2025 tillsynsbegäran.docx", "A 62831-2025")</f>
        <v/>
      </c>
      <c r="Y26">
        <f>HYPERLINK("https://klasma.github.io/Logging_0117/tillsynsmail/A 62831-2025 tillsynsbegäran mail.docx", "A 62831-2025")</f>
        <v/>
      </c>
    </row>
    <row r="27" ht="15" customHeight="1">
      <c r="A27" t="inlineStr">
        <is>
          <t>A 62839-2025</t>
        </is>
      </c>
      <c r="B27" s="1" t="n">
        <v>46008</v>
      </c>
      <c r="C27" s="1" t="n">
        <v>46201</v>
      </c>
      <c r="D27" t="inlineStr">
        <is>
          <t>STOCKHOLMS LÄN</t>
        </is>
      </c>
      <c r="E27" t="inlineStr">
        <is>
          <t>ÖSTERÅKER</t>
        </is>
      </c>
      <c r="G27" t="n">
        <v>1.4</v>
      </c>
      <c r="H27" t="n">
        <v>0</v>
      </c>
      <c r="I27" t="n">
        <v>0</v>
      </c>
      <c r="J27" t="n">
        <v>1</v>
      </c>
      <c r="K27" t="n">
        <v>0</v>
      </c>
      <c r="L27" t="n">
        <v>0</v>
      </c>
      <c r="M27" t="n">
        <v>0</v>
      </c>
      <c r="N27" t="n">
        <v>0</v>
      </c>
      <c r="O27" t="n">
        <v>1</v>
      </c>
      <c r="P27" t="n">
        <v>0</v>
      </c>
      <c r="Q27" t="n">
        <v>1</v>
      </c>
      <c r="R27" s="2" t="inlineStr">
        <is>
          <t>Gullpudra</t>
        </is>
      </c>
      <c r="S27">
        <f>HYPERLINK("https://klasma.github.io/Logging_0117/artfynd/A 62839-2025 artfynd.xlsx", "A 62839-2025")</f>
        <v/>
      </c>
      <c r="T27">
        <f>HYPERLINK("https://klasma.github.io/Logging_0117/kartor/A 62839-2025 karta.png", "A 62839-2025")</f>
        <v/>
      </c>
      <c r="V27">
        <f>HYPERLINK("https://klasma.github.io/Logging_0117/klagomål/A 62839-2025 FSC-klagomål.docx", "A 62839-2025")</f>
        <v/>
      </c>
      <c r="W27">
        <f>HYPERLINK("https://klasma.github.io/Logging_0117/klagomålsmail/A 62839-2025 FSC-klagomål mail.docx", "A 62839-2025")</f>
        <v/>
      </c>
      <c r="X27">
        <f>HYPERLINK("https://klasma.github.io/Logging_0117/tillsyn/A 62839-2025 tillsynsbegäran.docx", "A 62839-2025")</f>
        <v/>
      </c>
      <c r="Y27">
        <f>HYPERLINK("https://klasma.github.io/Logging_0117/tillsynsmail/A 62839-2025 tillsynsbegäran mail.docx", "A 62839-2025")</f>
        <v/>
      </c>
    </row>
    <row r="28" ht="15" customHeight="1">
      <c r="A28" t="inlineStr">
        <is>
          <t>A 2148-2022</t>
        </is>
      </c>
      <c r="B28" s="1" t="n">
        <v>44575</v>
      </c>
      <c r="C28" s="1" t="n">
        <v>46201</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46201</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46201</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838-2022</t>
        </is>
      </c>
      <c r="B31" s="1" t="n">
        <v>44569</v>
      </c>
      <c r="C31" s="1" t="n">
        <v>46201</v>
      </c>
      <c r="D31" t="inlineStr">
        <is>
          <t>STOCKHOLMS LÄN</t>
        </is>
      </c>
      <c r="E31" t="inlineStr">
        <is>
          <t>ÖSTERÅKER</t>
        </is>
      </c>
      <c r="F31" t="inlineStr">
        <is>
          <t>Övriga Aktiebolag</t>
        </is>
      </c>
      <c r="G31" t="n">
        <v>4.9</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46201</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46201</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v>
      </c>
      <c r="C34" s="1" t="n">
        <v>46201</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v>
      </c>
      <c r="C35" s="1" t="n">
        <v>46201</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46201</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46201</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46201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46201</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46201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46201</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56909-2024</t>
        </is>
      </c>
      <c r="B42" s="1" t="n">
        <v>45628</v>
      </c>
      <c r="C42" s="1" t="n">
        <v>46201</v>
      </c>
      <c r="D42" t="inlineStr">
        <is>
          <t>STOCKHOLMS LÄN</t>
        </is>
      </c>
      <c r="E42" t="inlineStr">
        <is>
          <t>ÖSTERÅKER</t>
        </is>
      </c>
      <c r="G42" t="n">
        <v>1</v>
      </c>
      <c r="H42" t="n">
        <v>0</v>
      </c>
      <c r="I42" t="n">
        <v>0</v>
      </c>
      <c r="J42" t="n">
        <v>0</v>
      </c>
      <c r="K42" t="n">
        <v>0</v>
      </c>
      <c r="L42" t="n">
        <v>0</v>
      </c>
      <c r="M42" t="n">
        <v>0</v>
      </c>
      <c r="N42" t="n">
        <v>0</v>
      </c>
      <c r="O42" t="n">
        <v>0</v>
      </c>
      <c r="P42" t="n">
        <v>0</v>
      </c>
      <c r="Q42" t="n">
        <v>0</v>
      </c>
      <c r="R42" s="2" t="inlineStr"/>
    </row>
    <row r="43" ht="15" customHeight="1">
      <c r="A43" t="inlineStr">
        <is>
          <t>A 16728-2022</t>
        </is>
      </c>
      <c r="B43" s="1" t="n">
        <v>44673</v>
      </c>
      <c r="C43" s="1" t="n">
        <v>46201</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1136-2023</t>
        </is>
      </c>
      <c r="B44" s="1" t="n">
        <v>44935</v>
      </c>
      <c r="C44" s="1" t="n">
        <v>46201</v>
      </c>
      <c r="D44" t="inlineStr">
        <is>
          <t>STOCKHOLMS LÄN</t>
        </is>
      </c>
      <c r="E44" t="inlineStr">
        <is>
          <t>ÖSTERÅKER</t>
        </is>
      </c>
      <c r="G44" t="n">
        <v>0.5</v>
      </c>
      <c r="H44" t="n">
        <v>0</v>
      </c>
      <c r="I44" t="n">
        <v>0</v>
      </c>
      <c r="J44" t="n">
        <v>0</v>
      </c>
      <c r="K44" t="n">
        <v>0</v>
      </c>
      <c r="L44" t="n">
        <v>0</v>
      </c>
      <c r="M44" t="n">
        <v>0</v>
      </c>
      <c r="N44" t="n">
        <v>0</v>
      </c>
      <c r="O44" t="n">
        <v>0</v>
      </c>
      <c r="P44" t="n">
        <v>0</v>
      </c>
      <c r="Q44" t="n">
        <v>0</v>
      </c>
      <c r="R44" s="2" t="inlineStr"/>
    </row>
    <row r="45" ht="15" customHeight="1">
      <c r="A45" t="inlineStr">
        <is>
          <t>A 61710-2022</t>
        </is>
      </c>
      <c r="B45" s="1" t="n">
        <v>44917</v>
      </c>
      <c r="C45" s="1" t="n">
        <v>46201</v>
      </c>
      <c r="D45" t="inlineStr">
        <is>
          <t>STOCKHOLMS LÄN</t>
        </is>
      </c>
      <c r="E45" t="inlineStr">
        <is>
          <t>ÖSTERÅKER</t>
        </is>
      </c>
      <c r="G45" t="n">
        <v>6.2</v>
      </c>
      <c r="H45" t="n">
        <v>0</v>
      </c>
      <c r="I45" t="n">
        <v>0</v>
      </c>
      <c r="J45" t="n">
        <v>0</v>
      </c>
      <c r="K45" t="n">
        <v>0</v>
      </c>
      <c r="L45" t="n">
        <v>0</v>
      </c>
      <c r="M45" t="n">
        <v>0</v>
      </c>
      <c r="N45" t="n">
        <v>0</v>
      </c>
      <c r="O45" t="n">
        <v>0</v>
      </c>
      <c r="P45" t="n">
        <v>0</v>
      </c>
      <c r="Q45" t="n">
        <v>0</v>
      </c>
      <c r="R45" s="2" t="inlineStr"/>
    </row>
    <row r="46" ht="15" customHeight="1">
      <c r="A46" t="inlineStr">
        <is>
          <t>A 1603-2023</t>
        </is>
      </c>
      <c r="B46" s="1" t="n">
        <v>44937</v>
      </c>
      <c r="C46" s="1" t="n">
        <v>46201</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v>
      </c>
      <c r="C47" s="1" t="n">
        <v>46201</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46201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22528-2024</t>
        </is>
      </c>
      <c r="B49" s="1" t="n">
        <v>45447</v>
      </c>
      <c r="C49" s="1" t="n">
        <v>46201</v>
      </c>
      <c r="D49" t="inlineStr">
        <is>
          <t>STOCKHOLMS LÄN</t>
        </is>
      </c>
      <c r="E49" t="inlineStr">
        <is>
          <t>ÖSTERÅKER</t>
        </is>
      </c>
      <c r="F49" t="inlineStr">
        <is>
          <t>Övriga Aktiebolag</t>
        </is>
      </c>
      <c r="G49" t="n">
        <v>1.4</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46201</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18091-2022</t>
        </is>
      </c>
      <c r="B51" s="1" t="n">
        <v>44684</v>
      </c>
      <c r="C51" s="1" t="n">
        <v>46201</v>
      </c>
      <c r="D51" t="inlineStr">
        <is>
          <t>STOCKHOLMS LÄN</t>
        </is>
      </c>
      <c r="E51" t="inlineStr">
        <is>
          <t>ÖSTERÅKER</t>
        </is>
      </c>
      <c r="G51" t="n">
        <v>6.1</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46201</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46201</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845-2024</t>
        </is>
      </c>
      <c r="B54" s="1" t="n">
        <v>45300</v>
      </c>
      <c r="C54" s="1" t="n">
        <v>46201</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46201</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17196-2022</t>
        </is>
      </c>
      <c r="B56" s="1" t="n">
        <v>44677</v>
      </c>
      <c r="C56" s="1" t="n">
        <v>46201</v>
      </c>
      <c r="D56" t="inlineStr">
        <is>
          <t>STOCKHOLMS LÄN</t>
        </is>
      </c>
      <c r="E56" t="inlineStr">
        <is>
          <t>ÖSTERÅKER</t>
        </is>
      </c>
      <c r="G56" t="n">
        <v>5.9</v>
      </c>
      <c r="H56" t="n">
        <v>0</v>
      </c>
      <c r="I56" t="n">
        <v>0</v>
      </c>
      <c r="J56" t="n">
        <v>0</v>
      </c>
      <c r="K56" t="n">
        <v>0</v>
      </c>
      <c r="L56" t="n">
        <v>0</v>
      </c>
      <c r="M56" t="n">
        <v>0</v>
      </c>
      <c r="N56" t="n">
        <v>0</v>
      </c>
      <c r="O56" t="n">
        <v>0</v>
      </c>
      <c r="P56" t="n">
        <v>0</v>
      </c>
      <c r="Q56" t="n">
        <v>0</v>
      </c>
      <c r="R56" s="2" t="inlineStr"/>
    </row>
    <row r="57" ht="15" customHeight="1">
      <c r="A57" t="inlineStr">
        <is>
          <t>A 31134-2023</t>
        </is>
      </c>
      <c r="B57" s="1" t="n">
        <v>45113</v>
      </c>
      <c r="C57" s="1" t="n">
        <v>46201</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46201</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39394-2023</t>
        </is>
      </c>
      <c r="B59" s="1" t="n">
        <v>45166</v>
      </c>
      <c r="C59" s="1" t="n">
        <v>46201</v>
      </c>
      <c r="D59" t="inlineStr">
        <is>
          <t>STOCKHOLMS LÄN</t>
        </is>
      </c>
      <c r="E59" t="inlineStr">
        <is>
          <t>ÖSTERÅKER</t>
        </is>
      </c>
      <c r="G59" t="n">
        <v>0.4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46201</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470-2022</t>
        </is>
      </c>
      <c r="B61" s="1" t="n">
        <v>44565</v>
      </c>
      <c r="C61" s="1" t="n">
        <v>46201</v>
      </c>
      <c r="D61" t="inlineStr">
        <is>
          <t>STOCKHOLMS LÄN</t>
        </is>
      </c>
      <c r="E61" t="inlineStr">
        <is>
          <t>ÖSTERÅKER</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10185-2025</t>
        </is>
      </c>
      <c r="B62" s="1" t="n">
        <v>45719</v>
      </c>
      <c r="C62" s="1" t="n">
        <v>46201</v>
      </c>
      <c r="D62" t="inlineStr">
        <is>
          <t>STOCKHOLMS LÄN</t>
        </is>
      </c>
      <c r="E62" t="inlineStr">
        <is>
          <t>ÖSTERÅKER</t>
        </is>
      </c>
      <c r="G62" t="n">
        <v>4.1</v>
      </c>
      <c r="H62" t="n">
        <v>0</v>
      </c>
      <c r="I62" t="n">
        <v>0</v>
      </c>
      <c r="J62" t="n">
        <v>0</v>
      </c>
      <c r="K62" t="n">
        <v>0</v>
      </c>
      <c r="L62" t="n">
        <v>0</v>
      </c>
      <c r="M62" t="n">
        <v>0</v>
      </c>
      <c r="N62" t="n">
        <v>0</v>
      </c>
      <c r="O62" t="n">
        <v>0</v>
      </c>
      <c r="P62" t="n">
        <v>0</v>
      </c>
      <c r="Q62" t="n">
        <v>0</v>
      </c>
      <c r="R62" s="2" t="inlineStr"/>
    </row>
    <row r="63" ht="15" customHeight="1">
      <c r="A63" t="inlineStr">
        <is>
          <t>A 3917-2023</t>
        </is>
      </c>
      <c r="B63" s="1" t="n">
        <v>44952</v>
      </c>
      <c r="C63" s="1" t="n">
        <v>46201</v>
      </c>
      <c r="D63" t="inlineStr">
        <is>
          <t>STOCKHOLMS LÄN</t>
        </is>
      </c>
      <c r="E63" t="inlineStr">
        <is>
          <t>ÖSTERÅKER</t>
        </is>
      </c>
      <c r="F63" t="inlineStr">
        <is>
          <t>Kommuner</t>
        </is>
      </c>
      <c r="G63" t="n">
        <v>2.8</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46201</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46201</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27137-2025</t>
        </is>
      </c>
      <c r="B66" s="1" t="n">
        <v>45811</v>
      </c>
      <c r="C66" s="1" t="n">
        <v>46201</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46201</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24499-2023</t>
        </is>
      </c>
      <c r="B68" s="1" t="n">
        <v>45082</v>
      </c>
      <c r="C68" s="1" t="n">
        <v>46201</v>
      </c>
      <c r="D68" t="inlineStr">
        <is>
          <t>STOCKHOLMS LÄN</t>
        </is>
      </c>
      <c r="E68" t="inlineStr">
        <is>
          <t>ÖSTERÅKER</t>
        </is>
      </c>
      <c r="G68" t="n">
        <v>0.1</v>
      </c>
      <c r="H68" t="n">
        <v>0</v>
      </c>
      <c r="I68" t="n">
        <v>0</v>
      </c>
      <c r="J68" t="n">
        <v>0</v>
      </c>
      <c r="K68" t="n">
        <v>0</v>
      </c>
      <c r="L68" t="n">
        <v>0</v>
      </c>
      <c r="M68" t="n">
        <v>0</v>
      </c>
      <c r="N68" t="n">
        <v>0</v>
      </c>
      <c r="O68" t="n">
        <v>0</v>
      </c>
      <c r="P68" t="n">
        <v>0</v>
      </c>
      <c r="Q68" t="n">
        <v>0</v>
      </c>
      <c r="R68" s="2" t="inlineStr"/>
    </row>
    <row r="69" ht="15" customHeight="1">
      <c r="A69" t="inlineStr">
        <is>
          <t>A 6655-2023</t>
        </is>
      </c>
      <c r="B69" s="1" t="n">
        <v>44966</v>
      </c>
      <c r="C69" s="1" t="n">
        <v>46201</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34034-2025</t>
        </is>
      </c>
      <c r="B70" s="1" t="n">
        <v>45842</v>
      </c>
      <c r="C70" s="1" t="n">
        <v>46201</v>
      </c>
      <c r="D70" t="inlineStr">
        <is>
          <t>STOCKHOLMS LÄN</t>
        </is>
      </c>
      <c r="E70" t="inlineStr">
        <is>
          <t>ÖSTERÅKER</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28146-2024</t>
        </is>
      </c>
      <c r="B71" s="1" t="n">
        <v>45476</v>
      </c>
      <c r="C71" s="1" t="n">
        <v>46201</v>
      </c>
      <c r="D71" t="inlineStr">
        <is>
          <t>STOCKHOLMS LÄN</t>
        </is>
      </c>
      <c r="E71" t="inlineStr">
        <is>
          <t>ÖSTERÅKER</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46201</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46201</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57048-2024</t>
        </is>
      </c>
      <c r="B74" s="1" t="n">
        <v>45629</v>
      </c>
      <c r="C74" s="1" t="n">
        <v>46201</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v>
      </c>
      <c r="C75" s="1" t="n">
        <v>46201</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46201</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46201</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3326-2022</t>
        </is>
      </c>
      <c r="B78" s="1" t="n">
        <v>44583</v>
      </c>
      <c r="C78" s="1" t="n">
        <v>46201</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46201</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52220-2025</t>
        </is>
      </c>
      <c r="B80" s="1" t="n">
        <v>45953</v>
      </c>
      <c r="C80" s="1" t="n">
        <v>46201</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57055-2024</t>
        </is>
      </c>
      <c r="B81" s="1" t="n">
        <v>45629</v>
      </c>
      <c r="C81" s="1" t="n">
        <v>46201</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46201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46688-2022</t>
        </is>
      </c>
      <c r="B83" s="1" t="n">
        <v>44851</v>
      </c>
      <c r="C83" s="1" t="n">
        <v>46201</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46201</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46201</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12345-2026</t>
        </is>
      </c>
      <c r="B86" s="1" t="n">
        <v>46087</v>
      </c>
      <c r="C86" s="1" t="n">
        <v>46201</v>
      </c>
      <c r="D86" t="inlineStr">
        <is>
          <t>STOCKHOLMS LÄN</t>
        </is>
      </c>
      <c r="E86" t="inlineStr">
        <is>
          <t>ÖSTERÅKER</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46201</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46201</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60482-2025</t>
        </is>
      </c>
      <c r="B89" s="1" t="n">
        <v>45995</v>
      </c>
      <c r="C89" s="1" t="n">
        <v>46201</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21796-2025</t>
        </is>
      </c>
      <c r="B90" s="1" t="n">
        <v>45783</v>
      </c>
      <c r="C90" s="1" t="n">
        <v>46201</v>
      </c>
      <c r="D90" t="inlineStr">
        <is>
          <t>STOCKHOLMS LÄN</t>
        </is>
      </c>
      <c r="E90" t="inlineStr">
        <is>
          <t>ÖSTERÅKER</t>
        </is>
      </c>
      <c r="G90" t="n">
        <v>2.5</v>
      </c>
      <c r="H90" t="n">
        <v>0</v>
      </c>
      <c r="I90" t="n">
        <v>0</v>
      </c>
      <c r="J90" t="n">
        <v>0</v>
      </c>
      <c r="K90" t="n">
        <v>0</v>
      </c>
      <c r="L90" t="n">
        <v>0</v>
      </c>
      <c r="M90" t="n">
        <v>0</v>
      </c>
      <c r="N90" t="n">
        <v>0</v>
      </c>
      <c r="O90" t="n">
        <v>0</v>
      </c>
      <c r="P90" t="n">
        <v>0</v>
      </c>
      <c r="Q90" t="n">
        <v>0</v>
      </c>
      <c r="R90" s="2" t="inlineStr"/>
    </row>
    <row r="91" ht="15" customHeight="1">
      <c r="A91" t="inlineStr">
        <is>
          <t>A 18711-2023</t>
        </is>
      </c>
      <c r="B91" s="1" t="n">
        <v>45043</v>
      </c>
      <c r="C91" s="1" t="n">
        <v>46201</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23144-2024</t>
        </is>
      </c>
      <c r="B92" s="1" t="n">
        <v>45450</v>
      </c>
      <c r="C92" s="1" t="n">
        <v>46201</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26249-2026</t>
        </is>
      </c>
      <c r="B93" s="1" t="n">
        <v>46182</v>
      </c>
      <c r="C93" s="1" t="n">
        <v>46201</v>
      </c>
      <c r="D93" t="inlineStr">
        <is>
          <t>STOCKHOLMS LÄN</t>
        </is>
      </c>
      <c r="E93" t="inlineStr">
        <is>
          <t>ÖSTERÅKER</t>
        </is>
      </c>
      <c r="G93" t="n">
        <v>4.9</v>
      </c>
      <c r="H93" t="n">
        <v>0</v>
      </c>
      <c r="I93" t="n">
        <v>0</v>
      </c>
      <c r="J93" t="n">
        <v>0</v>
      </c>
      <c r="K93" t="n">
        <v>0</v>
      </c>
      <c r="L93" t="n">
        <v>0</v>
      </c>
      <c r="M93" t="n">
        <v>0</v>
      </c>
      <c r="N93" t="n">
        <v>0</v>
      </c>
      <c r="O93" t="n">
        <v>0</v>
      </c>
      <c r="P93" t="n">
        <v>0</v>
      </c>
      <c r="Q93" t="n">
        <v>0</v>
      </c>
      <c r="R93" s="2" t="inlineStr"/>
    </row>
    <row r="94" ht="15" customHeight="1">
      <c r="A94" t="inlineStr">
        <is>
          <t>A 17263-2022</t>
        </is>
      </c>
      <c r="B94" s="1" t="n">
        <v>44678</v>
      </c>
      <c r="C94" s="1" t="n">
        <v>46201</v>
      </c>
      <c r="D94" t="inlineStr">
        <is>
          <t>STOCKHOLMS LÄN</t>
        </is>
      </c>
      <c r="E94" t="inlineStr">
        <is>
          <t>ÖSTERÅKER</t>
        </is>
      </c>
      <c r="G94" t="n">
        <v>2.4</v>
      </c>
      <c r="H94" t="n">
        <v>0</v>
      </c>
      <c r="I94" t="n">
        <v>0</v>
      </c>
      <c r="J94" t="n">
        <v>0</v>
      </c>
      <c r="K94" t="n">
        <v>0</v>
      </c>
      <c r="L94" t="n">
        <v>0</v>
      </c>
      <c r="M94" t="n">
        <v>0</v>
      </c>
      <c r="N94" t="n">
        <v>0</v>
      </c>
      <c r="O94" t="n">
        <v>0</v>
      </c>
      <c r="P94" t="n">
        <v>0</v>
      </c>
      <c r="Q94" t="n">
        <v>0</v>
      </c>
      <c r="R94" s="2" t="inlineStr"/>
    </row>
    <row r="95">
      <c r="A95" t="inlineStr">
        <is>
          <t>A 34038-2025</t>
        </is>
      </c>
      <c r="B95" s="1" t="n">
        <v>45842</v>
      </c>
      <c r="C95" s="1" t="n">
        <v>46201</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2026-06-28T00:57:41Z</dcterms:created>
  <dcterms:modified xmlns:dcterms="http://purl.org/dc/terms/" xmlns:xsi="http://www.w3.org/2001/XMLSchema-instance" xsi:type="dcterms:W3CDTF">2026-06-28T00:57:41Z</dcterms:modified>
</cp:coreProperties>
</file>