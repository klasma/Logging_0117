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46224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46224</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46224</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46224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46224</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46224</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46224</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46224</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46224</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62578-2025</t>
        </is>
      </c>
      <c r="B13" t="inlineStr">
        <is>
          <t>avverkningsanmälan</t>
        </is>
      </c>
      <c r="C13" t="inlineStr">
        <is>
          <t>Föryngringsavverkning</t>
        </is>
      </c>
      <c r="D13" s="1" t="n">
        <v>46007</v>
      </c>
      <c r="E13" s="1" t="n">
        <v>46224</v>
      </c>
      <c r="F13" t="inlineStr">
        <is>
          <t>STOCKHOLMS LÄN</t>
        </is>
      </c>
      <c r="G13" t="inlineStr">
        <is>
          <t>ÖSTERÅKER</t>
        </is>
      </c>
      <c r="I13" t="n">
        <v>3.4</v>
      </c>
      <c r="J13" t="n">
        <v>0</v>
      </c>
      <c r="K13" t="n">
        <v>3</v>
      </c>
      <c r="L13" t="n">
        <v>0</v>
      </c>
      <c r="M13" t="n">
        <v>0</v>
      </c>
      <c r="N13" t="n">
        <v>0</v>
      </c>
      <c r="O13" t="n">
        <v>0</v>
      </c>
      <c r="P13" t="n">
        <v>0</v>
      </c>
      <c r="Q13" t="n">
        <v>0</v>
      </c>
      <c r="R13" t="n">
        <v>0</v>
      </c>
      <c r="S13" t="n">
        <v>3</v>
      </c>
      <c r="T13" t="n">
        <v>4</v>
      </c>
      <c r="U13" t="n">
        <v>0</v>
      </c>
      <c r="V13" s="2" t="inlineStr">
        <is>
          <t>Fällmossa
Mindre märgborre
Vedticka</t>
        </is>
      </c>
      <c r="W13">
        <f>HYPERLINK("https://klasma.github.io/Logging_0117/artfynd/A 62578-2025 artfynd.xlsx", "A 62578-2025")</f>
        <v/>
      </c>
      <c r="X13">
        <f>HYPERLINK("https://klasma.github.io/Logging_0117/kartor/A 62578-2025 karta.png", "A 62578-2025")</f>
        <v/>
      </c>
      <c r="Y13">
        <f>HYPERLINK("https://klasma.github.io/Logging_0117/kartor_geotiff/A 62578-2025 georefererad karta.tif", "A 62578-2025")</f>
        <v/>
      </c>
      <c r="AA13">
        <f>HYPERLINK("https://klasma.github.io/Logging_0117/klagomål/A 62578-2025 FSC-klagomål.docx", "A 62578-2025")</f>
        <v/>
      </c>
      <c r="AB13">
        <f>HYPERLINK("https://klasma.github.io/Logging_0117/klagomålsmail/A 62578-2025 FSC-klagomål mail.docx", "A 62578-2025")</f>
        <v/>
      </c>
      <c r="AC13">
        <f>HYPERLINK("https://klasma.github.io/Logging_0117/tillsyn/A 62578-2025 tillsynsbegäran.docx", "A 62578-2025")</f>
        <v/>
      </c>
      <c r="AD13">
        <f>HYPERLINK("https://klasma.github.io/Logging_0117/tillsynsmail/A 62578-2025 tillsynsbegäran mail.docx", "A 62578-2025")</f>
        <v/>
      </c>
    </row>
    <row r="14" ht="15" customHeight="1">
      <c r="A14" t="inlineStr">
        <is>
          <t>A 27948-2025</t>
        </is>
      </c>
      <c r="B14" t="inlineStr">
        <is>
          <t>avverkningsanmälan</t>
        </is>
      </c>
      <c r="C14" t="inlineStr">
        <is>
          <t>Föryngringsavverkning</t>
        </is>
      </c>
      <c r="D14" s="1" t="n">
        <v>45817</v>
      </c>
      <c r="E14" s="1" t="n">
        <v>46224</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12620-2022</t>
        </is>
      </c>
      <c r="B15" t="inlineStr">
        <is>
          <t>avverkningsanmälan</t>
        </is>
      </c>
      <c r="C15" t="inlineStr">
        <is>
          <t>Föryngringsavverkning</t>
        </is>
      </c>
      <c r="D15" s="1" t="n">
        <v>44638</v>
      </c>
      <c r="E15" s="1" t="n">
        <v>46224</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46224</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46224</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46224</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46224</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46224</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46224</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46224</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46224</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46224</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46224</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46224</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46224</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46224</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46224</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46224</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46224</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46224</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46224</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46224</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46224</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46224</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46224</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46224</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46224</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46224</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46224</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46224</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46224</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46224</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46224</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46224</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46224</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46224</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46224</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46224</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46224</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61360-2022</t>
        </is>
      </c>
      <c r="B52" t="inlineStr">
        <is>
          <t>avverkningsanmälan</t>
        </is>
      </c>
      <c r="C52" t="inlineStr">
        <is>
          <t>Föryngringsavverkning</t>
        </is>
      </c>
      <c r="D52" s="1" t="n">
        <v>44915</v>
      </c>
      <c r="E52" s="1" t="n">
        <v>46224</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46224</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46224</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52220-2025</t>
        </is>
      </c>
      <c r="B55" t="inlineStr">
        <is>
          <t>avverkningsanmälan</t>
        </is>
      </c>
      <c r="C55" t="inlineStr">
        <is>
          <t>Avverkning för annat ändamål</t>
        </is>
      </c>
      <c r="D55" s="1" t="n">
        <v>45953</v>
      </c>
      <c r="E55" s="1" t="n">
        <v>46224</v>
      </c>
      <c r="F55" t="inlineStr">
        <is>
          <t>STOCKHOLMS LÄN</t>
        </is>
      </c>
      <c r="G55" t="inlineStr">
        <is>
          <t>ÖSTERÅKER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16728-2022</t>
        </is>
      </c>
      <c r="B56" t="inlineStr">
        <is>
          <t>avverkningsanmälan</t>
        </is>
      </c>
      <c r="C56" t="inlineStr">
        <is>
          <t>Föryngringsavverkning</t>
        </is>
      </c>
      <c r="D56" s="1" t="n">
        <v>44673</v>
      </c>
      <c r="E56" s="1" t="n">
        <v>46224</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1136-2023</t>
        </is>
      </c>
      <c r="B57" t="inlineStr">
        <is>
          <t>avverkningsanmälan</t>
        </is>
      </c>
      <c r="C57" t="inlineStr">
        <is>
          <t>Avverkning för annat ändamål</t>
        </is>
      </c>
      <c r="D57" s="1" t="n">
        <v>44935</v>
      </c>
      <c r="E57" s="1" t="n">
        <v>46224</v>
      </c>
      <c r="F57" t="inlineStr">
        <is>
          <t>STOCKHOLMS LÄN</t>
        </is>
      </c>
      <c r="G57" t="inlineStr">
        <is>
          <t>ÖSTERÅKER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61710-2022</t>
        </is>
      </c>
      <c r="B58" t="inlineStr">
        <is>
          <t>avverkningsanmälan</t>
        </is>
      </c>
      <c r="C58" t="inlineStr">
        <is>
          <t>Föryngringsavverkning</t>
        </is>
      </c>
      <c r="D58" s="1" t="n">
        <v>44917</v>
      </c>
      <c r="E58" s="1" t="n">
        <v>46224</v>
      </c>
      <c r="F58" t="inlineStr">
        <is>
          <t>STOCKHOLMS LÄN</t>
        </is>
      </c>
      <c r="G58" t="inlineStr">
        <is>
          <t>ÖSTERÅKER</t>
        </is>
      </c>
      <c r="I58" t="n">
        <v>6.2</v>
      </c>
      <c r="J58" t="n">
        <v>0</v>
      </c>
      <c r="K58" t="n">
        <v>0</v>
      </c>
      <c r="L58" t="n">
        <v>0</v>
      </c>
      <c r="M58" t="n">
        <v>0</v>
      </c>
      <c r="N58" t="n">
        <v>0</v>
      </c>
      <c r="O58" t="n">
        <v>0</v>
      </c>
      <c r="P58" t="n">
        <v>0</v>
      </c>
      <c r="Q58" t="n">
        <v>0</v>
      </c>
      <c r="R58" t="n">
        <v>0</v>
      </c>
      <c r="S58" t="n">
        <v>0</v>
      </c>
      <c r="T58" t="n">
        <v>0</v>
      </c>
      <c r="U58" t="n">
        <v>0</v>
      </c>
      <c r="V58" s="2" t="inlineStr"/>
    </row>
    <row r="59" ht="15" customHeight="1">
      <c r="A59" t="inlineStr">
        <is>
          <t>A 22528-2024</t>
        </is>
      </c>
      <c r="B59" t="inlineStr">
        <is>
          <t>avverkningsanmälan</t>
        </is>
      </c>
      <c r="C59" t="inlineStr">
        <is>
          <t>Föryngringsavverkning</t>
        </is>
      </c>
      <c r="D59" s="1" t="n">
        <v>45447</v>
      </c>
      <c r="E59" s="1" t="n">
        <v>46224</v>
      </c>
      <c r="F59" t="inlineStr">
        <is>
          <t>STOCKHOLMS LÄN</t>
        </is>
      </c>
      <c r="G59" t="inlineStr">
        <is>
          <t>ÖSTERÅKER</t>
        </is>
      </c>
      <c r="H59" t="inlineStr">
        <is>
          <t>Övriga Aktiebolag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46224</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14776-2024</t>
        </is>
      </c>
      <c r="B61" t="inlineStr">
        <is>
          <t>avverkningsanmälan</t>
        </is>
      </c>
      <c r="C61" t="inlineStr">
        <is>
          <t>Föryngringsavverkning</t>
        </is>
      </c>
      <c r="D61" s="1" t="n">
        <v>45397</v>
      </c>
      <c r="E61" s="1" t="n">
        <v>46224</v>
      </c>
      <c r="F61" t="inlineStr">
        <is>
          <t>STOCKHOLMS LÄN</t>
        </is>
      </c>
      <c r="G61" t="inlineStr">
        <is>
          <t>ÖSTERÅKER</t>
        </is>
      </c>
      <c r="I61" t="n">
        <v>13.6</v>
      </c>
      <c r="J61" t="n">
        <v>0</v>
      </c>
      <c r="K61" t="n">
        <v>0</v>
      </c>
      <c r="L61" t="n">
        <v>0</v>
      </c>
      <c r="M61" t="n">
        <v>0</v>
      </c>
      <c r="N61" t="n">
        <v>0</v>
      </c>
      <c r="O61" t="n">
        <v>0</v>
      </c>
      <c r="P61" t="n">
        <v>0</v>
      </c>
      <c r="Q61" t="n">
        <v>0</v>
      </c>
      <c r="R61" t="n">
        <v>0</v>
      </c>
      <c r="S61" t="n">
        <v>0</v>
      </c>
      <c r="T61" t="n">
        <v>0</v>
      </c>
      <c r="U61" t="n">
        <v>0</v>
      </c>
      <c r="V61" s="2" t="inlineStr"/>
    </row>
    <row r="62" ht="15" customHeight="1">
      <c r="A62" t="inlineStr">
        <is>
          <t>A 5038-2026</t>
        </is>
      </c>
      <c r="B62" t="inlineStr">
        <is>
          <t>avverkningsanmälan</t>
        </is>
      </c>
      <c r="C62" t="inlineStr">
        <is>
          <t>Föryngringsavverkning</t>
        </is>
      </c>
      <c r="D62" s="1" t="n">
        <v>46049</v>
      </c>
      <c r="E62" s="1" t="n">
        <v>46224</v>
      </c>
      <c r="F62" t="inlineStr">
        <is>
          <t>STOCKHOLMS LÄN</t>
        </is>
      </c>
      <c r="G62" t="inlineStr">
        <is>
          <t>ÖSTERÅKER</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39394-2023</t>
        </is>
      </c>
      <c r="B63" t="inlineStr">
        <is>
          <t>avverkningsanmälan</t>
        </is>
      </c>
      <c r="C63" t="inlineStr">
        <is>
          <t>Föryngringsavverkning</t>
        </is>
      </c>
      <c r="D63" s="1" t="n">
        <v>45166</v>
      </c>
      <c r="E63" s="1" t="n">
        <v>46224</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46224</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46224</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12345-2026</t>
        </is>
      </c>
      <c r="B66" t="inlineStr">
        <is>
          <t>avverkningsanmälan</t>
        </is>
      </c>
      <c r="C66" t="inlineStr">
        <is>
          <t>Föryngringsavverkning</t>
        </is>
      </c>
      <c r="D66" s="1" t="n">
        <v>46087</v>
      </c>
      <c r="E66" s="1" t="n">
        <v>46224</v>
      </c>
      <c r="F66" t="inlineStr">
        <is>
          <t>STOCKHOLMS LÄN</t>
        </is>
      </c>
      <c r="G66" t="inlineStr">
        <is>
          <t>ÖSTERÅKER</t>
        </is>
      </c>
      <c r="H66" t="inlineStr">
        <is>
          <t>Övriga Aktiebolag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46224</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56909-2024</t>
        </is>
      </c>
      <c r="B68" t="inlineStr">
        <is>
          <t>avverkningsanmälan</t>
        </is>
      </c>
      <c r="C68" t="inlineStr">
        <is>
          <t>Avverkning för att bevara och utveckla /försöksver</t>
        </is>
      </c>
      <c r="D68" s="1" t="n">
        <v>45628</v>
      </c>
      <c r="E68" s="1" t="n">
        <v>46224</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34713-2025</t>
        </is>
      </c>
      <c r="B69" t="inlineStr">
        <is>
          <t>avverkningsanmälan</t>
        </is>
      </c>
      <c r="C69" t="inlineStr">
        <is>
          <t>Föryngringsavverkning</t>
        </is>
      </c>
      <c r="D69" s="1" t="n">
        <v>45848</v>
      </c>
      <c r="E69" s="1" t="n">
        <v>46224</v>
      </c>
      <c r="F69" t="inlineStr">
        <is>
          <t>STOCKHOLMS LÄN</t>
        </is>
      </c>
      <c r="G69" t="inlineStr">
        <is>
          <t>ÖSTERÅKER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60482-2025</t>
        </is>
      </c>
      <c r="B70" t="inlineStr">
        <is>
          <t>avverkningsanmälan</t>
        </is>
      </c>
      <c r="C70" t="inlineStr">
        <is>
          <t>Föryngringsavverkning</t>
        </is>
      </c>
      <c r="D70" s="1" t="n">
        <v>45995</v>
      </c>
      <c r="E70" s="1" t="n">
        <v>46224</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46224</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845-2024</t>
        </is>
      </c>
      <c r="B72" t="inlineStr">
        <is>
          <t>avverkningsanmälan</t>
        </is>
      </c>
      <c r="C72" t="inlineStr">
        <is>
          <t>Föryngringsavverkning</t>
        </is>
      </c>
      <c r="D72" s="1" t="n">
        <v>45300</v>
      </c>
      <c r="E72" s="1" t="n">
        <v>46224</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t="n">
        <v>0</v>
      </c>
      <c r="V72" s="2" t="inlineStr"/>
    </row>
    <row r="73" ht="15" customHeight="1">
      <c r="A73" t="inlineStr">
        <is>
          <t>A 18711-2023</t>
        </is>
      </c>
      <c r="B73" t="inlineStr">
        <is>
          <t>avverkningsanmälan</t>
        </is>
      </c>
      <c r="C73" t="inlineStr">
        <is>
          <t>Föryngringsavverkning</t>
        </is>
      </c>
      <c r="D73" s="1" t="n">
        <v>45043</v>
      </c>
      <c r="E73" s="1" t="n">
        <v>46224</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46224</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10185-2025</t>
        </is>
      </c>
      <c r="B75" t="inlineStr">
        <is>
          <t>avverkningsanmälan</t>
        </is>
      </c>
      <c r="C75" t="inlineStr">
        <is>
          <t>Föryngringsavverkning</t>
        </is>
      </c>
      <c r="D75" s="1" t="n">
        <v>45719</v>
      </c>
      <c r="E75" s="1" t="n">
        <v>46224</v>
      </c>
      <c r="F75" t="inlineStr">
        <is>
          <t>STOCKHOLMS LÄN</t>
        </is>
      </c>
      <c r="G75" t="inlineStr">
        <is>
          <t>ÖSTERÅKER</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23144-2024</t>
        </is>
      </c>
      <c r="B76" t="inlineStr">
        <is>
          <t>avverkningsanmälan</t>
        </is>
      </c>
      <c r="C76" t="inlineStr">
        <is>
          <t>Föryngringsavverkning</t>
        </is>
      </c>
      <c r="D76" s="1" t="n">
        <v>45450</v>
      </c>
      <c r="E76" s="1" t="n">
        <v>46224</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26249-2026</t>
        </is>
      </c>
      <c r="B77" t="inlineStr">
        <is>
          <t>avverkningsanmälan</t>
        </is>
      </c>
      <c r="C77" t="inlineStr">
        <is>
          <t>Avverkning för annat ändamål</t>
        </is>
      </c>
      <c r="D77" s="1" t="n">
        <v>46182</v>
      </c>
      <c r="E77" s="1" t="n">
        <v>46224</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17263-2022</t>
        </is>
      </c>
      <c r="B78" t="inlineStr">
        <is>
          <t>avverkningsanmälan</t>
        </is>
      </c>
      <c r="C78" t="inlineStr">
        <is>
          <t>Föryngringsavverkning</t>
        </is>
      </c>
      <c r="D78" s="1" t="n">
        <v>44678</v>
      </c>
      <c r="E78" s="1" t="n">
        <v>46224</v>
      </c>
      <c r="F78" t="inlineStr">
        <is>
          <t>STOCKHOLMS LÄN</t>
        </is>
      </c>
      <c r="G78" t="inlineStr">
        <is>
          <t>ÖSTERÅKER</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46224</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28146-2024</t>
        </is>
      </c>
      <c r="B80" t="inlineStr">
        <is>
          <t>avverkningsanmälan</t>
        </is>
      </c>
      <c r="C80" t="inlineStr">
        <is>
          <t>Föryngringsavverkning</t>
        </is>
      </c>
      <c r="D80" s="1" t="n">
        <v>45476</v>
      </c>
      <c r="E80" s="1" t="n">
        <v>46224</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57048-2024</t>
        </is>
      </c>
      <c r="B81" t="inlineStr">
        <is>
          <t>avverkningsanmälan</t>
        </is>
      </c>
      <c r="C81" t="inlineStr">
        <is>
          <t>Föryngringsavverkning</t>
        </is>
      </c>
      <c r="D81" s="1" t="n">
        <v>45629</v>
      </c>
      <c r="E81" s="1" t="n">
        <v>46224</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34038-2025</t>
        </is>
      </c>
      <c r="B82" t="inlineStr">
        <is>
          <t>avverkningsanmälan</t>
        </is>
      </c>
      <c r="C82" t="inlineStr">
        <is>
          <t>Föryngringsavverkning</t>
        </is>
      </c>
      <c r="D82" s="1" t="n">
        <v>45842</v>
      </c>
      <c r="E82" s="1" t="n">
        <v>46224</v>
      </c>
      <c r="F82" t="inlineStr">
        <is>
          <t>STOCKHOLMS LÄN</t>
        </is>
      </c>
      <c r="G82" t="inlineStr">
        <is>
          <t>ÖSTERÅKER</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5286-2025</t>
        </is>
      </c>
      <c r="B83" t="inlineStr">
        <is>
          <t>avverkningsanmälan</t>
        </is>
      </c>
      <c r="C83" t="inlineStr">
        <is>
          <t>Föryngringsavverkning</t>
        </is>
      </c>
      <c r="D83" s="1" t="n">
        <v>45692</v>
      </c>
      <c r="E83" s="1" t="n">
        <v>46224</v>
      </c>
      <c r="F83" t="inlineStr">
        <is>
          <t>STOCKHOLMS LÄN</t>
        </is>
      </c>
      <c r="G83" t="inlineStr">
        <is>
          <t>ÖSTERÅKER</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3817-2023</t>
        </is>
      </c>
      <c r="B84" t="inlineStr">
        <is>
          <t>avverkningsanmälan</t>
        </is>
      </c>
      <c r="C84" t="inlineStr">
        <is>
          <t>Föryngringsavverkning</t>
        </is>
      </c>
      <c r="D84" s="1" t="n">
        <v>44951</v>
      </c>
      <c r="E84" s="1" t="n">
        <v>46224</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544-2023</t>
        </is>
      </c>
      <c r="B85" t="inlineStr">
        <is>
          <t>avverkningsanmälan</t>
        </is>
      </c>
      <c r="C85" t="inlineStr">
        <is>
          <t>Avverkning för annat ändamål</t>
        </is>
      </c>
      <c r="D85" s="1" t="n">
        <v>44924</v>
      </c>
      <c r="E85" s="1" t="n">
        <v>46224</v>
      </c>
      <c r="F85" t="inlineStr">
        <is>
          <t>STOCKHOLMS LÄN</t>
        </is>
      </c>
      <c r="G85" t="inlineStr">
        <is>
          <t>ÖSTERÅKER</t>
        </is>
      </c>
      <c r="H85" t="inlineStr">
        <is>
          <t>Övriga Aktiebolag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3326-2022</t>
        </is>
      </c>
      <c r="B86" t="inlineStr">
        <is>
          <t>avverkningsanmälan</t>
        </is>
      </c>
      <c r="C86" t="inlineStr">
        <is>
          <t>Föryngringsavverkning</t>
        </is>
      </c>
      <c r="D86" s="1" t="n">
        <v>44583</v>
      </c>
      <c r="E86" s="1" t="n">
        <v>46224</v>
      </c>
      <c r="F86" t="inlineStr">
        <is>
          <t>STOCKHOLMS LÄN</t>
        </is>
      </c>
      <c r="G86" t="inlineStr">
        <is>
          <t>ÖSTERÅKER</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13366-2024</t>
        </is>
      </c>
      <c r="B87" t="inlineStr">
        <is>
          <t>avverkningsanmälan</t>
        </is>
      </c>
      <c r="C87" t="inlineStr">
        <is>
          <t>Föryngringsavverkning</t>
        </is>
      </c>
      <c r="D87" s="1" t="n">
        <v>45387</v>
      </c>
      <c r="E87" s="1" t="n">
        <v>46224</v>
      </c>
      <c r="F87" t="inlineStr">
        <is>
          <t>STOCKHOLMS LÄN</t>
        </is>
      </c>
      <c r="G87" t="inlineStr">
        <is>
          <t>ÖSTERÅKER</t>
        </is>
      </c>
      <c r="I87" t="n">
        <v>13.7</v>
      </c>
      <c r="J87" t="n">
        <v>0</v>
      </c>
      <c r="K87" t="n">
        <v>0</v>
      </c>
      <c r="L87" t="n">
        <v>0</v>
      </c>
      <c r="M87" t="n">
        <v>0</v>
      </c>
      <c r="N87" t="n">
        <v>0</v>
      </c>
      <c r="O87" t="n">
        <v>0</v>
      </c>
      <c r="P87" t="n">
        <v>0</v>
      </c>
      <c r="Q87" t="n">
        <v>0</v>
      </c>
      <c r="R87" t="n">
        <v>0</v>
      </c>
      <c r="S87" t="n">
        <v>0</v>
      </c>
      <c r="T87" t="n">
        <v>0</v>
      </c>
      <c r="U87" t="n">
        <v>0</v>
      </c>
      <c r="V87" s="2" t="inlineStr"/>
    </row>
    <row r="88" ht="15" customHeight="1">
      <c r="A88" t="inlineStr">
        <is>
          <t>A 29443-2026</t>
        </is>
      </c>
      <c r="B88" t="inlineStr">
        <is>
          <t>avverkningsanmälan</t>
        </is>
      </c>
      <c r="C88" t="inlineStr">
        <is>
          <t>Föryngringsavverkning</t>
        </is>
      </c>
      <c r="D88" s="1" t="n">
        <v>46203</v>
      </c>
      <c r="E88" s="1" t="n">
        <v>46224</v>
      </c>
      <c r="F88" t="inlineStr">
        <is>
          <t>STOCKHOLMS LÄN</t>
        </is>
      </c>
      <c r="G88" t="inlineStr">
        <is>
          <t>ÖSTERÅKER</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57055-2024</t>
        </is>
      </c>
      <c r="B89" t="inlineStr">
        <is>
          <t>avverkningsanmälan</t>
        </is>
      </c>
      <c r="C89" t="inlineStr">
        <is>
          <t>Föryngringsavverkning</t>
        </is>
      </c>
      <c r="D89" s="1" t="n">
        <v>45629</v>
      </c>
      <c r="E89" s="1" t="n">
        <v>46224</v>
      </c>
      <c r="F89" t="inlineStr">
        <is>
          <t>STOCKHOLMS LÄN</t>
        </is>
      </c>
      <c r="G89" t="inlineStr">
        <is>
          <t>ÖSTERÅKER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59379-2022</t>
        </is>
      </c>
      <c r="B90" t="inlineStr">
        <is>
          <t>avverkningsanmälan</t>
        </is>
      </c>
      <c r="C90" t="inlineStr">
        <is>
          <t>Föryngringsavverkning</t>
        </is>
      </c>
      <c r="D90" s="1" t="n">
        <v>44905</v>
      </c>
      <c r="E90" s="1" t="n">
        <v>46224</v>
      </c>
      <c r="F90" t="inlineStr">
        <is>
          <t>STOCKHOLMS LÄN</t>
        </is>
      </c>
      <c r="G90" t="inlineStr">
        <is>
          <t>ÖSTERÅKER</t>
        </is>
      </c>
      <c r="H90" t="inlineStr">
        <is>
          <t>Kommuner</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46688-2022</t>
        </is>
      </c>
      <c r="B91" t="inlineStr">
        <is>
          <t>avverkningsanmälan</t>
        </is>
      </c>
      <c r="C91" t="inlineStr">
        <is>
          <t>Föryngringsavverkning</t>
        </is>
      </c>
      <c r="D91" s="1" t="n">
        <v>44851</v>
      </c>
      <c r="E91" s="1" t="n">
        <v>46224</v>
      </c>
      <c r="F91" t="inlineStr">
        <is>
          <t>STOCKHOLMS LÄN</t>
        </is>
      </c>
      <c r="G91" t="inlineStr">
        <is>
          <t>ÖSTERÅKER</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16738-2022</t>
        </is>
      </c>
      <c r="B92" t="inlineStr">
        <is>
          <t>avverkningsanmälan</t>
        </is>
      </c>
      <c r="C92" t="inlineStr">
        <is>
          <t>Avverkning för annat ändamål</t>
        </is>
      </c>
      <c r="D92" s="1" t="n">
        <v>44673</v>
      </c>
      <c r="E92" s="1" t="n">
        <v>46224</v>
      </c>
      <c r="F92" t="inlineStr">
        <is>
          <t>STOCKHOLMS LÄN</t>
        </is>
      </c>
      <c r="G92" t="inlineStr">
        <is>
          <t>ÖSTERÅKER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23198-2026</t>
        </is>
      </c>
      <c r="B93" t="inlineStr">
        <is>
          <t>avverkningsanmälan</t>
        </is>
      </c>
      <c r="C93" t="inlineStr">
        <is>
          <t>Avverkning för annat ändamål</t>
        </is>
      </c>
      <c r="D93" s="1" t="n">
        <v>46161</v>
      </c>
      <c r="E93" s="1" t="n">
        <v>46224</v>
      </c>
      <c r="F93" t="inlineStr">
        <is>
          <t>STOCKHOLMS LÄN</t>
        </is>
      </c>
      <c r="G93" t="inlineStr">
        <is>
          <t>ÖSTERÅKER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9865-2025</t>
        </is>
      </c>
      <c r="B94" t="inlineStr">
        <is>
          <t>avverkningsanmälan</t>
        </is>
      </c>
      <c r="C94" t="inlineStr">
        <is>
          <t>Föryngringsavverkning</t>
        </is>
      </c>
      <c r="D94" s="1" t="n">
        <v>45716</v>
      </c>
      <c r="E94" s="1" t="n">
        <v>46224</v>
      </c>
      <c r="F94" t="inlineStr">
        <is>
          <t>STOCKHOLMS LÄN</t>
        </is>
      </c>
      <c r="G94" t="inlineStr">
        <is>
          <t>ÖSTERÅKER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17196-2022</t>
        </is>
      </c>
      <c r="B95" t="inlineStr">
        <is>
          <t>avverkningsanmälan</t>
        </is>
      </c>
      <c r="C95" t="inlineStr">
        <is>
          <t>Föryngringsavverkning</t>
        </is>
      </c>
      <c r="D95" s="1" t="n">
        <v>44677</v>
      </c>
      <c r="E95" s="1" t="n">
        <v>46224</v>
      </c>
      <c r="F95" t="inlineStr">
        <is>
          <t>STOCKHOLMS LÄN</t>
        </is>
      </c>
      <c r="G95" t="inlineStr">
        <is>
          <t>ÖSTERÅKER</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30599-2026</t>
        </is>
      </c>
      <c r="B96" t="inlineStr">
        <is>
          <t>avverkningsanmälan</t>
        </is>
      </c>
      <c r="C96" t="inlineStr">
        <is>
          <t>Föryngringsavverkning</t>
        </is>
      </c>
      <c r="D96" s="1" t="n">
        <v>46210</v>
      </c>
      <c r="E96" s="1" t="n">
        <v>46224</v>
      </c>
      <c r="F96" t="inlineStr">
        <is>
          <t>STOCKHOLMS LÄN</t>
        </is>
      </c>
      <c r="G96" t="inlineStr">
        <is>
          <t>ÖSTERÅKER</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3917-2023</t>
        </is>
      </c>
      <c r="B97" t="inlineStr">
        <is>
          <t>avverkningsanmälan</t>
        </is>
      </c>
      <c r="C97" t="inlineStr">
        <is>
          <t>Föryngringsavverkning</t>
        </is>
      </c>
      <c r="D97" s="1" t="n">
        <v>44952</v>
      </c>
      <c r="E97" s="1" t="n">
        <v>46224</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31146-2026</t>
        </is>
      </c>
      <c r="B98" t="inlineStr">
        <is>
          <t>avverkningsanmälan</t>
        </is>
      </c>
      <c r="C98" t="inlineStr">
        <is>
          <t>Föryngringsavverkning</t>
        </is>
      </c>
      <c r="D98" s="1" t="n">
        <v>46216</v>
      </c>
      <c r="E98" s="1" t="n">
        <v>46224</v>
      </c>
      <c r="F98" t="inlineStr">
        <is>
          <t>STOCKHOLMS LÄN</t>
        </is>
      </c>
      <c r="G98" t="inlineStr">
        <is>
          <t>ÖSTERÅKER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31156-2026</t>
        </is>
      </c>
      <c r="B99" t="inlineStr">
        <is>
          <t>avverkningsanmälan</t>
        </is>
      </c>
      <c r="C99" t="inlineStr">
        <is>
          <t>Föryngringsavverkning</t>
        </is>
      </c>
      <c r="D99" s="1" t="n">
        <v>46216</v>
      </c>
      <c r="E99" s="1" t="n">
        <v>46224</v>
      </c>
      <c r="F99" t="inlineStr">
        <is>
          <t>STOCKHOLMS LÄN</t>
        </is>
      </c>
      <c r="G99" t="inlineStr">
        <is>
          <t>ÖSTERÅKER</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62108-2022</t>
        </is>
      </c>
      <c r="B100" t="inlineStr">
        <is>
          <t>avverkningsanmälan</t>
        </is>
      </c>
      <c r="C100" t="inlineStr">
        <is>
          <t>Föryngringsavverkning</t>
        </is>
      </c>
      <c r="D100" s="1" t="n">
        <v>44920</v>
      </c>
      <c r="E100" s="1" t="n">
        <v>46224</v>
      </c>
      <c r="F100" t="inlineStr">
        <is>
          <t>STOCKHOLMS LÄN</t>
        </is>
      </c>
      <c r="G100" t="inlineStr">
        <is>
          <t>ÖSTERÅKER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31149-2026</t>
        </is>
      </c>
      <c r="B101" t="inlineStr">
        <is>
          <t>avverkningsanmälan</t>
        </is>
      </c>
      <c r="C101" t="inlineStr">
        <is>
          <t>Föryngringsavverkning</t>
        </is>
      </c>
      <c r="D101" s="1" t="n">
        <v>46216</v>
      </c>
      <c r="E101" s="1" t="n">
        <v>46224</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31154-2026</t>
        </is>
      </c>
      <c r="B102" t="inlineStr">
        <is>
          <t>avverkningsanmälan</t>
        </is>
      </c>
      <c r="C102" t="inlineStr">
        <is>
          <t>Föryngringsavverkning</t>
        </is>
      </c>
      <c r="D102" s="1" t="n">
        <v>46216</v>
      </c>
      <c r="E102" s="1" t="n">
        <v>46224</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46224</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46224</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46224</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2026-07-21T01:35:53Z</dcterms:created>
  <dcterms:modified xmlns:dcterms="http://purl.org/dc/terms/" xmlns:xsi="http://www.w3.org/2001/XMLSchema-instance" xsi:type="dcterms:W3CDTF">2026-07-21T01:35:53Z</dcterms:modified>
</cp:coreProperties>
</file>