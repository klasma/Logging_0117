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46317</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46317</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46317</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46317</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46317</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46317</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46317</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46317</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31523-2022</t>
        </is>
      </c>
      <c r="B10" t="inlineStr">
        <is>
          <t>avverkningsanmälan</t>
        </is>
      </c>
      <c r="C10" t="inlineStr">
        <is>
          <t>Föryngringsavverkning</t>
        </is>
      </c>
      <c r="D10" s="1" t="n">
        <v>44775</v>
      </c>
      <c r="E10" s="1" t="n">
        <v>46317</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46317</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46317</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62578-2025</t>
        </is>
      </c>
      <c r="B13" t="inlineStr">
        <is>
          <t>avverkningsanmälan</t>
        </is>
      </c>
      <c r="C13" t="inlineStr">
        <is>
          <t>Föryngringsavverkning</t>
        </is>
      </c>
      <c r="D13" s="1" t="n">
        <v>46007</v>
      </c>
      <c r="E13" s="1" t="n">
        <v>46317</v>
      </c>
      <c r="F13" t="inlineStr">
        <is>
          <t>STOCKHOLMS LÄN</t>
        </is>
      </c>
      <c r="G13" t="inlineStr">
        <is>
          <t>ÖSTERÅKER</t>
        </is>
      </c>
      <c r="I13" t="n">
        <v>3.4</v>
      </c>
      <c r="J13" t="n">
        <v>0</v>
      </c>
      <c r="K13" t="n">
        <v>3</v>
      </c>
      <c r="L13" t="n">
        <v>0</v>
      </c>
      <c r="M13" t="n">
        <v>0</v>
      </c>
      <c r="N13" t="n">
        <v>0</v>
      </c>
      <c r="O13" t="n">
        <v>0</v>
      </c>
      <c r="P13" t="n">
        <v>0</v>
      </c>
      <c r="Q13" t="n">
        <v>0</v>
      </c>
      <c r="R13" t="n">
        <v>0</v>
      </c>
      <c r="S13" t="n">
        <v>3</v>
      </c>
      <c r="T13" t="n">
        <v>4</v>
      </c>
      <c r="U13" t="n">
        <v>0</v>
      </c>
      <c r="V13" s="2" t="inlineStr">
        <is>
          <t>Fällmossa
Mindre märgborre
Vedticka</t>
        </is>
      </c>
      <c r="W13">
        <f>HYPERLINK("https://klasma.github.io/Logging_0117/artfynd/A 62578-2025 artfynd.xlsx", "A 62578-2025")</f>
        <v/>
      </c>
      <c r="X13">
        <f>HYPERLINK("https://klasma.github.io/Logging_0117/kartor/A 62578-2025 karta.png", "A 62578-2025")</f>
        <v/>
      </c>
      <c r="Y13">
        <f>HYPERLINK("https://klasma.github.io/Logging_0117/kartor_geotiff/A 62578-2025 georefererad karta.tif", "A 62578-2025")</f>
        <v/>
      </c>
      <c r="AA13">
        <f>HYPERLINK("https://klasma.github.io/Logging_0117/klagomål/A 62578-2025 FSC-klagomål.docx", "A 62578-2025")</f>
        <v/>
      </c>
      <c r="AB13">
        <f>HYPERLINK("https://klasma.github.io/Logging_0117/klagomålsmail/A 62578-2025 FSC-klagomål mail.docx", "A 62578-2025")</f>
        <v/>
      </c>
      <c r="AC13">
        <f>HYPERLINK("https://klasma.github.io/Logging_0117/tillsyn/A 62578-2025 tillsynsbegäran.docx", "A 62578-2025")</f>
        <v/>
      </c>
      <c r="AD13">
        <f>HYPERLINK("https://klasma.github.io/Logging_0117/tillsynsmail/A 62578-2025 tillsynsbegäran mail.docx", "A 62578-2025")</f>
        <v/>
      </c>
    </row>
    <row r="14" ht="15" customHeight="1">
      <c r="A14" t="inlineStr">
        <is>
          <t>A 27948-2025</t>
        </is>
      </c>
      <c r="B14" t="inlineStr">
        <is>
          <t>avverkningsanmälan</t>
        </is>
      </c>
      <c r="C14" t="inlineStr">
        <is>
          <t>Föryngringsavverkning</t>
        </is>
      </c>
      <c r="D14" s="1" t="n">
        <v>45817</v>
      </c>
      <c r="E14" s="1" t="n">
        <v>46317</v>
      </c>
      <c r="F14" t="inlineStr">
        <is>
          <t>STOCKHOLMS LÄN</t>
        </is>
      </c>
      <c r="G14" t="inlineStr">
        <is>
          <t>ÖSTERÅKER</t>
        </is>
      </c>
      <c r="I14" t="n">
        <v>5.6</v>
      </c>
      <c r="J14" t="n">
        <v>3</v>
      </c>
      <c r="K14" t="n">
        <v>0</v>
      </c>
      <c r="L14" t="n">
        <v>1</v>
      </c>
      <c r="M14" t="n">
        <v>1</v>
      </c>
      <c r="N14" t="n">
        <v>0</v>
      </c>
      <c r="O14" t="n">
        <v>0</v>
      </c>
      <c r="P14" t="n">
        <v>0</v>
      </c>
      <c r="Q14" t="n">
        <v>2</v>
      </c>
      <c r="R14" t="n">
        <v>1</v>
      </c>
      <c r="S14" t="n">
        <v>3</v>
      </c>
      <c r="T14" t="n">
        <v>3</v>
      </c>
      <c r="U14" t="n">
        <v>0</v>
      </c>
      <c r="V14" s="2" t="inlineStr">
        <is>
          <t>Tornseglare
Ladusvala
Törnskata</t>
        </is>
      </c>
      <c r="W14">
        <f>HYPERLINK("https://klasma.github.io/Logging_0117/artfynd/A 27948-2025 artfynd.xlsx", "A 27948-2025")</f>
        <v/>
      </c>
      <c r="X14">
        <f>HYPERLINK("https://klasma.github.io/Logging_0117/kartor/A 27948-2025 karta.png", "A 27948-2025")</f>
        <v/>
      </c>
      <c r="Y14">
        <f>HYPERLINK("https://klasma.github.io/Logging_0117/kartor_geotiff/A 27948-2025 georefererad karta.tif", "A 27948-2025")</f>
        <v/>
      </c>
      <c r="AA14">
        <f>HYPERLINK("https://klasma.github.io/Logging_0117/klagomål/A 27948-2025 FSC-klagomål.docx", "A 27948-2025")</f>
        <v/>
      </c>
      <c r="AB14">
        <f>HYPERLINK("https://klasma.github.io/Logging_0117/klagomålsmail/A 27948-2025 FSC-klagomål mail.docx", "A 27948-2025")</f>
        <v/>
      </c>
      <c r="AC14">
        <f>HYPERLINK("https://klasma.github.io/Logging_0117/tillsyn/A 27948-2025 tillsynsbegäran.docx", "A 27948-2025")</f>
        <v/>
      </c>
      <c r="AD14">
        <f>HYPERLINK("https://klasma.github.io/Logging_0117/tillsynsmail/A 27948-2025 tillsynsbegäran mail.docx", "A 27948-2025")</f>
        <v/>
      </c>
      <c r="AE14">
        <f>HYPERLINK("https://klasma.github.io/Logging_0117/fåglar/A 27948-2025 prioriterade fågelarter.docx", "A 27948-2025")</f>
        <v/>
      </c>
    </row>
    <row r="15" ht="15" customHeight="1">
      <c r="A15" t="inlineStr">
        <is>
          <t>A 12620-2022</t>
        </is>
      </c>
      <c r="B15" t="inlineStr">
        <is>
          <t>avverkningsanmälan</t>
        </is>
      </c>
      <c r="C15" t="inlineStr">
        <is>
          <t>Föryngringsavverkning</t>
        </is>
      </c>
      <c r="D15" s="1" t="n">
        <v>44638</v>
      </c>
      <c r="E15" s="1" t="n">
        <v>46317</v>
      </c>
      <c r="F15" t="inlineStr">
        <is>
          <t>STOCKHOLMS LÄN</t>
        </is>
      </c>
      <c r="G15" t="inlineStr">
        <is>
          <t>ÖSTERÅKER</t>
        </is>
      </c>
      <c r="I15" t="n">
        <v>9.4</v>
      </c>
      <c r="J15" t="n">
        <v>1</v>
      </c>
      <c r="K15" t="n">
        <v>1</v>
      </c>
      <c r="L15" t="n">
        <v>0</v>
      </c>
      <c r="M15" t="n">
        <v>1</v>
      </c>
      <c r="N15" t="n">
        <v>0</v>
      </c>
      <c r="O15" t="n">
        <v>0</v>
      </c>
      <c r="P15" t="n">
        <v>0</v>
      </c>
      <c r="Q15" t="n">
        <v>1</v>
      </c>
      <c r="R15" t="n">
        <v>1</v>
      </c>
      <c r="S15" t="n">
        <v>3</v>
      </c>
      <c r="T15" t="n">
        <v>3</v>
      </c>
      <c r="U15" t="n">
        <v>3</v>
      </c>
      <c r="V15" s="2" t="inlineStr">
        <is>
          <t>Taggfingersvamp
Fällmossa
Blåsippa</t>
        </is>
      </c>
      <c r="W15">
        <f>HYPERLINK("https://klasma.github.io/Logging_0117/artfynd/A 12620-2022 artfynd.xlsx", "A 12620-2022")</f>
        <v/>
      </c>
      <c r="X15">
        <f>HYPERLINK("https://klasma.github.io/Logging_0117/kartor/A 12620-2022 karta.png", "A 12620-2022")</f>
        <v/>
      </c>
      <c r="Y15">
        <f>HYPERLINK("https://klasma.github.io/Logging_0117/kartor_geotiff/A 12620-2022 georefererad karta.tif", "A 12620-2022")</f>
        <v/>
      </c>
      <c r="AA15">
        <f>HYPERLINK("https://klasma.github.io/Logging_0117/klagomål/A 12620-2022 FSC-klagomål.docx", "A 12620-2022")</f>
        <v/>
      </c>
      <c r="AB15">
        <f>HYPERLINK("https://klasma.github.io/Logging_0117/klagomålsmail/A 12620-2022 FSC-klagomål mail.docx", "A 12620-2022")</f>
        <v/>
      </c>
      <c r="AC15">
        <f>HYPERLINK("https://klasma.github.io/Logging_0117/tillsyn/A 12620-2022 tillsynsbegäran.docx", "A 12620-2022")</f>
        <v/>
      </c>
      <c r="AD15">
        <f>HYPERLINK("https://klasma.github.io/Logging_0117/tillsynsmail/A 12620-2022 tillsynsbegäran mail.docx", "A 12620-2022")</f>
        <v/>
      </c>
    </row>
    <row r="16" ht="15" customHeight="1">
      <c r="A16" t="inlineStr">
        <is>
          <t>A 61363-2022</t>
        </is>
      </c>
      <c r="B16" t="inlineStr">
        <is>
          <t>avverkningsanmälan</t>
        </is>
      </c>
      <c r="C16" t="inlineStr">
        <is>
          <t>Föryngringsavverkning</t>
        </is>
      </c>
      <c r="D16" s="1" t="n">
        <v>44915</v>
      </c>
      <c r="E16" s="1" t="n">
        <v>46317</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67244-2021</t>
        </is>
      </c>
      <c r="B17" t="inlineStr">
        <is>
          <t>avverkningsanmälan</t>
        </is>
      </c>
      <c r="C17" t="inlineStr">
        <is>
          <t>Avverkning för annat ändamål</t>
        </is>
      </c>
      <c r="D17" s="1" t="n">
        <v>44523</v>
      </c>
      <c r="E17" s="1" t="n">
        <v>46317</v>
      </c>
      <c r="F17" t="inlineStr">
        <is>
          <t>STOCKHOLMS LÄN</t>
        </is>
      </c>
      <c r="G17" t="inlineStr">
        <is>
          <t>ÖSTERÅKER</t>
        </is>
      </c>
      <c r="H17" t="inlineStr">
        <is>
          <t>Kommuner</t>
        </is>
      </c>
      <c r="I17" t="n">
        <v>5.3</v>
      </c>
      <c r="J17" t="n">
        <v>0</v>
      </c>
      <c r="K17" t="n">
        <v>0</v>
      </c>
      <c r="L17" t="n">
        <v>0</v>
      </c>
      <c r="M17" t="n">
        <v>1</v>
      </c>
      <c r="N17" t="n">
        <v>0</v>
      </c>
      <c r="O17" t="n">
        <v>0</v>
      </c>
      <c r="P17" t="n">
        <v>0</v>
      </c>
      <c r="Q17" t="n">
        <v>2</v>
      </c>
      <c r="R17" t="n">
        <v>1</v>
      </c>
      <c r="S17" t="n">
        <v>2</v>
      </c>
      <c r="T17" t="n">
        <v>2</v>
      </c>
      <c r="U17" t="n">
        <v>2</v>
      </c>
      <c r="V17" s="2" t="inlineStr">
        <is>
          <t>Igelkott
Backdvärgmal</t>
        </is>
      </c>
      <c r="W17">
        <f>HYPERLINK("https://klasma.github.io/Logging_0117/artfynd/A 67244-2021 artfynd.xlsx", "A 67244-2021")</f>
        <v/>
      </c>
      <c r="X17">
        <f>HYPERLINK("https://klasma.github.io/Logging_0117/kartor/A 67244-2021 karta.png", "A 67244-2021")</f>
        <v/>
      </c>
      <c r="Y17">
        <f>HYPERLINK("https://klasma.github.io/Logging_0117/kartor_geotiff/A 67244-2021 georefererad karta.tif", "A 67244-2021")</f>
        <v/>
      </c>
      <c r="AA17">
        <f>HYPERLINK("https://klasma.github.io/Logging_0117/klagomål/A 67244-2021 FSC-klagomål.docx", "A 67244-2021")</f>
        <v/>
      </c>
      <c r="AB17">
        <f>HYPERLINK("https://klasma.github.io/Logging_0117/klagomålsmail/A 67244-2021 FSC-klagomål mail.docx", "A 67244-2021")</f>
        <v/>
      </c>
      <c r="AC17">
        <f>HYPERLINK("https://klasma.github.io/Logging_0117/tillsyn/A 67244-2021 tillsynsbegäran.docx", "A 67244-2021")</f>
        <v/>
      </c>
      <c r="AD17">
        <f>HYPERLINK("https://klasma.github.io/Logging_0117/tillsynsmail/A 67244-2021 tillsynsbegäran mail.docx", "A 67244-2021")</f>
        <v/>
      </c>
    </row>
    <row r="18" ht="15" customHeight="1">
      <c r="A18" t="inlineStr">
        <is>
          <t>A 61275-2021</t>
        </is>
      </c>
      <c r="B18" t="inlineStr">
        <is>
          <t>avverkningsanmälan</t>
        </is>
      </c>
      <c r="C18" t="inlineStr">
        <is>
          <t>Föryngringsavverkning</t>
        </is>
      </c>
      <c r="D18" s="1" t="n">
        <v>44498</v>
      </c>
      <c r="E18" s="1" t="n">
        <v>46317</v>
      </c>
      <c r="F18" t="inlineStr">
        <is>
          <t>STOCKHOLMS LÄN</t>
        </is>
      </c>
      <c r="G18" t="inlineStr">
        <is>
          <t>ÖSTERÅKER</t>
        </is>
      </c>
      <c r="I18" t="n">
        <v>2.1</v>
      </c>
      <c r="J18" t="n">
        <v>2</v>
      </c>
      <c r="K18" t="n">
        <v>0</v>
      </c>
      <c r="L18" t="n">
        <v>0</v>
      </c>
      <c r="M18" t="n">
        <v>0</v>
      </c>
      <c r="N18" t="n">
        <v>0</v>
      </c>
      <c r="O18" t="n">
        <v>0</v>
      </c>
      <c r="P18" t="n">
        <v>0</v>
      </c>
      <c r="Q18" t="n">
        <v>0</v>
      </c>
      <c r="R18" t="n">
        <v>0</v>
      </c>
      <c r="S18" t="n">
        <v>2</v>
      </c>
      <c r="T18" t="n">
        <v>3</v>
      </c>
      <c r="U18" t="n">
        <v>0</v>
      </c>
      <c r="V18" s="2" t="inlineStr">
        <is>
          <t>Fläcknycklar
Nattviol</t>
        </is>
      </c>
      <c r="W18">
        <f>HYPERLINK("https://klasma.github.io/Logging_0117/artfynd/A 61275-2021 artfynd.xlsx", "A 61275-2021")</f>
        <v/>
      </c>
      <c r="X18">
        <f>HYPERLINK("https://klasma.github.io/Logging_0117/kartor/A 61275-2021 karta.png", "A 61275-2021")</f>
        <v/>
      </c>
      <c r="Y18">
        <f>HYPERLINK("https://klasma.github.io/Logging_0117/kartor_geotiff/A 61275-2021 georefererad karta.tif", "A 61275-2021")</f>
        <v/>
      </c>
      <c r="AA18">
        <f>HYPERLINK("https://klasma.github.io/Logging_0117/klagomål/A 61275-2021 FSC-klagomål.docx", "A 61275-2021")</f>
        <v/>
      </c>
      <c r="AB18">
        <f>HYPERLINK("https://klasma.github.io/Logging_0117/klagomålsmail/A 61275-2021 FSC-klagomål mail.docx", "A 61275-2021")</f>
        <v/>
      </c>
      <c r="AC18">
        <f>HYPERLINK("https://klasma.github.io/Logging_0117/tillsyn/A 61275-2021 tillsynsbegäran.docx", "A 61275-2021")</f>
        <v/>
      </c>
      <c r="AD18">
        <f>HYPERLINK("https://klasma.github.io/Logging_0117/tillsynsmail/A 61275-2021 tillsynsbegäran mail.docx", "A 61275-2021")</f>
        <v/>
      </c>
    </row>
    <row r="19" ht="15" customHeight="1">
      <c r="A19" t="inlineStr">
        <is>
          <t>A 43308-2024</t>
        </is>
      </c>
      <c r="B19" t="inlineStr">
        <is>
          <t>avverkningsanmälan</t>
        </is>
      </c>
      <c r="C19" t="inlineStr">
        <is>
          <t>Föryngringsavverkning</t>
        </is>
      </c>
      <c r="D19" s="1" t="n">
        <v>45568</v>
      </c>
      <c r="E19" s="1" t="n">
        <v>46317</v>
      </c>
      <c r="F19" t="inlineStr">
        <is>
          <t>STOCKHOLMS LÄN</t>
        </is>
      </c>
      <c r="G19" t="inlineStr">
        <is>
          <t>ÖSTERÅKER</t>
        </is>
      </c>
      <c r="H19" t="inlineStr">
        <is>
          <t>Kyrkan</t>
        </is>
      </c>
      <c r="I19" t="n">
        <v>3.2</v>
      </c>
      <c r="J19" t="n">
        <v>0</v>
      </c>
      <c r="K19" t="n">
        <v>0</v>
      </c>
      <c r="L19" t="n">
        <v>2</v>
      </c>
      <c r="M19" t="n">
        <v>0</v>
      </c>
      <c r="N19" t="n">
        <v>0</v>
      </c>
      <c r="O19" t="n">
        <v>0</v>
      </c>
      <c r="P19" t="n">
        <v>0</v>
      </c>
      <c r="Q19" t="n">
        <v>2</v>
      </c>
      <c r="R19" t="n">
        <v>0</v>
      </c>
      <c r="S19" t="n">
        <v>2</v>
      </c>
      <c r="T19" t="n">
        <v>2</v>
      </c>
      <c r="U19" t="n">
        <v>0</v>
      </c>
      <c r="V19" s="2" t="inlineStr">
        <is>
          <t>Dropptaggsvamp
Tallticka</t>
        </is>
      </c>
      <c r="W19">
        <f>HYPERLINK("https://klasma.github.io/Logging_0117/artfynd/A 43308-2024 artfynd.xlsx", "A 43308-2024")</f>
        <v/>
      </c>
      <c r="X19">
        <f>HYPERLINK("https://klasma.github.io/Logging_0117/kartor/A 43308-2024 karta.png", "A 43308-2024")</f>
        <v/>
      </c>
      <c r="Y19">
        <f>HYPERLINK("https://klasma.github.io/Logging_0117/kartor_geotiff/A 43308-2024 georefererad karta.tif", "A 43308-2024")</f>
        <v/>
      </c>
      <c r="AA19">
        <f>HYPERLINK("https://klasma.github.io/Logging_0117/klagomål/A 43308-2024 FSC-klagomål.docx", "A 43308-2024")</f>
        <v/>
      </c>
      <c r="AB19">
        <f>HYPERLINK("https://klasma.github.io/Logging_0117/klagomålsmail/A 43308-2024 FSC-klagomål mail.docx", "A 43308-2024")</f>
        <v/>
      </c>
      <c r="AC19">
        <f>HYPERLINK("https://klasma.github.io/Logging_0117/tillsyn/A 43308-2024 tillsynsbegäran.docx", "A 43308-2024")</f>
        <v/>
      </c>
      <c r="AD19">
        <f>HYPERLINK("https://klasma.github.io/Logging_0117/tillsynsmail/A 43308-2024 tillsynsbegäran mail.docx", "A 43308-2024")</f>
        <v/>
      </c>
    </row>
    <row r="20" ht="15" customHeight="1">
      <c r="A20" t="inlineStr">
        <is>
          <t>A 31575-2022</t>
        </is>
      </c>
      <c r="B20" t="inlineStr">
        <is>
          <t>avverkningsanmälan</t>
        </is>
      </c>
      <c r="C20" t="inlineStr">
        <is>
          <t>Föryngringsavverkning</t>
        </is>
      </c>
      <c r="D20" s="1" t="n">
        <v>44775</v>
      </c>
      <c r="E20" s="1" t="n">
        <v>46317</v>
      </c>
      <c r="F20" t="inlineStr">
        <is>
          <t>STOCKHOLMS LÄN</t>
        </is>
      </c>
      <c r="G20" t="inlineStr">
        <is>
          <t>ÖSTERÅKER</t>
        </is>
      </c>
      <c r="I20" t="n">
        <v>5</v>
      </c>
      <c r="J20" t="n">
        <v>0</v>
      </c>
      <c r="K20" t="n">
        <v>1</v>
      </c>
      <c r="L20" t="n">
        <v>0</v>
      </c>
      <c r="M20" t="n">
        <v>1</v>
      </c>
      <c r="N20" t="n">
        <v>0</v>
      </c>
      <c r="O20" t="n">
        <v>0</v>
      </c>
      <c r="P20" t="n">
        <v>0</v>
      </c>
      <c r="Q20" t="n">
        <v>1</v>
      </c>
      <c r="R20" t="n">
        <v>1</v>
      </c>
      <c r="S20" t="n">
        <v>2</v>
      </c>
      <c r="T20" t="n">
        <v>2</v>
      </c>
      <c r="U20" t="n">
        <v>2</v>
      </c>
      <c r="V20" s="2" t="inlineStr">
        <is>
          <t>Aspgelélav
Dvärgtufs</t>
        </is>
      </c>
      <c r="W20">
        <f>HYPERLINK("https://klasma.github.io/Logging_0117/artfynd/A 31575-2022 artfynd.xlsx", "A 31575-2022")</f>
        <v/>
      </c>
      <c r="X20">
        <f>HYPERLINK("https://klasma.github.io/Logging_0117/kartor/A 31575-2022 karta.png", "A 31575-2022")</f>
        <v/>
      </c>
      <c r="Y20">
        <f>HYPERLINK("https://klasma.github.io/Logging_0117/kartor_geotiff/A 31575-2022 georefererad karta.tif", "A 31575-2022")</f>
        <v/>
      </c>
      <c r="AA20">
        <f>HYPERLINK("https://klasma.github.io/Logging_0117/klagomål/A 31575-2022 FSC-klagomål.docx", "A 31575-2022")</f>
        <v/>
      </c>
      <c r="AB20">
        <f>HYPERLINK("https://klasma.github.io/Logging_0117/klagomålsmail/A 31575-2022 FSC-klagomål mail.docx", "A 31575-2022")</f>
        <v/>
      </c>
      <c r="AC20">
        <f>HYPERLINK("https://klasma.github.io/Logging_0117/tillsyn/A 31575-2022 tillsynsbegäran.docx", "A 31575-2022")</f>
        <v/>
      </c>
      <c r="AD20">
        <f>HYPERLINK("https://klasma.github.io/Logging_0117/tillsynsmail/A 31575-2022 tillsynsbegäran mail.docx", "A 31575-2022")</f>
        <v/>
      </c>
    </row>
    <row r="21" ht="15" customHeight="1">
      <c r="A21" t="inlineStr">
        <is>
          <t>A 30949-2024</t>
        </is>
      </c>
      <c r="B21" t="inlineStr">
        <is>
          <t>avverkningsanmälan</t>
        </is>
      </c>
      <c r="C21" t="inlineStr">
        <is>
          <t>Föryngringsavverkning</t>
        </is>
      </c>
      <c r="D21" s="1" t="n">
        <v>45499</v>
      </c>
      <c r="E21" s="1" t="n">
        <v>46317</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61323-2022</t>
        </is>
      </c>
      <c r="B22" t="inlineStr">
        <is>
          <t>avverkningsanmälan</t>
        </is>
      </c>
      <c r="C22" t="inlineStr">
        <is>
          <t>Föryngringsavverkning</t>
        </is>
      </c>
      <c r="D22" s="1" t="n">
        <v>44915</v>
      </c>
      <c r="E22" s="1" t="n">
        <v>46317</v>
      </c>
      <c r="F22" t="inlineStr">
        <is>
          <t>STOCKHOLMS LÄN</t>
        </is>
      </c>
      <c r="G22" t="inlineStr">
        <is>
          <t>ÖSTERÅKER</t>
        </is>
      </c>
      <c r="I22" t="n">
        <v>2.7</v>
      </c>
      <c r="J22" t="n">
        <v>0</v>
      </c>
      <c r="K22" t="n">
        <v>0</v>
      </c>
      <c r="L22" t="n">
        <v>0</v>
      </c>
      <c r="M22" t="n">
        <v>1</v>
      </c>
      <c r="N22" t="n">
        <v>0</v>
      </c>
      <c r="O22" t="n">
        <v>0</v>
      </c>
      <c r="P22" t="n">
        <v>0</v>
      </c>
      <c r="Q22" t="n">
        <v>1</v>
      </c>
      <c r="R22" t="n">
        <v>1</v>
      </c>
      <c r="S22" t="n">
        <v>1</v>
      </c>
      <c r="T22" t="n">
        <v>1</v>
      </c>
      <c r="U22" t="n">
        <v>1</v>
      </c>
      <c r="V22" s="2" t="inlineStr">
        <is>
          <t>Gulvit blekspik</t>
        </is>
      </c>
      <c r="W22">
        <f>HYPERLINK("https://klasma.github.io/Logging_0117/artfynd/A 61323-2022 artfynd.xlsx", "A 61323-2022")</f>
        <v/>
      </c>
      <c r="X22">
        <f>HYPERLINK("https://klasma.github.io/Logging_0117/kartor/A 61323-2022 karta.png", "A 61323-2022")</f>
        <v/>
      </c>
      <c r="Y22">
        <f>HYPERLINK("https://klasma.github.io/Logging_0117/kartor_geotiff/A 61323-2022 georefererad karta.tif", "A 61323-2022")</f>
        <v/>
      </c>
      <c r="AA22">
        <f>HYPERLINK("https://klasma.github.io/Logging_0117/klagomål/A 61323-2022 FSC-klagomål.docx", "A 61323-2022")</f>
        <v/>
      </c>
      <c r="AB22">
        <f>HYPERLINK("https://klasma.github.io/Logging_0117/klagomålsmail/A 61323-2022 FSC-klagomål mail.docx", "A 61323-2022")</f>
        <v/>
      </c>
      <c r="AC22">
        <f>HYPERLINK("https://klasma.github.io/Logging_0117/tillsyn/A 61323-2022 tillsynsbegäran.docx", "A 61323-2022")</f>
        <v/>
      </c>
      <c r="AD22">
        <f>HYPERLINK("https://klasma.github.io/Logging_0117/tillsynsmail/A 61323-2022 tillsynsbegäran mail.docx", "A 61323-2022")</f>
        <v/>
      </c>
    </row>
    <row r="23" ht="15" customHeight="1">
      <c r="A23" t="inlineStr">
        <is>
          <t>A 31716-2025</t>
        </is>
      </c>
      <c r="B23" t="inlineStr">
        <is>
          <t>avverkningsanmälan</t>
        </is>
      </c>
      <c r="C23" t="inlineStr">
        <is>
          <t>Föryngringsavverkning</t>
        </is>
      </c>
      <c r="D23" s="1" t="n">
        <v>45834</v>
      </c>
      <c r="E23" s="1" t="n">
        <v>46317</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62831-2025</t>
        </is>
      </c>
      <c r="B24" t="inlineStr">
        <is>
          <t>avverkningsanmälan</t>
        </is>
      </c>
      <c r="C24" t="inlineStr">
        <is>
          <t>Föryngringsavverkning</t>
        </is>
      </c>
      <c r="D24" s="1" t="n">
        <v>46008</v>
      </c>
      <c r="E24" s="1" t="n">
        <v>46317</v>
      </c>
      <c r="F24" t="inlineStr">
        <is>
          <t>STOCKHOLMS LÄN</t>
        </is>
      </c>
      <c r="G24" t="inlineStr">
        <is>
          <t>ÖSTERÅKER</t>
        </is>
      </c>
      <c r="I24" t="n">
        <v>1.2</v>
      </c>
      <c r="J24" t="n">
        <v>0</v>
      </c>
      <c r="K24" t="n">
        <v>1</v>
      </c>
      <c r="L24" t="n">
        <v>0</v>
      </c>
      <c r="M24" t="n">
        <v>0</v>
      </c>
      <c r="N24" t="n">
        <v>0</v>
      </c>
      <c r="O24" t="n">
        <v>0</v>
      </c>
      <c r="P24" t="n">
        <v>0</v>
      </c>
      <c r="Q24" t="n">
        <v>0</v>
      </c>
      <c r="R24" t="n">
        <v>0</v>
      </c>
      <c r="S24" t="n">
        <v>1</v>
      </c>
      <c r="T24" t="n">
        <v>1</v>
      </c>
      <c r="U24" t="n">
        <v>0</v>
      </c>
      <c r="V24" s="2" t="inlineStr">
        <is>
          <t>Vedticka</t>
        </is>
      </c>
      <c r="W24">
        <f>HYPERLINK("https://klasma.github.io/Logging_0117/artfynd/A 62831-2025 artfynd.xlsx", "A 62831-2025")</f>
        <v/>
      </c>
      <c r="X24">
        <f>HYPERLINK("https://klasma.github.io/Logging_0117/kartor/A 62831-2025 karta.png", "A 62831-2025")</f>
        <v/>
      </c>
      <c r="Y24">
        <f>HYPERLINK("https://klasma.github.io/Logging_0117/kartor_geotiff/A 62831-2025 georefererad karta.tif", "A 62831-2025")</f>
        <v/>
      </c>
      <c r="AA24">
        <f>HYPERLINK("https://klasma.github.io/Logging_0117/klagomål/A 62831-2025 FSC-klagomål.docx", "A 62831-2025")</f>
        <v/>
      </c>
      <c r="AB24">
        <f>HYPERLINK("https://klasma.github.io/Logging_0117/klagomålsmail/A 62831-2025 FSC-klagomål mail.docx", "A 62831-2025")</f>
        <v/>
      </c>
      <c r="AC24">
        <f>HYPERLINK("https://klasma.github.io/Logging_0117/tillsyn/A 62831-2025 tillsynsbegäran.docx", "A 62831-2025")</f>
        <v/>
      </c>
      <c r="AD24">
        <f>HYPERLINK("https://klasma.github.io/Logging_0117/tillsynsmail/A 62831-2025 tillsynsbegäran mail.docx", "A 62831-2025")</f>
        <v/>
      </c>
    </row>
    <row r="25" ht="15" customHeight="1">
      <c r="A25" t="inlineStr">
        <is>
          <t>A 62839-2025</t>
        </is>
      </c>
      <c r="B25" t="inlineStr">
        <is>
          <t>avverkningsanmälan</t>
        </is>
      </c>
      <c r="C25" t="inlineStr">
        <is>
          <t>Föryngringsavverkning</t>
        </is>
      </c>
      <c r="D25" s="1" t="n">
        <v>46008</v>
      </c>
      <c r="E25" s="1" t="n">
        <v>46317</v>
      </c>
      <c r="F25" t="inlineStr">
        <is>
          <t>STOCKHOLMS LÄN</t>
        </is>
      </c>
      <c r="G25" t="inlineStr">
        <is>
          <t>ÖSTERÅKER</t>
        </is>
      </c>
      <c r="I25" t="n">
        <v>1.4</v>
      </c>
      <c r="J25" t="n">
        <v>0</v>
      </c>
      <c r="K25" t="n">
        <v>0</v>
      </c>
      <c r="L25" t="n">
        <v>1</v>
      </c>
      <c r="M25" t="n">
        <v>0</v>
      </c>
      <c r="N25" t="n">
        <v>0</v>
      </c>
      <c r="O25" t="n">
        <v>0</v>
      </c>
      <c r="P25" t="n">
        <v>0</v>
      </c>
      <c r="Q25" t="n">
        <v>1</v>
      </c>
      <c r="R25" t="n">
        <v>0</v>
      </c>
      <c r="S25" t="n">
        <v>1</v>
      </c>
      <c r="T25" t="n">
        <v>1</v>
      </c>
      <c r="U25" t="n">
        <v>0</v>
      </c>
      <c r="V25" s="2" t="inlineStr">
        <is>
          <t>Gullpudra</t>
        </is>
      </c>
      <c r="W25">
        <f>HYPERLINK("https://klasma.github.io/Logging_0117/artfynd/A 62839-2025 artfynd.xlsx", "A 62839-2025")</f>
        <v/>
      </c>
      <c r="X25">
        <f>HYPERLINK("https://klasma.github.io/Logging_0117/kartor/A 62839-2025 karta.png", "A 62839-2025")</f>
        <v/>
      </c>
      <c r="Y25">
        <f>HYPERLINK("https://klasma.github.io/Logging_0117/kartor_geotiff/A 62839-2025 georefererad karta.tif", "A 62839-2025")</f>
        <v/>
      </c>
      <c r="AA25">
        <f>HYPERLINK("https://klasma.github.io/Logging_0117/klagomål/A 62839-2025 FSC-klagomål.docx", "A 62839-2025")</f>
        <v/>
      </c>
      <c r="AB25">
        <f>HYPERLINK("https://klasma.github.io/Logging_0117/klagomålsmail/A 62839-2025 FSC-klagomål mail.docx", "A 62839-2025")</f>
        <v/>
      </c>
      <c r="AC25">
        <f>HYPERLINK("https://klasma.github.io/Logging_0117/tillsyn/A 62839-2025 tillsynsbegäran.docx", "A 62839-2025")</f>
        <v/>
      </c>
      <c r="AD25">
        <f>HYPERLINK("https://klasma.github.io/Logging_0117/tillsynsmail/A 62839-2025 tillsynsbegäran mail.docx", "A 62839-2025")</f>
        <v/>
      </c>
    </row>
    <row r="26" ht="15" customHeight="1">
      <c r="A26" t="inlineStr">
        <is>
          <t>A 67265-2021</t>
        </is>
      </c>
      <c r="B26" t="inlineStr">
        <is>
          <t>avverkningsanmälan</t>
        </is>
      </c>
      <c r="C26" t="inlineStr">
        <is>
          <t>Föryngringsavverkning</t>
        </is>
      </c>
      <c r="D26" s="1" t="n">
        <v>44523</v>
      </c>
      <c r="E26" s="1" t="n">
        <v>46317</v>
      </c>
      <c r="F26" t="inlineStr">
        <is>
          <t>STOCKHOLMS LÄN</t>
        </is>
      </c>
      <c r="G26" t="inlineStr">
        <is>
          <t>ÖSTERÅKER</t>
        </is>
      </c>
      <c r="H26" t="inlineStr">
        <is>
          <t>Kommuner</t>
        </is>
      </c>
      <c r="I26" t="n">
        <v>2.6</v>
      </c>
      <c r="J26" t="n">
        <v>1</v>
      </c>
      <c r="K26" t="n">
        <v>0</v>
      </c>
      <c r="L26" t="n">
        <v>1</v>
      </c>
      <c r="M26" t="n">
        <v>0</v>
      </c>
      <c r="N26" t="n">
        <v>0</v>
      </c>
      <c r="O26" t="n">
        <v>0</v>
      </c>
      <c r="P26" t="n">
        <v>0</v>
      </c>
      <c r="Q26" t="n">
        <v>1</v>
      </c>
      <c r="R26" t="n">
        <v>0</v>
      </c>
      <c r="S26" t="n">
        <v>1</v>
      </c>
      <c r="T26" t="n">
        <v>1</v>
      </c>
      <c r="U26" t="n">
        <v>1</v>
      </c>
      <c r="V26" s="2" t="inlineStr">
        <is>
          <t>Mindre hackspett</t>
        </is>
      </c>
      <c r="W26">
        <f>HYPERLINK("https://klasma.github.io/Logging_0117/artfynd/A 67265-2021 artfynd.xlsx", "A 67265-2021")</f>
        <v/>
      </c>
      <c r="X26">
        <f>HYPERLINK("https://klasma.github.io/Logging_0117/kartor/A 67265-2021 karta.png", "A 67265-2021")</f>
        <v/>
      </c>
      <c r="Y26">
        <f>HYPERLINK("https://klasma.github.io/Logging_0117/kartor_geotiff/A 67265-2021 georefererad karta.tif", "A 67265-2021")</f>
        <v/>
      </c>
      <c r="AA26">
        <f>HYPERLINK("https://klasma.github.io/Logging_0117/klagomål/A 67265-2021 FSC-klagomål.docx", "A 67265-2021")</f>
        <v/>
      </c>
      <c r="AB26">
        <f>HYPERLINK("https://klasma.github.io/Logging_0117/klagomålsmail/A 67265-2021 FSC-klagomål mail.docx", "A 67265-2021")</f>
        <v/>
      </c>
      <c r="AC26">
        <f>HYPERLINK("https://klasma.github.io/Logging_0117/tillsyn/A 67265-2021 tillsynsbegäran.docx", "A 67265-2021")</f>
        <v/>
      </c>
      <c r="AD26">
        <f>HYPERLINK("https://klasma.github.io/Logging_0117/tillsynsmail/A 67265-2021 tillsynsbegäran mail.docx", "A 67265-2021")</f>
        <v/>
      </c>
      <c r="AE26">
        <f>HYPERLINK("https://klasma.github.io/Logging_0117/fåglar/A 67265-2021 prioriterade fågelarter.docx", "A 67265-2021")</f>
        <v/>
      </c>
    </row>
    <row r="27" ht="15" customHeight="1">
      <c r="A27" t="inlineStr">
        <is>
          <t>S 5861-2022</t>
        </is>
      </c>
      <c r="B27" t="inlineStr">
        <is>
          <t>samrådsanmälan</t>
        </is>
      </c>
      <c r="C27" t="inlineStr">
        <is>
          <t>Annan skogsbruksåtgärd</t>
        </is>
      </c>
      <c r="D27" s="1" t="n">
        <v>44852</v>
      </c>
      <c r="E27" s="1" t="n">
        <v>46317</v>
      </c>
      <c r="F27" t="inlineStr">
        <is>
          <t>STOCKHOLMS LÄN</t>
        </is>
      </c>
      <c r="G27" t="inlineStr">
        <is>
          <t>ÖSTERÅKER</t>
        </is>
      </c>
      <c r="I27" t="n">
        <v>4.1</v>
      </c>
      <c r="J27" t="n">
        <v>0</v>
      </c>
      <c r="K27" t="n">
        <v>0</v>
      </c>
      <c r="L27" t="n">
        <v>0</v>
      </c>
      <c r="M27" t="n">
        <v>0</v>
      </c>
      <c r="N27" t="n">
        <v>1</v>
      </c>
      <c r="O27" t="n">
        <v>0</v>
      </c>
      <c r="P27" t="n">
        <v>0</v>
      </c>
      <c r="Q27" t="n">
        <v>1</v>
      </c>
      <c r="R27" t="n">
        <v>1</v>
      </c>
      <c r="S27" t="n">
        <v>1</v>
      </c>
      <c r="T27" t="n">
        <v>2</v>
      </c>
      <c r="U27" t="n">
        <v>1</v>
      </c>
      <c r="V27" s="2" t="inlineStr">
        <is>
          <t>Ask</t>
        </is>
      </c>
      <c r="W27">
        <f>HYPERLINK("https://klasma.github.io/Logging_0117/artfynd/S 5861-2022 artfynd.xlsx", "S 5861-2022")</f>
        <v/>
      </c>
      <c r="X27">
        <f>HYPERLINK("https://klasma.github.io/Logging_0117/kartor/S 5861-2022 karta.png", "S 5861-2022")</f>
        <v/>
      </c>
      <c r="Y27">
        <f>HYPERLINK("https://klasma.github.io/Logging_0117/kartor_geotiff/S 5861-2022 georefererad karta.tif", "S 5861-2022")</f>
        <v/>
      </c>
      <c r="AA27">
        <f>HYPERLINK("https://klasma.github.io/Logging_0117/klagomål/S 5861-2022 FSC-klagomål.docx", "S 5861-2022")</f>
        <v/>
      </c>
      <c r="AB27">
        <f>HYPERLINK("https://klasma.github.io/Logging_0117/klagomålsmail/S 5861-2022 FSC-klagomål mail.docx", "S 5861-2022")</f>
        <v/>
      </c>
      <c r="AC27">
        <f>HYPERLINK("https://klasma.github.io/Logging_0117/tillsyn/S 5861-2022 tillsynsbegäran.docx", "S 5861-2022")</f>
        <v/>
      </c>
      <c r="AD27">
        <f>HYPERLINK("https://klasma.github.io/Logging_0117/tillsynsmail/S 5861-2022 tillsynsbegäran mail.docx", "S 5861-2022")</f>
        <v/>
      </c>
    </row>
    <row r="28" ht="15" customHeight="1">
      <c r="A28" t="inlineStr">
        <is>
          <t>S 15-2025</t>
        </is>
      </c>
      <c r="B28" t="inlineStr">
        <is>
          <t>samrådsanmälan</t>
        </is>
      </c>
      <c r="C28" t="inlineStr">
        <is>
          <t>Annan skogsbruksåtgärd</t>
        </is>
      </c>
      <c r="D28" s="1" t="n">
        <v>45660</v>
      </c>
      <c r="E28" s="1" t="n">
        <v>46317</v>
      </c>
      <c r="F28" t="inlineStr">
        <is>
          <t>STOCKHOLMS LÄN</t>
        </is>
      </c>
      <c r="G28" t="inlineStr">
        <is>
          <t>ÖSTERÅKER</t>
        </is>
      </c>
      <c r="H28" t="inlineStr">
        <is>
          <t>Övriga Aktiebolag</t>
        </is>
      </c>
      <c r="I28" t="n">
        <v>2.5</v>
      </c>
      <c r="J28" t="n">
        <v>0</v>
      </c>
      <c r="K28" t="n">
        <v>0</v>
      </c>
      <c r="L28" t="n">
        <v>0</v>
      </c>
      <c r="M28" t="n">
        <v>1</v>
      </c>
      <c r="N28" t="n">
        <v>0</v>
      </c>
      <c r="O28" t="n">
        <v>0</v>
      </c>
      <c r="P28" t="n">
        <v>0</v>
      </c>
      <c r="Q28" t="n">
        <v>1</v>
      </c>
      <c r="R28" t="n">
        <v>1</v>
      </c>
      <c r="S28" t="n">
        <v>1</v>
      </c>
      <c r="T28" t="n">
        <v>1</v>
      </c>
      <c r="U28" t="n">
        <v>1</v>
      </c>
      <c r="V28" s="2" t="inlineStr">
        <is>
          <t>Ädellav</t>
        </is>
      </c>
      <c r="W28">
        <f>HYPERLINK("https://klasma.github.io/Logging_0117/artfynd/S 15-2025 artfynd.xlsx", "S 15-2025")</f>
        <v/>
      </c>
      <c r="X28">
        <f>HYPERLINK("https://klasma.github.io/Logging_0117/kartor/S 15-2025 karta.png", "S 15-2025")</f>
        <v/>
      </c>
      <c r="Y28">
        <f>HYPERLINK("https://klasma.github.io/Logging_0117/kartor_geotiff/S 15-2025 georefererad karta.tif", "S 15-2025")</f>
        <v/>
      </c>
      <c r="AA28">
        <f>HYPERLINK("https://klasma.github.io/Logging_0117/klagomål/S 15-2025 FSC-klagomål.docx", "S 15-2025")</f>
        <v/>
      </c>
      <c r="AB28">
        <f>HYPERLINK("https://klasma.github.io/Logging_0117/klagomålsmail/S 15-2025 FSC-klagomål mail.docx", "S 15-2025")</f>
        <v/>
      </c>
      <c r="AC28">
        <f>HYPERLINK("https://klasma.github.io/Logging_0117/tillsyn/S 15-2025 tillsynsbegäran.docx", "S 15-2025")</f>
        <v/>
      </c>
      <c r="AD28">
        <f>HYPERLINK("https://klasma.github.io/Logging_0117/tillsynsmail/S 15-2025 tillsynsbegäran mail.docx", "S 15-2025")</f>
        <v/>
      </c>
    </row>
    <row r="29" ht="15" customHeight="1">
      <c r="A29" t="inlineStr">
        <is>
          <t>A 2148-2022</t>
        </is>
      </c>
      <c r="B29" t="inlineStr">
        <is>
          <t>avverkningsanmälan</t>
        </is>
      </c>
      <c r="C29" t="inlineStr">
        <is>
          <t>Föryngringsavverkning</t>
        </is>
      </c>
      <c r="D29" s="1" t="n">
        <v>44575</v>
      </c>
      <c r="E29" s="1" t="n">
        <v>46317</v>
      </c>
      <c r="F29" t="inlineStr">
        <is>
          <t>STOCKHOLMS LÄN</t>
        </is>
      </c>
      <c r="G29" t="inlineStr">
        <is>
          <t>ÖSTERÅKER</t>
        </is>
      </c>
      <c r="H29" t="inlineStr">
        <is>
          <t>Övriga Aktiebolag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1910-2022</t>
        </is>
      </c>
      <c r="B30" t="inlineStr">
        <is>
          <t>avverkningsanmälan</t>
        </is>
      </c>
      <c r="C30" t="inlineStr">
        <is>
          <t>Föryngringsavverkning</t>
        </is>
      </c>
      <c r="D30" s="1" t="n">
        <v>44575</v>
      </c>
      <c r="E30" s="1" t="n">
        <v>46317</v>
      </c>
      <c r="F30" t="inlineStr">
        <is>
          <t>STOCKHOLMS LÄN</t>
        </is>
      </c>
      <c r="G30" t="inlineStr">
        <is>
          <t>ÖSTERÅKER</t>
        </is>
      </c>
      <c r="H30" t="inlineStr">
        <is>
          <t>Övriga Aktiebolag</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72508-2021</t>
        </is>
      </c>
      <c r="B31" t="inlineStr">
        <is>
          <t>avverkningsanmälan</t>
        </is>
      </c>
      <c r="C31" t="inlineStr">
        <is>
          <t>Föryngringsavverkning</t>
        </is>
      </c>
      <c r="D31" s="1" t="n">
        <v>44544</v>
      </c>
      <c r="E31" s="1" t="n">
        <v>46317</v>
      </c>
      <c r="F31" t="inlineStr">
        <is>
          <t>STOCKHOLMS LÄN</t>
        </is>
      </c>
      <c r="G31" t="inlineStr">
        <is>
          <t>ÖSTERÅKER</t>
        </is>
      </c>
      <c r="H31" t="inlineStr">
        <is>
          <t>Övriga Aktiebolag</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15131-2022</t>
        </is>
      </c>
      <c r="B32" t="inlineStr">
        <is>
          <t>avverkningsanmälan</t>
        </is>
      </c>
      <c r="C32" t="inlineStr">
        <is>
          <t>Föryngringsavverkning</t>
        </is>
      </c>
      <c r="D32" s="1" t="n">
        <v>44658</v>
      </c>
      <c r="E32" s="1" t="n">
        <v>46317</v>
      </c>
      <c r="F32" t="inlineStr">
        <is>
          <t>STOCKHOLMS LÄN</t>
        </is>
      </c>
      <c r="G32" t="inlineStr">
        <is>
          <t>ÖSTERÅKER</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19934-2022</t>
        </is>
      </c>
      <c r="B33" t="inlineStr">
        <is>
          <t>avverkningsanmälan</t>
        </is>
      </c>
      <c r="C33" t="inlineStr">
        <is>
          <t>Föryngringsavverkning</t>
        </is>
      </c>
      <c r="D33" s="1" t="n">
        <v>44697</v>
      </c>
      <c r="E33" s="1" t="n">
        <v>46317</v>
      </c>
      <c r="F33" t="inlineStr">
        <is>
          <t>STOCKHOLMS LÄN</t>
        </is>
      </c>
      <c r="G33" t="inlineStr">
        <is>
          <t>ÖSTERÅKER</t>
        </is>
      </c>
      <c r="I33" t="n">
        <v>0.3</v>
      </c>
      <c r="J33" t="n">
        <v>0</v>
      </c>
      <c r="K33" t="n">
        <v>0</v>
      </c>
      <c r="L33" t="n">
        <v>0</v>
      </c>
      <c r="M33" t="n">
        <v>0</v>
      </c>
      <c r="N33" t="n">
        <v>0</v>
      </c>
      <c r="O33" t="n">
        <v>0</v>
      </c>
      <c r="P33" t="n">
        <v>0</v>
      </c>
      <c r="Q33" t="n">
        <v>0</v>
      </c>
      <c r="R33" t="n">
        <v>0</v>
      </c>
      <c r="S33" t="n">
        <v>0</v>
      </c>
      <c r="T33" t="n">
        <v>0</v>
      </c>
      <c r="U33" t="n">
        <v>0</v>
      </c>
      <c r="V33" s="2" t="inlineStr"/>
    </row>
    <row r="34" ht="15" customHeight="1">
      <c r="A34" t="inlineStr">
        <is>
          <t>A 19944-2022</t>
        </is>
      </c>
      <c r="B34" t="inlineStr">
        <is>
          <t>avverkningsanmälan</t>
        </is>
      </c>
      <c r="C34" t="inlineStr">
        <is>
          <t>Föryngringsavverkning</t>
        </is>
      </c>
      <c r="D34" s="1" t="n">
        <v>44697</v>
      </c>
      <c r="E34" s="1" t="n">
        <v>46317</v>
      </c>
      <c r="F34" t="inlineStr">
        <is>
          <t>STOCKHOLMS LÄN</t>
        </is>
      </c>
      <c r="G34" t="inlineStr">
        <is>
          <t>ÖSTERÅKER</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838-2022</t>
        </is>
      </c>
      <c r="B35" t="inlineStr">
        <is>
          <t>avverkningsanmälan</t>
        </is>
      </c>
      <c r="C35" t="inlineStr">
        <is>
          <t>Föryngringsavverkning</t>
        </is>
      </c>
      <c r="D35" s="1" t="n">
        <v>44569</v>
      </c>
      <c r="E35" s="1" t="n">
        <v>46317</v>
      </c>
      <c r="F35" t="inlineStr">
        <is>
          <t>STOCKHOLMS LÄN</t>
        </is>
      </c>
      <c r="G35" t="inlineStr">
        <is>
          <t>ÖSTERÅKER</t>
        </is>
      </c>
      <c r="H35" t="inlineStr">
        <is>
          <t>Övriga Aktiebolag</t>
        </is>
      </c>
      <c r="I35" t="n">
        <v>4.9</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46317</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28405-2022</t>
        </is>
      </c>
      <c r="B37" t="inlineStr">
        <is>
          <t>avverkningsanmälan</t>
        </is>
      </c>
      <c r="C37" t="inlineStr">
        <is>
          <t>Föryngringsavverkning</t>
        </is>
      </c>
      <c r="D37" s="1" t="n">
        <v>44747</v>
      </c>
      <c r="E37" s="1" t="n">
        <v>46317</v>
      </c>
      <c r="F37" t="inlineStr">
        <is>
          <t>STOCKHOLMS LÄN</t>
        </is>
      </c>
      <c r="G37" t="inlineStr">
        <is>
          <t>ÖSTERÅKER</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17173-2022</t>
        </is>
      </c>
      <c r="B38" t="inlineStr">
        <is>
          <t>avverkningsanmälan</t>
        </is>
      </c>
      <c r="C38" t="inlineStr">
        <is>
          <t>Föryngringsavverkning</t>
        </is>
      </c>
      <c r="D38" s="1" t="n">
        <v>44677</v>
      </c>
      <c r="E38" s="1" t="n">
        <v>46317</v>
      </c>
      <c r="F38" t="inlineStr">
        <is>
          <t>STOCKHOLMS LÄN</t>
        </is>
      </c>
      <c r="G38" t="inlineStr">
        <is>
          <t>ÖSTERÅKER</t>
        </is>
      </c>
      <c r="I38" t="n">
        <v>2.8</v>
      </c>
      <c r="J38" t="n">
        <v>0</v>
      </c>
      <c r="K38" t="n">
        <v>0</v>
      </c>
      <c r="L38" t="n">
        <v>0</v>
      </c>
      <c r="M38" t="n">
        <v>0</v>
      </c>
      <c r="N38" t="n">
        <v>0</v>
      </c>
      <c r="O38" t="n">
        <v>0</v>
      </c>
      <c r="P38" t="n">
        <v>0</v>
      </c>
      <c r="Q38" t="n">
        <v>0</v>
      </c>
      <c r="R38" t="n">
        <v>0</v>
      </c>
      <c r="S38" t="n">
        <v>0</v>
      </c>
      <c r="T38" t="n">
        <v>0</v>
      </c>
      <c r="U38" t="n">
        <v>0</v>
      </c>
      <c r="V38" s="2" t="inlineStr"/>
    </row>
    <row r="39" ht="15" customHeight="1">
      <c r="A39" t="inlineStr">
        <is>
          <t>A 10082-2022</t>
        </is>
      </c>
      <c r="B39" t="inlineStr">
        <is>
          <t>avverkningsanmälan</t>
        </is>
      </c>
      <c r="C39" t="inlineStr">
        <is>
          <t>Föryngringsavverkning</t>
        </is>
      </c>
      <c r="D39" s="1" t="n">
        <v>44621</v>
      </c>
      <c r="E39" s="1" t="n">
        <v>46317</v>
      </c>
      <c r="F39" t="inlineStr">
        <is>
          <t>STOCKHOLMS LÄN</t>
        </is>
      </c>
      <c r="G39" t="inlineStr">
        <is>
          <t>ÖSTERÅKER</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28964-2022</t>
        </is>
      </c>
      <c r="B40" t="inlineStr">
        <is>
          <t>avverkningsanmälan</t>
        </is>
      </c>
      <c r="C40" t="inlineStr">
        <is>
          <t>Föryngringsavverkning</t>
        </is>
      </c>
      <c r="D40" s="1" t="n">
        <v>44749</v>
      </c>
      <c r="E40" s="1" t="n">
        <v>46317</v>
      </c>
      <c r="F40" t="inlineStr">
        <is>
          <t>STOCKHOLMS LÄN</t>
        </is>
      </c>
      <c r="G40" t="inlineStr">
        <is>
          <t>ÖSTERÅKER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18091-2022</t>
        </is>
      </c>
      <c r="B41" t="inlineStr">
        <is>
          <t>avverkningsanmälan</t>
        </is>
      </c>
      <c r="C41" t="inlineStr">
        <is>
          <t>Föryngringsavverkning</t>
        </is>
      </c>
      <c r="D41" s="1" t="n">
        <v>44684</v>
      </c>
      <c r="E41" s="1" t="n">
        <v>46317</v>
      </c>
      <c r="F41" t="inlineStr">
        <is>
          <t>STOCKHOLMS LÄN</t>
        </is>
      </c>
      <c r="G41" t="inlineStr">
        <is>
          <t>ÖSTERÅKER</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28399-2022</t>
        </is>
      </c>
      <c r="B42" t="inlineStr">
        <is>
          <t>avverkningsanmälan</t>
        </is>
      </c>
      <c r="C42" t="inlineStr">
        <is>
          <t>Föryngringsavverkning</t>
        </is>
      </c>
      <c r="D42" s="1" t="n">
        <v>44747</v>
      </c>
      <c r="E42" s="1" t="n">
        <v>46317</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46688-2022</t>
        </is>
      </c>
      <c r="B43" t="inlineStr">
        <is>
          <t>avverkningsanmälan</t>
        </is>
      </c>
      <c r="C43" t="inlineStr">
        <is>
          <t>Föryngringsavverkning</t>
        </is>
      </c>
      <c r="D43" s="1" t="n">
        <v>44851</v>
      </c>
      <c r="E43" s="1" t="n">
        <v>46317</v>
      </c>
      <c r="F43" t="inlineStr">
        <is>
          <t>STOCKHOLMS LÄN</t>
        </is>
      </c>
      <c r="G43" t="inlineStr">
        <is>
          <t>ÖSTERÅKER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28143-2024</t>
        </is>
      </c>
      <c r="B44" t="inlineStr">
        <is>
          <t>avverkningsanmälan</t>
        </is>
      </c>
      <c r="C44" t="inlineStr">
        <is>
          <t>Föryngringsavverkning</t>
        </is>
      </c>
      <c r="D44" s="1" t="n">
        <v>45476</v>
      </c>
      <c r="E44" s="1" t="n">
        <v>46317</v>
      </c>
      <c r="F44" t="inlineStr">
        <is>
          <t>STOCKHOLMS LÄN</t>
        </is>
      </c>
      <c r="G44" t="inlineStr">
        <is>
          <t>ÖSTERÅKER</t>
        </is>
      </c>
      <c r="H44" t="inlineStr">
        <is>
          <t>Övriga Aktiebolag</t>
        </is>
      </c>
      <c r="I44" t="n">
        <v>2.2</v>
      </c>
      <c r="J44" t="n">
        <v>0</v>
      </c>
      <c r="K44" t="n">
        <v>0</v>
      </c>
      <c r="L44" t="n">
        <v>0</v>
      </c>
      <c r="M44" t="n">
        <v>0</v>
      </c>
      <c r="N44" t="n">
        <v>0</v>
      </c>
      <c r="O44" t="n">
        <v>0</v>
      </c>
      <c r="P44" t="n">
        <v>0</v>
      </c>
      <c r="Q44" t="n">
        <v>0</v>
      </c>
      <c r="R44" t="n">
        <v>0</v>
      </c>
      <c r="S44" t="n">
        <v>0</v>
      </c>
      <c r="T44" t="n">
        <v>0</v>
      </c>
      <c r="U44" t="n">
        <v>0</v>
      </c>
      <c r="V44" s="2" t="inlineStr"/>
    </row>
    <row r="45" ht="15" customHeight="1">
      <c r="A45" t="inlineStr">
        <is>
          <t>A 27137-2025</t>
        </is>
      </c>
      <c r="B45" t="inlineStr">
        <is>
          <t>avverkningsanmälan</t>
        </is>
      </c>
      <c r="C45" t="inlineStr">
        <is>
          <t>Föryngringsavverkning</t>
        </is>
      </c>
      <c r="D45" s="1" t="n">
        <v>45811</v>
      </c>
      <c r="E45" s="1" t="n">
        <v>46317</v>
      </c>
      <c r="F45" t="inlineStr">
        <is>
          <t>STOCKHOLMS LÄN</t>
        </is>
      </c>
      <c r="G45" t="inlineStr">
        <is>
          <t>ÖSTERÅKER</t>
        </is>
      </c>
      <c r="I45" t="n">
        <v>3.8</v>
      </c>
      <c r="J45" t="n">
        <v>0</v>
      </c>
      <c r="K45" t="n">
        <v>0</v>
      </c>
      <c r="L45" t="n">
        <v>0</v>
      </c>
      <c r="M45" t="n">
        <v>0</v>
      </c>
      <c r="N45" t="n">
        <v>0</v>
      </c>
      <c r="O45" t="n">
        <v>0</v>
      </c>
      <c r="P45" t="n">
        <v>0</v>
      </c>
      <c r="Q45" t="n">
        <v>0</v>
      </c>
      <c r="R45" t="n">
        <v>0</v>
      </c>
      <c r="S45" t="n">
        <v>0</v>
      </c>
      <c r="T45" t="n">
        <v>0</v>
      </c>
      <c r="U45" t="n">
        <v>0</v>
      </c>
      <c r="V45" s="2" t="inlineStr"/>
    </row>
    <row r="46" ht="15" customHeight="1">
      <c r="A46" t="inlineStr">
        <is>
          <t>A 28146-2024</t>
        </is>
      </c>
      <c r="B46" t="inlineStr">
        <is>
          <t>avverkningsanmälan</t>
        </is>
      </c>
      <c r="C46" t="inlineStr">
        <is>
          <t>Föryngringsavverkning</t>
        </is>
      </c>
      <c r="D46" s="1" t="n">
        <v>45476</v>
      </c>
      <c r="E46" s="1" t="n">
        <v>46317</v>
      </c>
      <c r="F46" t="inlineStr">
        <is>
          <t>STOCKHOLMS LÄN</t>
        </is>
      </c>
      <c r="G46" t="inlineStr">
        <is>
          <t>ÖSTERÅKER</t>
        </is>
      </c>
      <c r="H46" t="inlineStr">
        <is>
          <t>Övriga Aktiebolag</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22528-2024</t>
        </is>
      </c>
      <c r="B47" t="inlineStr">
        <is>
          <t>avverkningsanmälan</t>
        </is>
      </c>
      <c r="C47" t="inlineStr">
        <is>
          <t>Föryngringsavverkning</t>
        </is>
      </c>
      <c r="D47" s="1" t="n">
        <v>45447</v>
      </c>
      <c r="E47" s="1" t="n">
        <v>46317</v>
      </c>
      <c r="F47" t="inlineStr">
        <is>
          <t>STOCKHOLMS LÄN</t>
        </is>
      </c>
      <c r="G47" t="inlineStr">
        <is>
          <t>ÖSTERÅKER</t>
        </is>
      </c>
      <c r="H47" t="inlineStr">
        <is>
          <t>Övriga Aktiebolag</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16803-2022</t>
        </is>
      </c>
      <c r="B48" t="inlineStr">
        <is>
          <t>avverkningsanmälan</t>
        </is>
      </c>
      <c r="C48" t="inlineStr">
        <is>
          <t>Föryngringsavverkning</t>
        </is>
      </c>
      <c r="D48" s="1" t="n">
        <v>44673</v>
      </c>
      <c r="E48" s="1" t="n">
        <v>46317</v>
      </c>
      <c r="F48" t="inlineStr">
        <is>
          <t>STOCKHOLMS LÄN</t>
        </is>
      </c>
      <c r="G48" t="inlineStr">
        <is>
          <t>ÖSTERÅKER</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34034-2025</t>
        </is>
      </c>
      <c r="B49" t="inlineStr">
        <is>
          <t>avverkningsanmälan</t>
        </is>
      </c>
      <c r="C49" t="inlineStr">
        <is>
          <t>Föryngringsavverkning</t>
        </is>
      </c>
      <c r="D49" s="1" t="n">
        <v>45842</v>
      </c>
      <c r="E49" s="1" t="n">
        <v>46317</v>
      </c>
      <c r="F49" t="inlineStr">
        <is>
          <t>STOCKHOLMS LÄN</t>
        </is>
      </c>
      <c r="G49" t="inlineStr">
        <is>
          <t>ÖSTERÅKER</t>
        </is>
      </c>
      <c r="H49" t="inlineStr">
        <is>
          <t>Övriga Aktiebolag</t>
        </is>
      </c>
      <c r="I49" t="n">
        <v>3.9</v>
      </c>
      <c r="J49" t="n">
        <v>0</v>
      </c>
      <c r="K49" t="n">
        <v>0</v>
      </c>
      <c r="L49" t="n">
        <v>0</v>
      </c>
      <c r="M49" t="n">
        <v>0</v>
      </c>
      <c r="N49" t="n">
        <v>0</v>
      </c>
      <c r="O49" t="n">
        <v>0</v>
      </c>
      <c r="P49" t="n">
        <v>0</v>
      </c>
      <c r="Q49" t="n">
        <v>0</v>
      </c>
      <c r="R49" t="n">
        <v>0</v>
      </c>
      <c r="S49" t="n">
        <v>0</v>
      </c>
      <c r="T49" t="n">
        <v>0</v>
      </c>
      <c r="U49" t="n">
        <v>0</v>
      </c>
      <c r="V49" s="2" t="inlineStr"/>
    </row>
    <row r="50" ht="15" customHeight="1">
      <c r="A50" t="inlineStr">
        <is>
          <t>A 35819-2025</t>
        </is>
      </c>
      <c r="B50" t="inlineStr">
        <is>
          <t>avverkningsanmälan</t>
        </is>
      </c>
      <c r="C50" t="inlineStr">
        <is>
          <t>Föryngringsavverkning</t>
        </is>
      </c>
      <c r="D50" s="1" t="n">
        <v>45861</v>
      </c>
      <c r="E50" s="1" t="n">
        <v>46317</v>
      </c>
      <c r="F50" t="inlineStr">
        <is>
          <t>STOCKHOLMS LÄN</t>
        </is>
      </c>
      <c r="G50" t="inlineStr">
        <is>
          <t>ÖSTERÅKER</t>
        </is>
      </c>
      <c r="H50" t="inlineStr">
        <is>
          <t>Övriga Aktiebolag</t>
        </is>
      </c>
      <c r="I50" t="n">
        <v>8</v>
      </c>
      <c r="J50" t="n">
        <v>0</v>
      </c>
      <c r="K50" t="n">
        <v>0</v>
      </c>
      <c r="L50" t="n">
        <v>0</v>
      </c>
      <c r="M50" t="n">
        <v>0</v>
      </c>
      <c r="N50" t="n">
        <v>0</v>
      </c>
      <c r="O50" t="n">
        <v>0</v>
      </c>
      <c r="P50" t="n">
        <v>0</v>
      </c>
      <c r="Q50" t="n">
        <v>0</v>
      </c>
      <c r="R50" t="n">
        <v>0</v>
      </c>
      <c r="S50" t="n">
        <v>0</v>
      </c>
      <c r="T50" t="n">
        <v>0</v>
      </c>
      <c r="U50" t="n">
        <v>0</v>
      </c>
      <c r="V50" s="2" t="inlineStr"/>
    </row>
    <row r="51" ht="15" customHeight="1">
      <c r="A51" t="inlineStr">
        <is>
          <t>A 61710-2022</t>
        </is>
      </c>
      <c r="B51" t="inlineStr">
        <is>
          <t>avverkningsanmälan</t>
        </is>
      </c>
      <c r="C51" t="inlineStr">
        <is>
          <t>Föryngringsavverkning</t>
        </is>
      </c>
      <c r="D51" s="1" t="n">
        <v>44917</v>
      </c>
      <c r="E51" s="1" t="n">
        <v>46317</v>
      </c>
      <c r="F51" t="inlineStr">
        <is>
          <t>STOCKHOLMS LÄN</t>
        </is>
      </c>
      <c r="G51" t="inlineStr">
        <is>
          <t>ÖSTERÅKER</t>
        </is>
      </c>
      <c r="I51" t="n">
        <v>6.2</v>
      </c>
      <c r="J51" t="n">
        <v>0</v>
      </c>
      <c r="K51" t="n">
        <v>0</v>
      </c>
      <c r="L51" t="n">
        <v>0</v>
      </c>
      <c r="M51" t="n">
        <v>0</v>
      </c>
      <c r="N51" t="n">
        <v>0</v>
      </c>
      <c r="O51" t="n">
        <v>0</v>
      </c>
      <c r="P51" t="n">
        <v>0</v>
      </c>
      <c r="Q51" t="n">
        <v>0</v>
      </c>
      <c r="R51" t="n">
        <v>0</v>
      </c>
      <c r="S51" t="n">
        <v>0</v>
      </c>
      <c r="T51" t="n">
        <v>0</v>
      </c>
      <c r="U51" t="n">
        <v>0</v>
      </c>
      <c r="V51" s="2" t="inlineStr"/>
    </row>
    <row r="52" ht="15" customHeight="1">
      <c r="A52" t="inlineStr">
        <is>
          <t>A 52220-2025</t>
        </is>
      </c>
      <c r="B52" t="inlineStr">
        <is>
          <t>avverkningsanmälan</t>
        </is>
      </c>
      <c r="C52" t="inlineStr">
        <is>
          <t>Avverkning för annat ändamål</t>
        </is>
      </c>
      <c r="D52" s="1" t="n">
        <v>45953</v>
      </c>
      <c r="E52" s="1" t="n">
        <v>46317</v>
      </c>
      <c r="F52" t="inlineStr">
        <is>
          <t>STOCKHOLMS LÄN</t>
        </is>
      </c>
      <c r="G52" t="inlineStr">
        <is>
          <t>ÖSTERÅKER</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17353-2025</t>
        </is>
      </c>
      <c r="B53" t="inlineStr">
        <is>
          <t>avverkningsanmälan</t>
        </is>
      </c>
      <c r="C53" t="inlineStr">
        <is>
          <t>Föryngringsavverkning</t>
        </is>
      </c>
      <c r="D53" s="1" t="n">
        <v>45756</v>
      </c>
      <c r="E53" s="1" t="n">
        <v>46317</v>
      </c>
      <c r="F53" t="inlineStr">
        <is>
          <t>STOCKHOLMS LÄN</t>
        </is>
      </c>
      <c r="G53" t="inlineStr">
        <is>
          <t>ÖSTERÅKER</t>
        </is>
      </c>
      <c r="H53" t="inlineStr">
        <is>
          <t>Övriga Aktiebolag</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3917-2023</t>
        </is>
      </c>
      <c r="B54" t="inlineStr">
        <is>
          <t>avverkningsanmälan</t>
        </is>
      </c>
      <c r="C54" t="inlineStr">
        <is>
          <t>Föryngringsavverkning</t>
        </is>
      </c>
      <c r="D54" s="1" t="n">
        <v>44952</v>
      </c>
      <c r="E54" s="1" t="n">
        <v>46317</v>
      </c>
      <c r="F54" t="inlineStr">
        <is>
          <t>STOCKHOLMS LÄN</t>
        </is>
      </c>
      <c r="G54" t="inlineStr">
        <is>
          <t>ÖSTERÅKER</t>
        </is>
      </c>
      <c r="H54" t="inlineStr">
        <is>
          <t>Kommuner</t>
        </is>
      </c>
      <c r="I54" t="n">
        <v>2.8</v>
      </c>
      <c r="J54" t="n">
        <v>0</v>
      </c>
      <c r="K54" t="n">
        <v>0</v>
      </c>
      <c r="L54" t="n">
        <v>0</v>
      </c>
      <c r="M54" t="n">
        <v>0</v>
      </c>
      <c r="N54" t="n">
        <v>0</v>
      </c>
      <c r="O54" t="n">
        <v>0</v>
      </c>
      <c r="P54" t="n">
        <v>0</v>
      </c>
      <c r="Q54" t="n">
        <v>0</v>
      </c>
      <c r="R54" t="n">
        <v>0</v>
      </c>
      <c r="S54" t="n">
        <v>0</v>
      </c>
      <c r="T54" t="n">
        <v>0</v>
      </c>
      <c r="U54" t="n">
        <v>0</v>
      </c>
      <c r="V54" s="2" t="inlineStr"/>
    </row>
    <row r="55" ht="15" customHeight="1">
      <c r="A55" t="inlineStr">
        <is>
          <t>A 5038-2026</t>
        </is>
      </c>
      <c r="B55" t="inlineStr">
        <is>
          <t>avverkningsanmälan</t>
        </is>
      </c>
      <c r="C55" t="inlineStr">
        <is>
          <t>Föryngringsavverkning</t>
        </is>
      </c>
      <c r="D55" s="1" t="n">
        <v>46049</v>
      </c>
      <c r="E55" s="1" t="n">
        <v>46317</v>
      </c>
      <c r="F55" t="inlineStr">
        <is>
          <t>STOCKHOLMS LÄN</t>
        </is>
      </c>
      <c r="G55" t="inlineStr">
        <is>
          <t>ÖSTERÅKER</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544-2023</t>
        </is>
      </c>
      <c r="B56" t="inlineStr">
        <is>
          <t>avverkningsanmälan</t>
        </is>
      </c>
      <c r="C56" t="inlineStr">
        <is>
          <t>Avverkning för annat ändamål</t>
        </is>
      </c>
      <c r="D56" s="1" t="n">
        <v>44924</v>
      </c>
      <c r="E56" s="1" t="n">
        <v>46317</v>
      </c>
      <c r="F56" t="inlineStr">
        <is>
          <t>STOCKHOLMS LÄN</t>
        </is>
      </c>
      <c r="G56" t="inlineStr">
        <is>
          <t>ÖSTERÅKER</t>
        </is>
      </c>
      <c r="H56" t="inlineStr">
        <is>
          <t>Övriga Aktiebolag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12345-2026</t>
        </is>
      </c>
      <c r="B57" t="inlineStr">
        <is>
          <t>avverkningsanmälan</t>
        </is>
      </c>
      <c r="C57" t="inlineStr">
        <is>
          <t>Föryngringsavverkning</t>
        </is>
      </c>
      <c r="D57" s="1" t="n">
        <v>46087</v>
      </c>
      <c r="E57" s="1" t="n">
        <v>46317</v>
      </c>
      <c r="F57" t="inlineStr">
        <is>
          <t>STOCKHOLMS LÄN</t>
        </is>
      </c>
      <c r="G57" t="inlineStr">
        <is>
          <t>ÖSTERÅKER</t>
        </is>
      </c>
      <c r="H57" t="inlineStr">
        <is>
          <t>Övriga Aktiebolag</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470-2022</t>
        </is>
      </c>
      <c r="B58" t="inlineStr">
        <is>
          <t>avverkningsanmälan</t>
        </is>
      </c>
      <c r="C58" t="inlineStr">
        <is>
          <t>Föryngringsavverkning</t>
        </is>
      </c>
      <c r="D58" s="1" t="n">
        <v>44565</v>
      </c>
      <c r="E58" s="1" t="n">
        <v>46317</v>
      </c>
      <c r="F58" t="inlineStr">
        <is>
          <t>STOCKHOLMS LÄN</t>
        </is>
      </c>
      <c r="G58" t="inlineStr">
        <is>
          <t>ÖSTERÅKER</t>
        </is>
      </c>
      <c r="H58" t="inlineStr">
        <is>
          <t>Övriga Aktiebolag</t>
        </is>
      </c>
      <c r="I58" t="n">
        <v>4.6</v>
      </c>
      <c r="J58" t="n">
        <v>0</v>
      </c>
      <c r="K58" t="n">
        <v>0</v>
      </c>
      <c r="L58" t="n">
        <v>0</v>
      </c>
      <c r="M58" t="n">
        <v>0</v>
      </c>
      <c r="N58" t="n">
        <v>0</v>
      </c>
      <c r="O58" t="n">
        <v>0</v>
      </c>
      <c r="P58" t="n">
        <v>0</v>
      </c>
      <c r="Q58" t="n">
        <v>0</v>
      </c>
      <c r="R58" t="n">
        <v>0</v>
      </c>
      <c r="S58" t="n">
        <v>0</v>
      </c>
      <c r="T58" t="n">
        <v>0</v>
      </c>
      <c r="U58" t="n">
        <v>0</v>
      </c>
      <c r="V58" s="2" t="inlineStr"/>
    </row>
    <row r="59" ht="15" customHeight="1">
      <c r="A59" t="inlineStr">
        <is>
          <t>A 33158-2024</t>
        </is>
      </c>
      <c r="B59" t="inlineStr">
        <is>
          <t>avverkningsanmälan</t>
        </is>
      </c>
      <c r="C59" t="inlineStr">
        <is>
          <t>Avverkning för annat ändamål</t>
        </is>
      </c>
      <c r="D59" s="1" t="n">
        <v>45518</v>
      </c>
      <c r="E59" s="1" t="n">
        <v>46317</v>
      </c>
      <c r="F59" t="inlineStr">
        <is>
          <t>STOCKHOLMS LÄN</t>
        </is>
      </c>
      <c r="G59" t="inlineStr">
        <is>
          <t>ÖSTERÅKER</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13366-2024</t>
        </is>
      </c>
      <c r="B60" t="inlineStr">
        <is>
          <t>avverkningsanmälan</t>
        </is>
      </c>
      <c r="C60" t="inlineStr">
        <is>
          <t>Föryngringsavverkning</t>
        </is>
      </c>
      <c r="D60" s="1" t="n">
        <v>45387</v>
      </c>
      <c r="E60" s="1" t="n">
        <v>46317</v>
      </c>
      <c r="F60" t="inlineStr">
        <is>
          <t>STOCKHOLMS LÄN</t>
        </is>
      </c>
      <c r="G60" t="inlineStr">
        <is>
          <t>ÖSTERÅKER</t>
        </is>
      </c>
      <c r="I60" t="n">
        <v>13.7</v>
      </c>
      <c r="J60" t="n">
        <v>0</v>
      </c>
      <c r="K60" t="n">
        <v>0</v>
      </c>
      <c r="L60" t="n">
        <v>0</v>
      </c>
      <c r="M60" t="n">
        <v>0</v>
      </c>
      <c r="N60" t="n">
        <v>0</v>
      </c>
      <c r="O60" t="n">
        <v>0</v>
      </c>
      <c r="P60" t="n">
        <v>0</v>
      </c>
      <c r="Q60" t="n">
        <v>0</v>
      </c>
      <c r="R60" t="n">
        <v>0</v>
      </c>
      <c r="S60" t="n">
        <v>0</v>
      </c>
      <c r="T60" t="n">
        <v>0</v>
      </c>
      <c r="U60" t="n">
        <v>0</v>
      </c>
      <c r="V60" s="2" t="inlineStr"/>
    </row>
    <row r="61" ht="15" customHeight="1">
      <c r="A61" t="inlineStr">
        <is>
          <t>A 61360-2022</t>
        </is>
      </c>
      <c r="B61" t="inlineStr">
        <is>
          <t>avverkningsanmälan</t>
        </is>
      </c>
      <c r="C61" t="inlineStr">
        <is>
          <t>Föryngringsavverkning</t>
        </is>
      </c>
      <c r="D61" s="1" t="n">
        <v>44915</v>
      </c>
      <c r="E61" s="1" t="n">
        <v>46317</v>
      </c>
      <c r="F61" t="inlineStr">
        <is>
          <t>STOCKHOLMS LÄN</t>
        </is>
      </c>
      <c r="G61" t="inlineStr">
        <is>
          <t>ÖSTERÅKER</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21796-2025</t>
        </is>
      </c>
      <c r="B62" t="inlineStr">
        <is>
          <t>avverkningsanmälan</t>
        </is>
      </c>
      <c r="C62" t="inlineStr">
        <is>
          <t>Föryngringsavverkning</t>
        </is>
      </c>
      <c r="D62" s="1" t="n">
        <v>45783</v>
      </c>
      <c r="E62" s="1" t="n">
        <v>46317</v>
      </c>
      <c r="F62" t="inlineStr">
        <is>
          <t>STOCKHOLMS LÄN</t>
        </is>
      </c>
      <c r="G62" t="inlineStr">
        <is>
          <t>ÖSTERÅKER</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62108-2022</t>
        </is>
      </c>
      <c r="B63" t="inlineStr">
        <is>
          <t>avverkningsanmälan</t>
        </is>
      </c>
      <c r="C63" t="inlineStr">
        <is>
          <t>Föryngringsavverkning</t>
        </is>
      </c>
      <c r="D63" s="1" t="n">
        <v>44920</v>
      </c>
      <c r="E63" s="1" t="n">
        <v>46317</v>
      </c>
      <c r="F63" t="inlineStr">
        <is>
          <t>STOCKHOLMS LÄN</t>
        </is>
      </c>
      <c r="G63" t="inlineStr">
        <is>
          <t>ÖSTERÅKER</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60482-2025</t>
        </is>
      </c>
      <c r="B64" t="inlineStr">
        <is>
          <t>avverkningsanmälan</t>
        </is>
      </c>
      <c r="C64" t="inlineStr">
        <is>
          <t>Föryngringsavverkning</t>
        </is>
      </c>
      <c r="D64" s="1" t="n">
        <v>45995</v>
      </c>
      <c r="E64" s="1" t="n">
        <v>46317</v>
      </c>
      <c r="F64" t="inlineStr">
        <is>
          <t>STOCKHOLMS LÄN</t>
        </is>
      </c>
      <c r="G64" t="inlineStr">
        <is>
          <t>ÖSTERÅKER</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18711-2023</t>
        </is>
      </c>
      <c r="B65" t="inlineStr">
        <is>
          <t>avverkningsanmälan</t>
        </is>
      </c>
      <c r="C65" t="inlineStr">
        <is>
          <t>Föryngringsavverkning</t>
        </is>
      </c>
      <c r="D65" s="1" t="n">
        <v>45043</v>
      </c>
      <c r="E65" s="1" t="n">
        <v>46317</v>
      </c>
      <c r="F65" t="inlineStr">
        <is>
          <t>STOCKHOLMS LÄN</t>
        </is>
      </c>
      <c r="G65" t="inlineStr">
        <is>
          <t>ÖSTERÅKER</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6655-2023</t>
        </is>
      </c>
      <c r="B66" t="inlineStr">
        <is>
          <t>avverkningsanmälan</t>
        </is>
      </c>
      <c r="C66" t="inlineStr">
        <is>
          <t>Föryngringsavverkning</t>
        </is>
      </c>
      <c r="D66" s="1" t="n">
        <v>44966</v>
      </c>
      <c r="E66" s="1" t="n">
        <v>46317</v>
      </c>
      <c r="F66" t="inlineStr">
        <is>
          <t>STOCKHOLMS LÄN</t>
        </is>
      </c>
      <c r="G66" t="inlineStr">
        <is>
          <t>ÖSTERÅKER</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34713-2025</t>
        </is>
      </c>
      <c r="B67" t="inlineStr">
        <is>
          <t>avverkningsanmälan</t>
        </is>
      </c>
      <c r="C67" t="inlineStr">
        <is>
          <t>Föryngringsavverkning</t>
        </is>
      </c>
      <c r="D67" s="1" t="n">
        <v>45848</v>
      </c>
      <c r="E67" s="1" t="n">
        <v>46317</v>
      </c>
      <c r="F67" t="inlineStr">
        <is>
          <t>STOCKHOLMS LÄN</t>
        </is>
      </c>
      <c r="G67" t="inlineStr">
        <is>
          <t>ÖSTERÅKER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31134-2023</t>
        </is>
      </c>
      <c r="B68" t="inlineStr">
        <is>
          <t>avverkningsanmälan</t>
        </is>
      </c>
      <c r="C68" t="inlineStr">
        <is>
          <t>Föryngringsavverkning</t>
        </is>
      </c>
      <c r="D68" s="1" t="n">
        <v>45113</v>
      </c>
      <c r="E68" s="1" t="n">
        <v>46317</v>
      </c>
      <c r="F68" t="inlineStr">
        <is>
          <t>STOCKHOLMS LÄN</t>
        </is>
      </c>
      <c r="G68" t="inlineStr">
        <is>
          <t>ÖSTERÅKER</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23144-2024</t>
        </is>
      </c>
      <c r="B69" t="inlineStr">
        <is>
          <t>avverkningsanmälan</t>
        </is>
      </c>
      <c r="C69" t="inlineStr">
        <is>
          <t>Föryngringsavverkning</t>
        </is>
      </c>
      <c r="D69" s="1" t="n">
        <v>45450</v>
      </c>
      <c r="E69" s="1" t="n">
        <v>46317</v>
      </c>
      <c r="F69" t="inlineStr">
        <is>
          <t>STOCKHOLMS LÄN</t>
        </is>
      </c>
      <c r="G69" t="inlineStr">
        <is>
          <t>ÖSTERÅKER</t>
        </is>
      </c>
      <c r="H69" t="inlineStr">
        <is>
          <t>Övriga Aktiebolag</t>
        </is>
      </c>
      <c r="I69" t="n">
        <v>4.7</v>
      </c>
      <c r="J69" t="n">
        <v>0</v>
      </c>
      <c r="K69" t="n">
        <v>0</v>
      </c>
      <c r="L69" t="n">
        <v>0</v>
      </c>
      <c r="M69" t="n">
        <v>0</v>
      </c>
      <c r="N69" t="n">
        <v>0</v>
      </c>
      <c r="O69" t="n">
        <v>0</v>
      </c>
      <c r="P69" t="n">
        <v>0</v>
      </c>
      <c r="Q69" t="n">
        <v>0</v>
      </c>
      <c r="R69" t="n">
        <v>0</v>
      </c>
      <c r="S69" t="n">
        <v>0</v>
      </c>
      <c r="T69" t="n">
        <v>0</v>
      </c>
      <c r="U69" t="n">
        <v>0</v>
      </c>
      <c r="V69" s="2" t="inlineStr"/>
    </row>
    <row r="70" ht="15" customHeight="1">
      <c r="A70" t="inlineStr">
        <is>
          <t>A 57048-2024</t>
        </is>
      </c>
      <c r="B70" t="inlineStr">
        <is>
          <t>avverkningsanmälan</t>
        </is>
      </c>
      <c r="C70" t="inlineStr">
        <is>
          <t>Föryngringsavverkning</t>
        </is>
      </c>
      <c r="D70" s="1" t="n">
        <v>45629</v>
      </c>
      <c r="E70" s="1" t="n">
        <v>46317</v>
      </c>
      <c r="F70" t="inlineStr">
        <is>
          <t>STOCKHOLMS LÄN</t>
        </is>
      </c>
      <c r="G70" t="inlineStr">
        <is>
          <t>ÖSTERÅKER</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57055-2024</t>
        </is>
      </c>
      <c r="B71" t="inlineStr">
        <is>
          <t>avverkningsanmälan</t>
        </is>
      </c>
      <c r="C71" t="inlineStr">
        <is>
          <t>Föryngringsavverkning</t>
        </is>
      </c>
      <c r="D71" s="1" t="n">
        <v>45629</v>
      </c>
      <c r="E71" s="1" t="n">
        <v>46317</v>
      </c>
      <c r="F71" t="inlineStr">
        <is>
          <t>STOCKHOLMS LÄN</t>
        </is>
      </c>
      <c r="G71" t="inlineStr">
        <is>
          <t>ÖSTERÅKER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17263-2022</t>
        </is>
      </c>
      <c r="B72" t="inlineStr">
        <is>
          <t>avverkningsanmälan</t>
        </is>
      </c>
      <c r="C72" t="inlineStr">
        <is>
          <t>Föryngringsavverkning</t>
        </is>
      </c>
      <c r="D72" s="1" t="n">
        <v>44678</v>
      </c>
      <c r="E72" s="1" t="n">
        <v>46317</v>
      </c>
      <c r="F72" t="inlineStr">
        <is>
          <t>STOCKHOLMS LÄN</t>
        </is>
      </c>
      <c r="G72" t="inlineStr">
        <is>
          <t>ÖSTERÅKER</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3326-2022</t>
        </is>
      </c>
      <c r="B73" t="inlineStr">
        <is>
          <t>avverkningsanmälan</t>
        </is>
      </c>
      <c r="C73" t="inlineStr">
        <is>
          <t>Föryngringsavverkning</t>
        </is>
      </c>
      <c r="D73" s="1" t="n">
        <v>44583</v>
      </c>
      <c r="E73" s="1" t="n">
        <v>46317</v>
      </c>
      <c r="F73" t="inlineStr">
        <is>
          <t>STOCKHOLMS LÄN</t>
        </is>
      </c>
      <c r="G73" t="inlineStr">
        <is>
          <t>ÖSTERÅKER</t>
        </is>
      </c>
      <c r="H73" t="inlineStr">
        <is>
          <t>Övriga Aktiebolag</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34038-2025</t>
        </is>
      </c>
      <c r="B74" t="inlineStr">
        <is>
          <t>avverkningsanmälan</t>
        </is>
      </c>
      <c r="C74" t="inlineStr">
        <is>
          <t>Föryngringsavverkning</t>
        </is>
      </c>
      <c r="D74" s="1" t="n">
        <v>45842</v>
      </c>
      <c r="E74" s="1" t="n">
        <v>46317</v>
      </c>
      <c r="F74" t="inlineStr">
        <is>
          <t>STOCKHOLMS LÄN</t>
        </is>
      </c>
      <c r="G74" t="inlineStr">
        <is>
          <t>ÖSTERÅKER</t>
        </is>
      </c>
      <c r="H74" t="inlineStr">
        <is>
          <t>Övriga Aktiebolag</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56909-2024</t>
        </is>
      </c>
      <c r="B75" t="inlineStr">
        <is>
          <t>avverkningsanmälan</t>
        </is>
      </c>
      <c r="C75" t="inlineStr">
        <is>
          <t>Avverkning för att bevara och utveckla /försöksver</t>
        </is>
      </c>
      <c r="D75" s="1" t="n">
        <v>45628</v>
      </c>
      <c r="E75" s="1" t="n">
        <v>46317</v>
      </c>
      <c r="F75" t="inlineStr">
        <is>
          <t>STOCKHOLMS LÄN</t>
        </is>
      </c>
      <c r="G75" t="inlineStr">
        <is>
          <t>ÖSTERÅKER</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16738-2022</t>
        </is>
      </c>
      <c r="B76" t="inlineStr">
        <is>
          <t>avverkningsanmälan</t>
        </is>
      </c>
      <c r="C76" t="inlineStr">
        <is>
          <t>Avverkning för annat ändamål</t>
        </is>
      </c>
      <c r="D76" s="1" t="n">
        <v>44673</v>
      </c>
      <c r="E76" s="1" t="n">
        <v>46317</v>
      </c>
      <c r="F76" t="inlineStr">
        <is>
          <t>STOCKHOLMS LÄN</t>
        </is>
      </c>
      <c r="G76" t="inlineStr">
        <is>
          <t>ÖSTERÅKER</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23198-2026</t>
        </is>
      </c>
      <c r="B77" t="inlineStr">
        <is>
          <t>avverkningsanmälan</t>
        </is>
      </c>
      <c r="C77" t="inlineStr">
        <is>
          <t>Avverkning för annat ändamål</t>
        </is>
      </c>
      <c r="D77" s="1" t="n">
        <v>46161</v>
      </c>
      <c r="E77" s="1" t="n">
        <v>46317</v>
      </c>
      <c r="F77" t="inlineStr">
        <is>
          <t>STOCKHOLMS LÄN</t>
        </is>
      </c>
      <c r="G77" t="inlineStr">
        <is>
          <t>ÖSTERÅKER</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9865-2025</t>
        </is>
      </c>
      <c r="B78" t="inlineStr">
        <is>
          <t>avverkningsanmälan</t>
        </is>
      </c>
      <c r="C78" t="inlineStr">
        <is>
          <t>Föryngringsavverkning</t>
        </is>
      </c>
      <c r="D78" s="1" t="n">
        <v>45716</v>
      </c>
      <c r="E78" s="1" t="n">
        <v>46317</v>
      </c>
      <c r="F78" t="inlineStr">
        <is>
          <t>STOCKHOLMS LÄN</t>
        </is>
      </c>
      <c r="G78" t="inlineStr">
        <is>
          <t>ÖSTERÅKER</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59379-2022</t>
        </is>
      </c>
      <c r="B79" t="inlineStr">
        <is>
          <t>avverkningsanmälan</t>
        </is>
      </c>
      <c r="C79" t="inlineStr">
        <is>
          <t>Föryngringsavverkning</t>
        </is>
      </c>
      <c r="D79" s="1" t="n">
        <v>44905</v>
      </c>
      <c r="E79" s="1" t="n">
        <v>46317</v>
      </c>
      <c r="F79" t="inlineStr">
        <is>
          <t>STOCKHOLMS LÄN</t>
        </is>
      </c>
      <c r="G79" t="inlineStr">
        <is>
          <t>ÖSTERÅKER</t>
        </is>
      </c>
      <c r="H79" t="inlineStr">
        <is>
          <t>Kommuner</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10185-2025</t>
        </is>
      </c>
      <c r="B80" t="inlineStr">
        <is>
          <t>avverkningsanmälan</t>
        </is>
      </c>
      <c r="C80" t="inlineStr">
        <is>
          <t>Föryngringsavverkning</t>
        </is>
      </c>
      <c r="D80" s="1" t="n">
        <v>45719</v>
      </c>
      <c r="E80" s="1" t="n">
        <v>46317</v>
      </c>
      <c r="F80" t="inlineStr">
        <is>
          <t>STOCKHOLMS LÄN</t>
        </is>
      </c>
      <c r="G80" t="inlineStr">
        <is>
          <t>ÖSTERÅKER</t>
        </is>
      </c>
      <c r="I80" t="n">
        <v>4.1</v>
      </c>
      <c r="J80" t="n">
        <v>0</v>
      </c>
      <c r="K80" t="n">
        <v>0</v>
      </c>
      <c r="L80" t="n">
        <v>0</v>
      </c>
      <c r="M80" t="n">
        <v>0</v>
      </c>
      <c r="N80" t="n">
        <v>0</v>
      </c>
      <c r="O80" t="n">
        <v>0</v>
      </c>
      <c r="P80" t="n">
        <v>0</v>
      </c>
      <c r="Q80" t="n">
        <v>0</v>
      </c>
      <c r="R80" t="n">
        <v>0</v>
      </c>
      <c r="S80" t="n">
        <v>0</v>
      </c>
      <c r="T80" t="n">
        <v>0</v>
      </c>
      <c r="U80" t="n">
        <v>0</v>
      </c>
      <c r="V80" s="2" t="inlineStr"/>
    </row>
    <row r="81" ht="15" customHeight="1">
      <c r="A81" t="inlineStr">
        <is>
          <t>A 26249-2026</t>
        </is>
      </c>
      <c r="B81" t="inlineStr">
        <is>
          <t>avverkningsanmälan</t>
        </is>
      </c>
      <c r="C81" t="inlineStr">
        <is>
          <t>Avverkning för annat ändamål</t>
        </is>
      </c>
      <c r="D81" s="1" t="n">
        <v>46182</v>
      </c>
      <c r="E81" s="1" t="n">
        <v>46317</v>
      </c>
      <c r="F81" t="inlineStr">
        <is>
          <t>STOCKHOLMS LÄN</t>
        </is>
      </c>
      <c r="G81" t="inlineStr">
        <is>
          <t>ÖSTERÅKER</t>
        </is>
      </c>
      <c r="I81" t="n">
        <v>4.9</v>
      </c>
      <c r="J81" t="n">
        <v>0</v>
      </c>
      <c r="K81" t="n">
        <v>0</v>
      </c>
      <c r="L81" t="n">
        <v>0</v>
      </c>
      <c r="M81" t="n">
        <v>0</v>
      </c>
      <c r="N81" t="n">
        <v>0</v>
      </c>
      <c r="O81" t="n">
        <v>0</v>
      </c>
      <c r="P81" t="n">
        <v>0</v>
      </c>
      <c r="Q81" t="n">
        <v>0</v>
      </c>
      <c r="R81" t="n">
        <v>0</v>
      </c>
      <c r="S81" t="n">
        <v>0</v>
      </c>
      <c r="T81" t="n">
        <v>0</v>
      </c>
      <c r="U81" t="n">
        <v>0</v>
      </c>
      <c r="V81" s="2" t="inlineStr"/>
    </row>
    <row r="82" ht="15" customHeight="1">
      <c r="A82" t="inlineStr">
        <is>
          <t>A 16728-2022</t>
        </is>
      </c>
      <c r="B82" t="inlineStr">
        <is>
          <t>avverkningsanmälan</t>
        </is>
      </c>
      <c r="C82" t="inlineStr">
        <is>
          <t>Föryngringsavverkning</t>
        </is>
      </c>
      <c r="D82" s="1" t="n">
        <v>44673</v>
      </c>
      <c r="E82" s="1" t="n">
        <v>46317</v>
      </c>
      <c r="F82" t="inlineStr">
        <is>
          <t>STOCKHOLMS LÄN</t>
        </is>
      </c>
      <c r="G82" t="inlineStr">
        <is>
          <t>ÖSTERÅKER</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14776-2024</t>
        </is>
      </c>
      <c r="B83" t="inlineStr">
        <is>
          <t>avverkningsanmälan</t>
        </is>
      </c>
      <c r="C83" t="inlineStr">
        <is>
          <t>Föryngringsavverkning</t>
        </is>
      </c>
      <c r="D83" s="1" t="n">
        <v>45397</v>
      </c>
      <c r="E83" s="1" t="n">
        <v>46317</v>
      </c>
      <c r="F83" t="inlineStr">
        <is>
          <t>STOCKHOLMS LÄN</t>
        </is>
      </c>
      <c r="G83" t="inlineStr">
        <is>
          <t>ÖSTERÅKER</t>
        </is>
      </c>
      <c r="I83" t="n">
        <v>13.6</v>
      </c>
      <c r="J83" t="n">
        <v>0</v>
      </c>
      <c r="K83" t="n">
        <v>0</v>
      </c>
      <c r="L83" t="n">
        <v>0</v>
      </c>
      <c r="M83" t="n">
        <v>0</v>
      </c>
      <c r="N83" t="n">
        <v>0</v>
      </c>
      <c r="O83" t="n">
        <v>0</v>
      </c>
      <c r="P83" t="n">
        <v>0</v>
      </c>
      <c r="Q83" t="n">
        <v>0</v>
      </c>
      <c r="R83" t="n">
        <v>0</v>
      </c>
      <c r="S83" t="n">
        <v>0</v>
      </c>
      <c r="T83" t="n">
        <v>0</v>
      </c>
      <c r="U83" t="n">
        <v>0</v>
      </c>
      <c r="V83" s="2" t="inlineStr"/>
    </row>
    <row r="84" ht="15" customHeight="1">
      <c r="A84" t="inlineStr">
        <is>
          <t>A 61370-2022</t>
        </is>
      </c>
      <c r="B84" t="inlineStr">
        <is>
          <t>avverkningsanmälan</t>
        </is>
      </c>
      <c r="C84" t="inlineStr">
        <is>
          <t>Föryngringsavverkning</t>
        </is>
      </c>
      <c r="D84" s="1" t="n">
        <v>44915</v>
      </c>
      <c r="E84" s="1" t="n">
        <v>46317</v>
      </c>
      <c r="F84" t="inlineStr">
        <is>
          <t>STOCKHOLMS LÄN</t>
        </is>
      </c>
      <c r="G84" t="inlineStr">
        <is>
          <t>ÖSTERÅKER</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29443-2026</t>
        </is>
      </c>
      <c r="B85" t="inlineStr">
        <is>
          <t>avverkningsanmälan</t>
        </is>
      </c>
      <c r="C85" t="inlineStr">
        <is>
          <t>Föryngringsavverkning</t>
        </is>
      </c>
      <c r="D85" s="1" t="n">
        <v>46203</v>
      </c>
      <c r="E85" s="1" t="n">
        <v>46317</v>
      </c>
      <c r="F85" t="inlineStr">
        <is>
          <t>STOCKHOLMS LÄN</t>
        </is>
      </c>
      <c r="G85" t="inlineStr">
        <is>
          <t>ÖSTERÅKER</t>
        </is>
      </c>
      <c r="I85" t="n">
        <v>13.8</v>
      </c>
      <c r="J85" t="n">
        <v>0</v>
      </c>
      <c r="K85" t="n">
        <v>0</v>
      </c>
      <c r="L85" t="n">
        <v>0</v>
      </c>
      <c r="M85" t="n">
        <v>0</v>
      </c>
      <c r="N85" t="n">
        <v>0</v>
      </c>
      <c r="O85" t="n">
        <v>0</v>
      </c>
      <c r="P85" t="n">
        <v>0</v>
      </c>
      <c r="Q85" t="n">
        <v>0</v>
      </c>
      <c r="R85" t="n">
        <v>0</v>
      </c>
      <c r="S85" t="n">
        <v>0</v>
      </c>
      <c r="T85" t="n">
        <v>0</v>
      </c>
      <c r="U85" t="n">
        <v>0</v>
      </c>
      <c r="V85" s="2" t="inlineStr"/>
    </row>
    <row r="86" ht="15" customHeight="1">
      <c r="A86" t="inlineStr">
        <is>
          <t>A 3817-2023</t>
        </is>
      </c>
      <c r="B86" t="inlineStr">
        <is>
          <t>avverkningsanmälan</t>
        </is>
      </c>
      <c r="C86" t="inlineStr">
        <is>
          <t>Föryngringsavverkning</t>
        </is>
      </c>
      <c r="D86" s="1" t="n">
        <v>44951</v>
      </c>
      <c r="E86" s="1" t="n">
        <v>46317</v>
      </c>
      <c r="F86" t="inlineStr">
        <is>
          <t>STOCKHOLMS LÄN</t>
        </is>
      </c>
      <c r="G86" t="inlineStr">
        <is>
          <t>ÖSTERÅKER</t>
        </is>
      </c>
      <c r="H86" t="inlineStr">
        <is>
          <t>Kommuner</t>
        </is>
      </c>
      <c r="I86" t="n">
        <v>4.7</v>
      </c>
      <c r="J86" t="n">
        <v>0</v>
      </c>
      <c r="K86" t="n">
        <v>0</v>
      </c>
      <c r="L86" t="n">
        <v>0</v>
      </c>
      <c r="M86" t="n">
        <v>0</v>
      </c>
      <c r="N86" t="n">
        <v>0</v>
      </c>
      <c r="O86" t="n">
        <v>0</v>
      </c>
      <c r="P86" t="n">
        <v>0</v>
      </c>
      <c r="Q86" t="n">
        <v>0</v>
      </c>
      <c r="R86" t="n">
        <v>0</v>
      </c>
      <c r="S86" t="n">
        <v>0</v>
      </c>
      <c r="T86" t="n">
        <v>0</v>
      </c>
      <c r="U86" t="n">
        <v>0</v>
      </c>
      <c r="V86" s="2" t="inlineStr"/>
    </row>
    <row r="87" ht="15" customHeight="1">
      <c r="A87" t="inlineStr">
        <is>
          <t>A 3828-2023</t>
        </is>
      </c>
      <c r="B87" t="inlineStr">
        <is>
          <t>avverkningsanmälan</t>
        </is>
      </c>
      <c r="C87" t="inlineStr">
        <is>
          <t>Föryngringsavverkning</t>
        </is>
      </c>
      <c r="D87" s="1" t="n">
        <v>44951</v>
      </c>
      <c r="E87" s="1" t="n">
        <v>46317</v>
      </c>
      <c r="F87" t="inlineStr">
        <is>
          <t>STOCKHOLMS LÄN</t>
        </is>
      </c>
      <c r="G87" t="inlineStr">
        <is>
          <t>ÖSTERÅKER</t>
        </is>
      </c>
      <c r="H87" t="inlineStr">
        <is>
          <t>Kommuner</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30599-2026</t>
        </is>
      </c>
      <c r="B88" t="inlineStr">
        <is>
          <t>avverkningsanmälan</t>
        </is>
      </c>
      <c r="C88" t="inlineStr">
        <is>
          <t>Föryngringsavverkning</t>
        </is>
      </c>
      <c r="D88" s="1" t="n">
        <v>46210</v>
      </c>
      <c r="E88" s="1" t="n">
        <v>46317</v>
      </c>
      <c r="F88" t="inlineStr">
        <is>
          <t>STOCKHOLMS LÄN</t>
        </is>
      </c>
      <c r="G88" t="inlineStr">
        <is>
          <t>ÖSTERÅKER</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24499-2023</t>
        </is>
      </c>
      <c r="B89" t="inlineStr">
        <is>
          <t>avverkningsanmälan</t>
        </is>
      </c>
      <c r="C89" t="inlineStr">
        <is>
          <t>Föryngringsavverkning</t>
        </is>
      </c>
      <c r="D89" s="1" t="n">
        <v>45082</v>
      </c>
      <c r="E89" s="1" t="n">
        <v>46317</v>
      </c>
      <c r="F89" t="inlineStr">
        <is>
          <t>STOCKHOLMS LÄN</t>
        </is>
      </c>
      <c r="G89" t="inlineStr">
        <is>
          <t>ÖSTERÅKER</t>
        </is>
      </c>
      <c r="I89" t="n">
        <v>0.1</v>
      </c>
      <c r="J89" t="n">
        <v>0</v>
      </c>
      <c r="K89" t="n">
        <v>0</v>
      </c>
      <c r="L89" t="n">
        <v>0</v>
      </c>
      <c r="M89" t="n">
        <v>0</v>
      </c>
      <c r="N89" t="n">
        <v>0</v>
      </c>
      <c r="O89" t="n">
        <v>0</v>
      </c>
      <c r="P89" t="n">
        <v>0</v>
      </c>
      <c r="Q89" t="n">
        <v>0</v>
      </c>
      <c r="R89" t="n">
        <v>0</v>
      </c>
      <c r="S89" t="n">
        <v>0</v>
      </c>
      <c r="T89" t="n">
        <v>0</v>
      </c>
      <c r="U89" t="n">
        <v>0</v>
      </c>
      <c r="V89" s="2" t="inlineStr"/>
    </row>
    <row r="90" ht="15" customHeight="1">
      <c r="A90" t="inlineStr">
        <is>
          <t>A 31149-2026</t>
        </is>
      </c>
      <c r="B90" t="inlineStr">
        <is>
          <t>avverkningsanmälan</t>
        </is>
      </c>
      <c r="C90" t="inlineStr">
        <is>
          <t>Föryngringsavverkning</t>
        </is>
      </c>
      <c r="D90" s="1" t="n">
        <v>46216</v>
      </c>
      <c r="E90" s="1" t="n">
        <v>46317</v>
      </c>
      <c r="F90" t="inlineStr">
        <is>
          <t>STOCKHOLMS LÄN</t>
        </is>
      </c>
      <c r="G90" t="inlineStr">
        <is>
          <t>ÖSTERÅKER</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31156-2026</t>
        </is>
      </c>
      <c r="B91" t="inlineStr">
        <is>
          <t>avverkningsanmälan</t>
        </is>
      </c>
      <c r="C91" t="inlineStr">
        <is>
          <t>Föryngringsavverkning</t>
        </is>
      </c>
      <c r="D91" s="1" t="n">
        <v>46216</v>
      </c>
      <c r="E91" s="1" t="n">
        <v>46317</v>
      </c>
      <c r="F91" t="inlineStr">
        <is>
          <t>STOCKHOLMS LÄN</t>
        </is>
      </c>
      <c r="G91" t="inlineStr">
        <is>
          <t>ÖSTERÅKER</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31146-2026</t>
        </is>
      </c>
      <c r="B92" t="inlineStr">
        <is>
          <t>avverkningsanmälan</t>
        </is>
      </c>
      <c r="C92" t="inlineStr">
        <is>
          <t>Föryngringsavverkning</t>
        </is>
      </c>
      <c r="D92" s="1" t="n">
        <v>46216</v>
      </c>
      <c r="E92" s="1" t="n">
        <v>46317</v>
      </c>
      <c r="F92" t="inlineStr">
        <is>
          <t>STOCKHOLMS LÄN</t>
        </is>
      </c>
      <c r="G92" t="inlineStr">
        <is>
          <t>ÖSTERÅKER</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31154-2026</t>
        </is>
      </c>
      <c r="B93" t="inlineStr">
        <is>
          <t>avverkningsanmälan</t>
        </is>
      </c>
      <c r="C93" t="inlineStr">
        <is>
          <t>Föryngringsavverkning</t>
        </is>
      </c>
      <c r="D93" s="1" t="n">
        <v>46216</v>
      </c>
      <c r="E93" s="1" t="n">
        <v>46317</v>
      </c>
      <c r="F93" t="inlineStr">
        <is>
          <t>STOCKHOLMS LÄN</t>
        </is>
      </c>
      <c r="G93" t="inlineStr">
        <is>
          <t>ÖSTERÅKER</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17196-2022</t>
        </is>
      </c>
      <c r="B94" t="inlineStr">
        <is>
          <t>avverkningsanmälan</t>
        </is>
      </c>
      <c r="C94" t="inlineStr">
        <is>
          <t>Föryngringsavverkning</t>
        </is>
      </c>
      <c r="D94" s="1" t="n">
        <v>44677</v>
      </c>
      <c r="E94" s="1" t="n">
        <v>46317</v>
      </c>
      <c r="F94" t="inlineStr">
        <is>
          <t>STOCKHOLMS LÄN</t>
        </is>
      </c>
      <c r="G94" t="inlineStr">
        <is>
          <t>ÖSTERÅKER</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1603-2023</t>
        </is>
      </c>
      <c r="B95" t="inlineStr">
        <is>
          <t>avverkningsanmälan</t>
        </is>
      </c>
      <c r="C95" t="inlineStr">
        <is>
          <t>Föryngringsavverkning</t>
        </is>
      </c>
      <c r="D95" s="1" t="n">
        <v>44937</v>
      </c>
      <c r="E95" s="1" t="n">
        <v>46317</v>
      </c>
      <c r="F95" t="inlineStr">
        <is>
          <t>STOCKHOLMS LÄN</t>
        </is>
      </c>
      <c r="G95" t="inlineStr">
        <is>
          <t>ÖSTERÅKER</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1605-2023</t>
        </is>
      </c>
      <c r="B96" t="inlineStr">
        <is>
          <t>avverkningsanmälan</t>
        </is>
      </c>
      <c r="C96" t="inlineStr">
        <is>
          <t>Föryngringsavverkning</t>
        </is>
      </c>
      <c r="D96" s="1" t="n">
        <v>44937</v>
      </c>
      <c r="E96" s="1" t="n">
        <v>46317</v>
      </c>
      <c r="F96" t="inlineStr">
        <is>
          <t>STOCKHOLMS LÄN</t>
        </is>
      </c>
      <c r="G96" t="inlineStr">
        <is>
          <t>ÖSTERÅKER</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5286-2025</t>
        </is>
      </c>
      <c r="B97" t="inlineStr">
        <is>
          <t>avverkningsanmälan</t>
        </is>
      </c>
      <c r="C97" t="inlineStr">
        <is>
          <t>Föryngringsavverkning</t>
        </is>
      </c>
      <c r="D97" s="1" t="n">
        <v>45692</v>
      </c>
      <c r="E97" s="1" t="n">
        <v>46317</v>
      </c>
      <c r="F97" t="inlineStr">
        <is>
          <t>STOCKHOLMS LÄN</t>
        </is>
      </c>
      <c r="G97" t="inlineStr">
        <is>
          <t>ÖSTERÅKER</t>
        </is>
      </c>
      <c r="I97" t="n">
        <v>11.2</v>
      </c>
      <c r="J97" t="n">
        <v>0</v>
      </c>
      <c r="K97" t="n">
        <v>0</v>
      </c>
      <c r="L97" t="n">
        <v>0</v>
      </c>
      <c r="M97" t="n">
        <v>0</v>
      </c>
      <c r="N97" t="n">
        <v>0</v>
      </c>
      <c r="O97" t="n">
        <v>0</v>
      </c>
      <c r="P97" t="n">
        <v>0</v>
      </c>
      <c r="Q97" t="n">
        <v>0</v>
      </c>
      <c r="R97" t="n">
        <v>0</v>
      </c>
      <c r="S97" t="n">
        <v>0</v>
      </c>
      <c r="T97" t="n">
        <v>0</v>
      </c>
      <c r="U97" t="n">
        <v>0</v>
      </c>
      <c r="V97" s="2" t="inlineStr"/>
    </row>
    <row r="98" ht="15" customHeight="1">
      <c r="A98" t="inlineStr">
        <is>
          <t>A 1136-2023</t>
        </is>
      </c>
      <c r="B98" t="inlineStr">
        <is>
          <t>avverkningsanmälan</t>
        </is>
      </c>
      <c r="C98" t="inlineStr">
        <is>
          <t>Avverkning för annat ändamål</t>
        </is>
      </c>
      <c r="D98" s="1" t="n">
        <v>44935</v>
      </c>
      <c r="E98" s="1" t="n">
        <v>46317</v>
      </c>
      <c r="F98" t="inlineStr">
        <is>
          <t>STOCKHOLMS LÄN</t>
        </is>
      </c>
      <c r="G98" t="inlineStr">
        <is>
          <t>ÖSTERÅKER</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39394-2023</t>
        </is>
      </c>
      <c r="B99" t="inlineStr">
        <is>
          <t>avverkningsanmälan</t>
        </is>
      </c>
      <c r="C99" t="inlineStr">
        <is>
          <t>Föryngringsavverkning</t>
        </is>
      </c>
      <c r="D99" s="1" t="n">
        <v>45166</v>
      </c>
      <c r="E99" s="1" t="n">
        <v>46317</v>
      </c>
      <c r="F99" t="inlineStr">
        <is>
          <t>STOCKHOLMS LÄN</t>
        </is>
      </c>
      <c r="G99" t="inlineStr">
        <is>
          <t>ÖSTERÅKER</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40142-2026</t>
        </is>
      </c>
      <c r="B100" t="inlineStr">
        <is>
          <t>avverkningsanmälan</t>
        </is>
      </c>
      <c r="C100" t="inlineStr">
        <is>
          <t>Föryngringsavverkning</t>
        </is>
      </c>
      <c r="D100" s="1" t="n">
        <v>46293</v>
      </c>
      <c r="E100" s="1" t="n">
        <v>46317</v>
      </c>
      <c r="F100" t="inlineStr">
        <is>
          <t>STOCKHOLMS LÄN</t>
        </is>
      </c>
      <c r="G100" t="inlineStr">
        <is>
          <t>ÖSTERÅKER</t>
        </is>
      </c>
      <c r="I100" t="n">
        <v>5.6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845-2024</t>
        </is>
      </c>
      <c r="B101" t="inlineStr">
        <is>
          <t>avverkningsanmälan</t>
        </is>
      </c>
      <c r="C101" t="inlineStr">
        <is>
          <t>Föryngringsavverkning</t>
        </is>
      </c>
      <c r="D101" s="1" t="n">
        <v>45300</v>
      </c>
      <c r="E101" s="1" t="n">
        <v>46317</v>
      </c>
      <c r="F101" t="inlineStr">
        <is>
          <t>STOCKHOLMS LÄN</t>
        </is>
      </c>
      <c r="G101" t="inlineStr">
        <is>
          <t>ÖSTERÅKER</t>
        </is>
      </c>
      <c r="I101" t="n">
        <v>10.1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37037-2023</t>
        </is>
      </c>
      <c r="B102" t="inlineStr">
        <is>
          <t>avverkningsanmälan</t>
        </is>
      </c>
      <c r="C102" t="inlineStr">
        <is>
          <t>Föryngringsavverkning</t>
        </is>
      </c>
      <c r="D102" s="1" t="n">
        <v>45155</v>
      </c>
      <c r="E102" s="1" t="n">
        <v>46317</v>
      </c>
      <c r="F102" t="inlineStr">
        <is>
          <t>STOCKHOLMS LÄN</t>
        </is>
      </c>
      <c r="G102" t="inlineStr">
        <is>
          <t>ÖSTERÅKER</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41772-2026</t>
        </is>
      </c>
      <c r="B103" t="inlineStr">
        <is>
          <t>avverkningsanmälan</t>
        </is>
      </c>
      <c r="C103" t="inlineStr">
        <is>
          <t>Föryngringsavverkning</t>
        </is>
      </c>
      <c r="D103" s="1" t="n">
        <v>46302</v>
      </c>
      <c r="E103" s="1" t="n">
        <v>46317</v>
      </c>
      <c r="F103" t="inlineStr">
        <is>
          <t>STOCKHOLMS LÄN</t>
        </is>
      </c>
      <c r="G103" t="inlineStr">
        <is>
          <t>ÖSTERÅKER</t>
        </is>
      </c>
      <c r="H103" t="inlineStr">
        <is>
          <t>Övriga Aktiebolag</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104-2024</t>
        </is>
      </c>
      <c r="B104" t="inlineStr">
        <is>
          <t>samrådsanmälan</t>
        </is>
      </c>
      <c r="C104" t="inlineStr">
        <is>
          <t>Annan skogsbruksåtgärd</t>
        </is>
      </c>
      <c r="D104" s="1" t="n">
        <v>45302</v>
      </c>
      <c r="E104" s="1" t="n">
        <v>46317</v>
      </c>
      <c r="F104" t="inlineStr">
        <is>
          <t>STOCKHOLMS LÄN</t>
        </is>
      </c>
      <c r="G104" t="inlineStr">
        <is>
          <t>ÖSTERÅKER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156-2024</t>
        </is>
      </c>
      <c r="B105" t="inlineStr">
        <is>
          <t>samrådsanmälan</t>
        </is>
      </c>
      <c r="C105" t="inlineStr">
        <is>
          <t>Annan skogsbruksåtgärd</t>
        </is>
      </c>
      <c r="D105" s="1" t="n">
        <v>45309</v>
      </c>
      <c r="E105" s="1" t="n">
        <v>46317</v>
      </c>
      <c r="F105" t="inlineStr">
        <is>
          <t>STOCKHOLMS LÄN</t>
        </is>
      </c>
      <c r="G105" t="inlineStr">
        <is>
          <t>ÖSTERÅKER</t>
        </is>
      </c>
      <c r="I105" t="n">
        <v>7.2</v>
      </c>
      <c r="J105" t="n">
        <v>0</v>
      </c>
      <c r="K105" t="n">
        <v>0</v>
      </c>
      <c r="L105" t="n">
        <v>0</v>
      </c>
      <c r="M105" t="n">
        <v>0</v>
      </c>
      <c r="N105" t="n">
        <v>0</v>
      </c>
      <c r="O105" t="n">
        <v>0</v>
      </c>
      <c r="P105" t="n">
        <v>0</v>
      </c>
      <c r="Q105" t="n">
        <v>0</v>
      </c>
      <c r="R105" t="n">
        <v>0</v>
      </c>
      <c r="S105" t="n">
        <v>0</v>
      </c>
      <c r="T105" t="n">
        <v>0</v>
      </c>
      <c r="U105" t="n">
        <v>0</v>
      </c>
      <c r="V105" s="2" t="inlineStr"/>
    </row>
    <row r="106">
      <c r="A106" t="inlineStr">
        <is>
          <t>S 2021-2026</t>
        </is>
      </c>
      <c r="B106" t="inlineStr">
        <is>
          <t>samrådsanmälan</t>
        </is>
      </c>
      <c r="C106" t="inlineStr">
        <is>
          <t>Annan skogsbruksåtgärd</t>
        </is>
      </c>
      <c r="D106" s="1" t="n">
        <v>46210</v>
      </c>
      <c r="E106" s="1" t="n">
        <v>46317</v>
      </c>
      <c r="F106" t="inlineStr">
        <is>
          <t>STOCKHOLMS LÄN</t>
        </is>
      </c>
      <c r="G106" t="inlineStr">
        <is>
          <t>ÖSTERÅKER</t>
        </is>
      </c>
      <c r="I106" t="n">
        <v>2.6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2026-10-22T01:53:50Z</dcterms:created>
  <dcterms:modified xmlns:dcterms="http://purl.org/dc/terms/" xmlns:xsi="http://www.w3.org/2001/XMLSchema-instance" xsi:type="dcterms:W3CDTF">2026-10-22T01:53:50Z</dcterms:modified>
</cp:coreProperties>
</file>