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46076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46076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46076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46076</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46076</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46076</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46076</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46076</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46076</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46076</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46076</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46076</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46076</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46076</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46076</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46076</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46076</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46076</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46076</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31716-2025</t>
        </is>
      </c>
      <c r="B21" s="1" t="n">
        <v>45834</v>
      </c>
      <c r="C21" s="1" t="n">
        <v>46076</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46076</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46076</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46076</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27921-2025</t>
        </is>
      </c>
      <c r="B25" s="1" t="n">
        <v>45817.4846875</v>
      </c>
      <c r="C25" s="1" t="n">
        <v>46076</v>
      </c>
      <c r="D25" t="inlineStr">
        <is>
          <t>STOCKHOLMS LÄN</t>
        </is>
      </c>
      <c r="E25" t="inlineStr">
        <is>
          <t>ÖSTERÅKER</t>
        </is>
      </c>
      <c r="G25" t="n">
        <v>11.8</v>
      </c>
      <c r="H25" t="n">
        <v>1</v>
      </c>
      <c r="I25" t="n">
        <v>0</v>
      </c>
      <c r="J25" t="n">
        <v>0</v>
      </c>
      <c r="K25" t="n">
        <v>0</v>
      </c>
      <c r="L25" t="n">
        <v>0</v>
      </c>
      <c r="M25" t="n">
        <v>0</v>
      </c>
      <c r="N25" t="n">
        <v>0</v>
      </c>
      <c r="O25" t="n">
        <v>0</v>
      </c>
      <c r="P25" t="n">
        <v>0</v>
      </c>
      <c r="Q25" t="n">
        <v>1</v>
      </c>
      <c r="R25" s="2" t="inlineStr">
        <is>
          <t>Mindre vattensalamander</t>
        </is>
      </c>
      <c r="S25">
        <f>HYPERLINK("https://klasma.github.io/Logging_0117/artfynd/A 27921-2025 artfynd.xlsx", "A 27921-2025")</f>
        <v/>
      </c>
      <c r="T25">
        <f>HYPERLINK("https://klasma.github.io/Logging_0117/kartor/A 27921-2025 karta.png", "A 27921-2025")</f>
        <v/>
      </c>
      <c r="V25">
        <f>HYPERLINK("https://klasma.github.io/Logging_0117/klagomål/A 27921-2025 FSC-klagomål.docx", "A 27921-2025")</f>
        <v/>
      </c>
      <c r="W25">
        <f>HYPERLINK("https://klasma.github.io/Logging_0117/klagomålsmail/A 27921-2025 FSC-klagomål mail.docx", "A 27921-2025")</f>
        <v/>
      </c>
      <c r="X25">
        <f>HYPERLINK("https://klasma.github.io/Logging_0117/tillsyn/A 27921-2025 tillsynsbegäran.docx", "A 27921-2025")</f>
        <v/>
      </c>
      <c r="Y25">
        <f>HYPERLINK("https://klasma.github.io/Logging_0117/tillsynsmail/A 27921-2025 tillsynsbegäran mail.docx", "A 27921-2025")</f>
        <v/>
      </c>
    </row>
    <row r="26" ht="15" customHeight="1">
      <c r="A26" t="inlineStr">
        <is>
          <t>A 848-2022</t>
        </is>
      </c>
      <c r="B26" s="1" t="n">
        <v>44569</v>
      </c>
      <c r="C26" s="1" t="n">
        <v>46076</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46076</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46076</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46076</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46076</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46076</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46076</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46076</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46076</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46076</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46076</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46076</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46076</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46076</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46076</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46076</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46076</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46076</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46076</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46076</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46076</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46076</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46076</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46076</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46076</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46076</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46076</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464-2022</t>
        </is>
      </c>
      <c r="B53" s="1" t="n">
        <v>44565</v>
      </c>
      <c r="C53" s="1" t="n">
        <v>46076</v>
      </c>
      <c r="D53" t="inlineStr">
        <is>
          <t>STOCKHOLMS LÄN</t>
        </is>
      </c>
      <c r="E53" t="inlineStr">
        <is>
          <t>ÖSTERÅKER</t>
        </is>
      </c>
      <c r="F53" t="inlineStr">
        <is>
          <t>Övriga Aktiebolag</t>
        </is>
      </c>
      <c r="G53" t="n">
        <v>7.6</v>
      </c>
      <c r="H53" t="n">
        <v>0</v>
      </c>
      <c r="I53" t="n">
        <v>0</v>
      </c>
      <c r="J53" t="n">
        <v>0</v>
      </c>
      <c r="K53" t="n">
        <v>0</v>
      </c>
      <c r="L53" t="n">
        <v>0</v>
      </c>
      <c r="M53" t="n">
        <v>0</v>
      </c>
      <c r="N53" t="n">
        <v>0</v>
      </c>
      <c r="O53" t="n">
        <v>0</v>
      </c>
      <c r="P53" t="n">
        <v>0</v>
      </c>
      <c r="Q53" t="n">
        <v>0</v>
      </c>
      <c r="R53" s="2" t="inlineStr"/>
    </row>
    <row r="54" ht="15" customHeight="1">
      <c r="A54" t="inlineStr">
        <is>
          <t>A 17353-2025</t>
        </is>
      </c>
      <c r="B54" s="1" t="n">
        <v>45756</v>
      </c>
      <c r="C54" s="1" t="n">
        <v>46076</v>
      </c>
      <c r="D54" t="inlineStr">
        <is>
          <t>STOCKHOLMS LÄN</t>
        </is>
      </c>
      <c r="E54" t="inlineStr">
        <is>
          <t>ÖSTERÅKER</t>
        </is>
      </c>
      <c r="F54" t="inlineStr">
        <is>
          <t>Övriga Aktiebolag</t>
        </is>
      </c>
      <c r="G54" t="n">
        <v>5.5</v>
      </c>
      <c r="H54" t="n">
        <v>0</v>
      </c>
      <c r="I54" t="n">
        <v>0</v>
      </c>
      <c r="J54" t="n">
        <v>0</v>
      </c>
      <c r="K54" t="n">
        <v>0</v>
      </c>
      <c r="L54" t="n">
        <v>0</v>
      </c>
      <c r="M54" t="n">
        <v>0</v>
      </c>
      <c r="N54" t="n">
        <v>0</v>
      </c>
      <c r="O54" t="n">
        <v>0</v>
      </c>
      <c r="P54" t="n">
        <v>0</v>
      </c>
      <c r="Q54" t="n">
        <v>0</v>
      </c>
      <c r="R54" s="2" t="inlineStr"/>
    </row>
    <row r="55" ht="15" customHeight="1">
      <c r="A55" t="inlineStr">
        <is>
          <t>A 61360-2022</t>
        </is>
      </c>
      <c r="B55" s="1" t="n">
        <v>44915</v>
      </c>
      <c r="C55" s="1" t="n">
        <v>46076</v>
      </c>
      <c r="D55" t="inlineStr">
        <is>
          <t>STOCKHOLMS LÄN</t>
        </is>
      </c>
      <c r="E55" t="inlineStr">
        <is>
          <t>ÖSTERÅKER</t>
        </is>
      </c>
      <c r="G55" t="n">
        <v>2.3</v>
      </c>
      <c r="H55" t="n">
        <v>0</v>
      </c>
      <c r="I55" t="n">
        <v>0</v>
      </c>
      <c r="J55" t="n">
        <v>0</v>
      </c>
      <c r="K55" t="n">
        <v>0</v>
      </c>
      <c r="L55" t="n">
        <v>0</v>
      </c>
      <c r="M55" t="n">
        <v>0</v>
      </c>
      <c r="N55" t="n">
        <v>0</v>
      </c>
      <c r="O55" t="n">
        <v>0</v>
      </c>
      <c r="P55" t="n">
        <v>0</v>
      </c>
      <c r="Q55" t="n">
        <v>0</v>
      </c>
      <c r="R55" s="2" t="inlineStr"/>
    </row>
    <row r="56" ht="15" customHeight="1">
      <c r="A56" t="inlineStr">
        <is>
          <t>A 61323-2022</t>
        </is>
      </c>
      <c r="B56" s="1" t="n">
        <v>44915</v>
      </c>
      <c r="C56" s="1" t="n">
        <v>46076</v>
      </c>
      <c r="D56" t="inlineStr">
        <is>
          <t>STOCKHOLMS LÄN</t>
        </is>
      </c>
      <c r="E56" t="inlineStr">
        <is>
          <t>ÖSTERÅKER</t>
        </is>
      </c>
      <c r="G56" t="n">
        <v>2.7</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46076</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31456-2025</t>
        </is>
      </c>
      <c r="B58" s="1" t="n">
        <v>45833.5402662037</v>
      </c>
      <c r="C58" s="1" t="n">
        <v>46076</v>
      </c>
      <c r="D58" t="inlineStr">
        <is>
          <t>STOCKHOLMS LÄN</t>
        </is>
      </c>
      <c r="E58" t="inlineStr">
        <is>
          <t>ÖSTERÅKER</t>
        </is>
      </c>
      <c r="G58" t="n">
        <v>4.3</v>
      </c>
      <c r="H58" t="n">
        <v>0</v>
      </c>
      <c r="I58" t="n">
        <v>0</v>
      </c>
      <c r="J58" t="n">
        <v>0</v>
      </c>
      <c r="K58" t="n">
        <v>0</v>
      </c>
      <c r="L58" t="n">
        <v>0</v>
      </c>
      <c r="M58" t="n">
        <v>0</v>
      </c>
      <c r="N58" t="n">
        <v>0</v>
      </c>
      <c r="O58" t="n">
        <v>0</v>
      </c>
      <c r="P58" t="n">
        <v>0</v>
      </c>
      <c r="Q58" t="n">
        <v>0</v>
      </c>
      <c r="R58" s="2" t="inlineStr"/>
    </row>
    <row r="59" ht="15" customHeight="1">
      <c r="A59" t="inlineStr">
        <is>
          <t>A 16728-2022</t>
        </is>
      </c>
      <c r="B59" s="1" t="n">
        <v>44673</v>
      </c>
      <c r="C59" s="1" t="n">
        <v>46076</v>
      </c>
      <c r="D59" t="inlineStr">
        <is>
          <t>STOCKHOLMS LÄN</t>
        </is>
      </c>
      <c r="E59" t="inlineStr">
        <is>
          <t>ÖSTERÅKER</t>
        </is>
      </c>
      <c r="G59" t="n">
        <v>0.9</v>
      </c>
      <c r="H59" t="n">
        <v>0</v>
      </c>
      <c r="I59" t="n">
        <v>0</v>
      </c>
      <c r="J59" t="n">
        <v>0</v>
      </c>
      <c r="K59" t="n">
        <v>0</v>
      </c>
      <c r="L59" t="n">
        <v>0</v>
      </c>
      <c r="M59" t="n">
        <v>0</v>
      </c>
      <c r="N59" t="n">
        <v>0</v>
      </c>
      <c r="O59" t="n">
        <v>0</v>
      </c>
      <c r="P59" t="n">
        <v>0</v>
      </c>
      <c r="Q59" t="n">
        <v>0</v>
      </c>
      <c r="R59" s="2" t="inlineStr"/>
    </row>
    <row r="60" ht="15" customHeight="1">
      <c r="A60" t="inlineStr">
        <is>
          <t>A 1136-2023</t>
        </is>
      </c>
      <c r="B60" s="1" t="n">
        <v>44935</v>
      </c>
      <c r="C60" s="1" t="n">
        <v>46076</v>
      </c>
      <c r="D60" t="inlineStr">
        <is>
          <t>STOCKHOLMS LÄN</t>
        </is>
      </c>
      <c r="E60" t="inlineStr">
        <is>
          <t>ÖSTERÅKER</t>
        </is>
      </c>
      <c r="G60" t="n">
        <v>0.5</v>
      </c>
      <c r="H60" t="n">
        <v>0</v>
      </c>
      <c r="I60" t="n">
        <v>0</v>
      </c>
      <c r="J60" t="n">
        <v>0</v>
      </c>
      <c r="K60" t="n">
        <v>0</v>
      </c>
      <c r="L60" t="n">
        <v>0</v>
      </c>
      <c r="M60" t="n">
        <v>0</v>
      </c>
      <c r="N60" t="n">
        <v>0</v>
      </c>
      <c r="O60" t="n">
        <v>0</v>
      </c>
      <c r="P60" t="n">
        <v>0</v>
      </c>
      <c r="Q60" t="n">
        <v>0</v>
      </c>
      <c r="R60" s="2" t="inlineStr"/>
    </row>
    <row r="61" ht="15" customHeight="1">
      <c r="A61" t="inlineStr">
        <is>
          <t>A 61710-2022</t>
        </is>
      </c>
      <c r="B61" s="1" t="n">
        <v>44917</v>
      </c>
      <c r="C61" s="1" t="n">
        <v>46076</v>
      </c>
      <c r="D61" t="inlineStr">
        <is>
          <t>STOCKHOLMS LÄN</t>
        </is>
      </c>
      <c r="E61" t="inlineStr">
        <is>
          <t>ÖSTERÅKER</t>
        </is>
      </c>
      <c r="G61" t="n">
        <v>6.2</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46076</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22528-2024</t>
        </is>
      </c>
      <c r="B63" s="1" t="n">
        <v>45447.44967592593</v>
      </c>
      <c r="C63" s="1" t="n">
        <v>46076</v>
      </c>
      <c r="D63" t="inlineStr">
        <is>
          <t>STOCKHOLMS LÄN</t>
        </is>
      </c>
      <c r="E63" t="inlineStr">
        <is>
          <t>ÖSTERÅKER</t>
        </is>
      </c>
      <c r="F63" t="inlineStr">
        <is>
          <t>Övriga Aktiebolag</t>
        </is>
      </c>
      <c r="G63" t="n">
        <v>1.4</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46076</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34034-2025</t>
        </is>
      </c>
      <c r="B65" s="1" t="n">
        <v>45842</v>
      </c>
      <c r="C65" s="1" t="n">
        <v>46076</v>
      </c>
      <c r="D65" t="inlineStr">
        <is>
          <t>STOCKHOLMS LÄN</t>
        </is>
      </c>
      <c r="E65" t="inlineStr">
        <is>
          <t>ÖSTERÅKER</t>
        </is>
      </c>
      <c r="F65" t="inlineStr">
        <is>
          <t>Övriga Aktiebolag</t>
        </is>
      </c>
      <c r="G65" t="n">
        <v>3.9</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46076</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28143-2024</t>
        </is>
      </c>
      <c r="B67" s="1" t="n">
        <v>45476</v>
      </c>
      <c r="C67" s="1" t="n">
        <v>46076</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35656-2025</t>
        </is>
      </c>
      <c r="B68" s="1" t="n">
        <v>45859</v>
      </c>
      <c r="C68" s="1" t="n">
        <v>46076</v>
      </c>
      <c r="D68" t="inlineStr">
        <is>
          <t>STOCKHOLMS LÄN</t>
        </is>
      </c>
      <c r="E68" t="inlineStr">
        <is>
          <t>ÖSTERÅKER</t>
        </is>
      </c>
      <c r="G68" t="n">
        <v>1.5</v>
      </c>
      <c r="H68" t="n">
        <v>0</v>
      </c>
      <c r="I68" t="n">
        <v>0</v>
      </c>
      <c r="J68" t="n">
        <v>0</v>
      </c>
      <c r="K68" t="n">
        <v>0</v>
      </c>
      <c r="L68" t="n">
        <v>0</v>
      </c>
      <c r="M68" t="n">
        <v>0</v>
      </c>
      <c r="N68" t="n">
        <v>0</v>
      </c>
      <c r="O68" t="n">
        <v>0</v>
      </c>
      <c r="P68" t="n">
        <v>0</v>
      </c>
      <c r="Q68" t="n">
        <v>0</v>
      </c>
      <c r="R68" s="2" t="inlineStr"/>
    </row>
    <row r="69" ht="15" customHeight="1">
      <c r="A69" t="inlineStr">
        <is>
          <t>A 35819-2025</t>
        </is>
      </c>
      <c r="B69" s="1" t="n">
        <v>45861</v>
      </c>
      <c r="C69" s="1" t="n">
        <v>46076</v>
      </c>
      <c r="D69" t="inlineStr">
        <is>
          <t>STOCKHOLMS LÄN</t>
        </is>
      </c>
      <c r="E69" t="inlineStr">
        <is>
          <t>ÖSTERÅKER</t>
        </is>
      </c>
      <c r="F69" t="inlineStr">
        <is>
          <t>Övriga Aktiebolag</t>
        </is>
      </c>
      <c r="G69" t="n">
        <v>8</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46076</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36614-2025</t>
        </is>
      </c>
      <c r="B71" s="1" t="n">
        <v>45870</v>
      </c>
      <c r="C71" s="1" t="n">
        <v>46076</v>
      </c>
      <c r="D71" t="inlineStr">
        <is>
          <t>STOCKHOLMS LÄN</t>
        </is>
      </c>
      <c r="E71" t="inlineStr">
        <is>
          <t>ÖSTERÅKER</t>
        </is>
      </c>
      <c r="G71" t="n">
        <v>1.7</v>
      </c>
      <c r="H71" t="n">
        <v>0</v>
      </c>
      <c r="I71" t="n">
        <v>0</v>
      </c>
      <c r="J71" t="n">
        <v>0</v>
      </c>
      <c r="K71" t="n">
        <v>0</v>
      </c>
      <c r="L71" t="n">
        <v>0</v>
      </c>
      <c r="M71" t="n">
        <v>0</v>
      </c>
      <c r="N71" t="n">
        <v>0</v>
      </c>
      <c r="O71" t="n">
        <v>0</v>
      </c>
      <c r="P71" t="n">
        <v>0</v>
      </c>
      <c r="Q71" t="n">
        <v>0</v>
      </c>
      <c r="R71" s="2" t="inlineStr"/>
    </row>
    <row r="72" ht="15" customHeight="1">
      <c r="A72" t="inlineStr">
        <is>
          <t>A 36612-2025</t>
        </is>
      </c>
      <c r="B72" s="1" t="n">
        <v>45870</v>
      </c>
      <c r="C72" s="1" t="n">
        <v>46076</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14776-2024</t>
        </is>
      </c>
      <c r="B73" s="1" t="n">
        <v>45397</v>
      </c>
      <c r="C73" s="1" t="n">
        <v>46076</v>
      </c>
      <c r="D73" t="inlineStr">
        <is>
          <t>STOCKHOLMS LÄN</t>
        </is>
      </c>
      <c r="E73" t="inlineStr">
        <is>
          <t>ÖSTERÅKER</t>
        </is>
      </c>
      <c r="G73" t="n">
        <v>13.6</v>
      </c>
      <c r="H73" t="n">
        <v>0</v>
      </c>
      <c r="I73" t="n">
        <v>0</v>
      </c>
      <c r="J73" t="n">
        <v>0</v>
      </c>
      <c r="K73" t="n">
        <v>0</v>
      </c>
      <c r="L73" t="n">
        <v>0</v>
      </c>
      <c r="M73" t="n">
        <v>0</v>
      </c>
      <c r="N73" t="n">
        <v>0</v>
      </c>
      <c r="O73" t="n">
        <v>0</v>
      </c>
      <c r="P73" t="n">
        <v>0</v>
      </c>
      <c r="Q73" t="n">
        <v>0</v>
      </c>
      <c r="R73" s="2" t="inlineStr"/>
    </row>
    <row r="74" ht="15" customHeight="1">
      <c r="A74" t="inlineStr">
        <is>
          <t>A 39394-2023</t>
        </is>
      </c>
      <c r="B74" s="1" t="n">
        <v>45166</v>
      </c>
      <c r="C74" s="1" t="n">
        <v>46076</v>
      </c>
      <c r="D74" t="inlineStr">
        <is>
          <t>STOCKHOLMS LÄN</t>
        </is>
      </c>
      <c r="E74" t="inlineStr">
        <is>
          <t>ÖSTERÅKER</t>
        </is>
      </c>
      <c r="G74" t="n">
        <v>0.4</v>
      </c>
      <c r="H74" t="n">
        <v>0</v>
      </c>
      <c r="I74" t="n">
        <v>0</v>
      </c>
      <c r="J74" t="n">
        <v>0</v>
      </c>
      <c r="K74" t="n">
        <v>0</v>
      </c>
      <c r="L74" t="n">
        <v>0</v>
      </c>
      <c r="M74" t="n">
        <v>0</v>
      </c>
      <c r="N74" t="n">
        <v>0</v>
      </c>
      <c r="O74" t="n">
        <v>0</v>
      </c>
      <c r="P74" t="n">
        <v>0</v>
      </c>
      <c r="Q74" t="n">
        <v>0</v>
      </c>
      <c r="R74" s="2" t="inlineStr"/>
    </row>
    <row r="75" ht="15" customHeight="1">
      <c r="A75" t="inlineStr">
        <is>
          <t>A 52220-2025</t>
        </is>
      </c>
      <c r="B75" s="1" t="n">
        <v>45953</v>
      </c>
      <c r="C75" s="1" t="n">
        <v>46076</v>
      </c>
      <c r="D75" t="inlineStr">
        <is>
          <t>STOCKHOLMS LÄN</t>
        </is>
      </c>
      <c r="E75" t="inlineStr">
        <is>
          <t>ÖSTERÅKER</t>
        </is>
      </c>
      <c r="G75" t="n">
        <v>0.8</v>
      </c>
      <c r="H75" t="n">
        <v>0</v>
      </c>
      <c r="I75" t="n">
        <v>0</v>
      </c>
      <c r="J75" t="n">
        <v>0</v>
      </c>
      <c r="K75" t="n">
        <v>0</v>
      </c>
      <c r="L75" t="n">
        <v>0</v>
      </c>
      <c r="M75" t="n">
        <v>0</v>
      </c>
      <c r="N75" t="n">
        <v>0</v>
      </c>
      <c r="O75" t="n">
        <v>0</v>
      </c>
      <c r="P75" t="n">
        <v>0</v>
      </c>
      <c r="Q75" t="n">
        <v>0</v>
      </c>
      <c r="R75" s="2" t="inlineStr"/>
    </row>
    <row r="76" ht="15" customHeight="1">
      <c r="A76" t="inlineStr">
        <is>
          <t>A 16803-2022</t>
        </is>
      </c>
      <c r="B76" s="1" t="n">
        <v>44673</v>
      </c>
      <c r="C76" s="1" t="n">
        <v>46076</v>
      </c>
      <c r="D76" t="inlineStr">
        <is>
          <t>STOCKHOLMS LÄN</t>
        </is>
      </c>
      <c r="E76" t="inlineStr">
        <is>
          <t>ÖSTERÅKER</t>
        </is>
      </c>
      <c r="G76" t="n">
        <v>1.9</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46076</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46076</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13118-2021</t>
        </is>
      </c>
      <c r="B79" s="1" t="n">
        <v>44272</v>
      </c>
      <c r="C79" s="1" t="n">
        <v>46076</v>
      </c>
      <c r="D79" t="inlineStr">
        <is>
          <t>STOCKHOLMS LÄN</t>
        </is>
      </c>
      <c r="E79" t="inlineStr">
        <is>
          <t>ÖSTERÅKER</t>
        </is>
      </c>
      <c r="F79" t="inlineStr">
        <is>
          <t>Kyrkan</t>
        </is>
      </c>
      <c r="G79" t="n">
        <v>4</v>
      </c>
      <c r="H79" t="n">
        <v>0</v>
      </c>
      <c r="I79" t="n">
        <v>0</v>
      </c>
      <c r="J79" t="n">
        <v>0</v>
      </c>
      <c r="K79" t="n">
        <v>0</v>
      </c>
      <c r="L79" t="n">
        <v>0</v>
      </c>
      <c r="M79" t="n">
        <v>0</v>
      </c>
      <c r="N79" t="n">
        <v>0</v>
      </c>
      <c r="O79" t="n">
        <v>0</v>
      </c>
      <c r="P79" t="n">
        <v>0</v>
      </c>
      <c r="Q79" t="n">
        <v>0</v>
      </c>
      <c r="R79" s="2" t="inlineStr"/>
    </row>
    <row r="80" ht="15" customHeight="1">
      <c r="A80" t="inlineStr">
        <is>
          <t>A 19404-2024</t>
        </is>
      </c>
      <c r="B80" s="1" t="n">
        <v>45428</v>
      </c>
      <c r="C80" s="1" t="n">
        <v>46076</v>
      </c>
      <c r="D80" t="inlineStr">
        <is>
          <t>STOCKHOLMS LÄN</t>
        </is>
      </c>
      <c r="E80" t="inlineStr">
        <is>
          <t>ÖSTERÅKER</t>
        </is>
      </c>
      <c r="F80" t="inlineStr">
        <is>
          <t>Övriga Aktiebolag</t>
        </is>
      </c>
      <c r="G80" t="n">
        <v>2.2</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46076</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46076</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60482-2025</t>
        </is>
      </c>
      <c r="B83" s="1" t="n">
        <v>45995.59832175926</v>
      </c>
      <c r="C83" s="1" t="n">
        <v>46076</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56909-2024</t>
        </is>
      </c>
      <c r="B84" s="1" t="n">
        <v>45628.59060185185</v>
      </c>
      <c r="C84" s="1" t="n">
        <v>46076</v>
      </c>
      <c r="D84" t="inlineStr">
        <is>
          <t>STOCKHOLMS LÄN</t>
        </is>
      </c>
      <c r="E84" t="inlineStr">
        <is>
          <t>ÖSTERÅKER</t>
        </is>
      </c>
      <c r="G84" t="n">
        <v>1</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46076</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46076</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5038-2026</t>
        </is>
      </c>
      <c r="B87" s="1" t="n">
        <v>46049.46427083333</v>
      </c>
      <c r="C87" s="1" t="n">
        <v>46076</v>
      </c>
      <c r="D87" t="inlineStr">
        <is>
          <t>STOCKHOLMS LÄN</t>
        </is>
      </c>
      <c r="E87" t="inlineStr">
        <is>
          <t>ÖSTERÅKER</t>
        </is>
      </c>
      <c r="G87" t="n">
        <v>2.1</v>
      </c>
      <c r="H87" t="n">
        <v>0</v>
      </c>
      <c r="I87" t="n">
        <v>0</v>
      </c>
      <c r="J87" t="n">
        <v>0</v>
      </c>
      <c r="K87" t="n">
        <v>0</v>
      </c>
      <c r="L87" t="n">
        <v>0</v>
      </c>
      <c r="M87" t="n">
        <v>0</v>
      </c>
      <c r="N87" t="n">
        <v>0</v>
      </c>
      <c r="O87" t="n">
        <v>0</v>
      </c>
      <c r="P87" t="n">
        <v>0</v>
      </c>
      <c r="Q87" t="n">
        <v>0</v>
      </c>
      <c r="R87" s="2" t="inlineStr"/>
    </row>
    <row r="88" ht="15" customHeight="1">
      <c r="A88" t="inlineStr">
        <is>
          <t>A 845-2024</t>
        </is>
      </c>
      <c r="B88" s="1" t="n">
        <v>45300.91423611111</v>
      </c>
      <c r="C88" s="1" t="n">
        <v>46076</v>
      </c>
      <c r="D88" t="inlineStr">
        <is>
          <t>STOCKHOLMS LÄN</t>
        </is>
      </c>
      <c r="E88" t="inlineStr">
        <is>
          <t>ÖSTERÅKER</t>
        </is>
      </c>
      <c r="G88" t="n">
        <v>10.1</v>
      </c>
      <c r="H88" t="n">
        <v>0</v>
      </c>
      <c r="I88" t="n">
        <v>0</v>
      </c>
      <c r="J88" t="n">
        <v>0</v>
      </c>
      <c r="K88" t="n">
        <v>0</v>
      </c>
      <c r="L88" t="n">
        <v>0</v>
      </c>
      <c r="M88" t="n">
        <v>0</v>
      </c>
      <c r="N88" t="n">
        <v>0</v>
      </c>
      <c r="O88" t="n">
        <v>0</v>
      </c>
      <c r="P88" t="n">
        <v>0</v>
      </c>
      <c r="Q88" t="n">
        <v>0</v>
      </c>
      <c r="R88" s="2" t="inlineStr"/>
    </row>
    <row r="89" ht="15" customHeight="1">
      <c r="A89" t="inlineStr">
        <is>
          <t>A 31134-2023</t>
        </is>
      </c>
      <c r="B89" s="1" t="n">
        <v>45113</v>
      </c>
      <c r="C89" s="1" t="n">
        <v>46076</v>
      </c>
      <c r="D89" t="inlineStr">
        <is>
          <t>STOCKHOLMS LÄN</t>
        </is>
      </c>
      <c r="E89" t="inlineStr">
        <is>
          <t>ÖSTERÅKER</t>
        </is>
      </c>
      <c r="G89" t="n">
        <v>2.1</v>
      </c>
      <c r="H89" t="n">
        <v>0</v>
      </c>
      <c r="I89" t="n">
        <v>0</v>
      </c>
      <c r="J89" t="n">
        <v>0</v>
      </c>
      <c r="K89" t="n">
        <v>0</v>
      </c>
      <c r="L89" t="n">
        <v>0</v>
      </c>
      <c r="M89" t="n">
        <v>0</v>
      </c>
      <c r="N89" t="n">
        <v>0</v>
      </c>
      <c r="O89" t="n">
        <v>0</v>
      </c>
      <c r="P89" t="n">
        <v>0</v>
      </c>
      <c r="Q89" t="n">
        <v>0</v>
      </c>
      <c r="R89" s="2" t="inlineStr"/>
    </row>
    <row r="90" ht="15" customHeight="1">
      <c r="A90" t="inlineStr">
        <is>
          <t>A 31575-2022</t>
        </is>
      </c>
      <c r="B90" s="1" t="n">
        <v>44775.45063657407</v>
      </c>
      <c r="C90" s="1" t="n">
        <v>46076</v>
      </c>
      <c r="D90" t="inlineStr">
        <is>
          <t>STOCKHOLMS LÄN</t>
        </is>
      </c>
      <c r="E90" t="inlineStr">
        <is>
          <t>ÖSTERÅKER</t>
        </is>
      </c>
      <c r="G90" t="n">
        <v>5</v>
      </c>
      <c r="H90" t="n">
        <v>0</v>
      </c>
      <c r="I90" t="n">
        <v>0</v>
      </c>
      <c r="J90" t="n">
        <v>0</v>
      </c>
      <c r="K90" t="n">
        <v>0</v>
      </c>
      <c r="L90" t="n">
        <v>0</v>
      </c>
      <c r="M90" t="n">
        <v>0</v>
      </c>
      <c r="N90" t="n">
        <v>0</v>
      </c>
      <c r="O90" t="n">
        <v>0</v>
      </c>
      <c r="P90" t="n">
        <v>0</v>
      </c>
      <c r="Q90" t="n">
        <v>0</v>
      </c>
      <c r="R90" s="2" t="inlineStr"/>
    </row>
    <row r="91" ht="15" customHeight="1">
      <c r="A91" t="inlineStr">
        <is>
          <t>A 62831-2025</t>
        </is>
      </c>
      <c r="B91" s="1" t="n">
        <v>46008</v>
      </c>
      <c r="C91" s="1" t="n">
        <v>46076</v>
      </c>
      <c r="D91" t="inlineStr">
        <is>
          <t>STOCKHOLMS LÄN</t>
        </is>
      </c>
      <c r="E91" t="inlineStr">
        <is>
          <t>ÖSTERÅKER</t>
        </is>
      </c>
      <c r="G91" t="n">
        <v>1.2</v>
      </c>
      <c r="H91" t="n">
        <v>0</v>
      </c>
      <c r="I91" t="n">
        <v>0</v>
      </c>
      <c r="J91" t="n">
        <v>0</v>
      </c>
      <c r="K91" t="n">
        <v>0</v>
      </c>
      <c r="L91" t="n">
        <v>0</v>
      </c>
      <c r="M91" t="n">
        <v>0</v>
      </c>
      <c r="N91" t="n">
        <v>0</v>
      </c>
      <c r="O91" t="n">
        <v>0</v>
      </c>
      <c r="P91" t="n">
        <v>0</v>
      </c>
      <c r="Q91" t="n">
        <v>0</v>
      </c>
      <c r="R91" s="2" t="inlineStr"/>
    </row>
    <row r="92" ht="15" customHeight="1">
      <c r="A92" t="inlineStr">
        <is>
          <t>A 62839-2025</t>
        </is>
      </c>
      <c r="B92" s="1" t="n">
        <v>46008</v>
      </c>
      <c r="C92" s="1" t="n">
        <v>46076</v>
      </c>
      <c r="D92" t="inlineStr">
        <is>
          <t>STOCKHOLMS LÄN</t>
        </is>
      </c>
      <c r="E92" t="inlineStr">
        <is>
          <t>ÖSTERÅKER</t>
        </is>
      </c>
      <c r="G92" t="n">
        <v>1.4</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46076</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67265-2021</t>
        </is>
      </c>
      <c r="B94" s="1" t="n">
        <v>44523.59277777778</v>
      </c>
      <c r="C94" s="1" t="n">
        <v>46076</v>
      </c>
      <c r="D94" t="inlineStr">
        <is>
          <t>STOCKHOLMS LÄN</t>
        </is>
      </c>
      <c r="E94" t="inlineStr">
        <is>
          <t>ÖSTERÅKER</t>
        </is>
      </c>
      <c r="F94" t="inlineStr">
        <is>
          <t>Kommuner</t>
        </is>
      </c>
      <c r="G94" t="n">
        <v>2.6</v>
      </c>
      <c r="H94" t="n">
        <v>0</v>
      </c>
      <c r="I94" t="n">
        <v>0</v>
      </c>
      <c r="J94" t="n">
        <v>0</v>
      </c>
      <c r="K94" t="n">
        <v>0</v>
      </c>
      <c r="L94" t="n">
        <v>0</v>
      </c>
      <c r="M94" t="n">
        <v>0</v>
      </c>
      <c r="N94" t="n">
        <v>0</v>
      </c>
      <c r="O94" t="n">
        <v>0</v>
      </c>
      <c r="P94" t="n">
        <v>0</v>
      </c>
      <c r="Q94" t="n">
        <v>0</v>
      </c>
      <c r="R94" s="2" t="inlineStr"/>
    </row>
    <row r="95" ht="15" customHeight="1">
      <c r="A95" t="inlineStr">
        <is>
          <t>A 18711-2023</t>
        </is>
      </c>
      <c r="B95" s="1" t="n">
        <v>45043.6433912037</v>
      </c>
      <c r="C95" s="1" t="n">
        <v>46076</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24499-2023</t>
        </is>
      </c>
      <c r="B96" s="1" t="n">
        <v>45082</v>
      </c>
      <c r="C96" s="1" t="n">
        <v>46076</v>
      </c>
      <c r="D96" t="inlineStr">
        <is>
          <t>STOCKHOLMS LÄN</t>
        </is>
      </c>
      <c r="E96" t="inlineStr">
        <is>
          <t>ÖSTERÅKER</t>
        </is>
      </c>
      <c r="G96" t="n">
        <v>0.1</v>
      </c>
      <c r="H96" t="n">
        <v>0</v>
      </c>
      <c r="I96" t="n">
        <v>0</v>
      </c>
      <c r="J96" t="n">
        <v>0</v>
      </c>
      <c r="K96" t="n">
        <v>0</v>
      </c>
      <c r="L96" t="n">
        <v>0</v>
      </c>
      <c r="M96" t="n">
        <v>0</v>
      </c>
      <c r="N96" t="n">
        <v>0</v>
      </c>
      <c r="O96" t="n">
        <v>0</v>
      </c>
      <c r="P96" t="n">
        <v>0</v>
      </c>
      <c r="Q96" t="n">
        <v>0</v>
      </c>
      <c r="R96" s="2" t="inlineStr"/>
    </row>
    <row r="97" ht="15" customHeight="1">
      <c r="A97" t="inlineStr">
        <is>
          <t>A 28146-2024</t>
        </is>
      </c>
      <c r="B97" s="1" t="n">
        <v>45476</v>
      </c>
      <c r="C97" s="1" t="n">
        <v>46076</v>
      </c>
      <c r="D97" t="inlineStr">
        <is>
          <t>STOCKHOLMS LÄN</t>
        </is>
      </c>
      <c r="E97" t="inlineStr">
        <is>
          <t>ÖSTERÅKER</t>
        </is>
      </c>
      <c r="F97" t="inlineStr">
        <is>
          <t>Övriga Aktiebolag</t>
        </is>
      </c>
      <c r="G97" t="n">
        <v>2.7</v>
      </c>
      <c r="H97" t="n">
        <v>0</v>
      </c>
      <c r="I97" t="n">
        <v>0</v>
      </c>
      <c r="J97" t="n">
        <v>0</v>
      </c>
      <c r="K97" t="n">
        <v>0</v>
      </c>
      <c r="L97" t="n">
        <v>0</v>
      </c>
      <c r="M97" t="n">
        <v>0</v>
      </c>
      <c r="N97" t="n">
        <v>0</v>
      </c>
      <c r="O97" t="n">
        <v>0</v>
      </c>
      <c r="P97" t="n">
        <v>0</v>
      </c>
      <c r="Q97" t="n">
        <v>0</v>
      </c>
      <c r="R97" s="2" t="inlineStr"/>
    </row>
    <row r="98" ht="15" customHeight="1">
      <c r="A98" t="inlineStr">
        <is>
          <t>A 57048-2024</t>
        </is>
      </c>
      <c r="B98" s="1" t="n">
        <v>45629.33938657407</v>
      </c>
      <c r="C98" s="1" t="n">
        <v>46076</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46076</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46076</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544-2023</t>
        </is>
      </c>
      <c r="B101" s="1" t="n">
        <v>44924</v>
      </c>
      <c r="C101" s="1" t="n">
        <v>46076</v>
      </c>
      <c r="D101" t="inlineStr">
        <is>
          <t>STOCKHOLMS LÄN</t>
        </is>
      </c>
      <c r="E101" t="inlineStr">
        <is>
          <t>ÖSTERÅKER</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3326-2022</t>
        </is>
      </c>
      <c r="B102" s="1" t="n">
        <v>44583</v>
      </c>
      <c r="C102" s="1" t="n">
        <v>46076</v>
      </c>
      <c r="D102" t="inlineStr">
        <is>
          <t>STOCKHOLMS LÄN</t>
        </is>
      </c>
      <c r="E102" t="inlineStr">
        <is>
          <t>ÖSTERÅKER</t>
        </is>
      </c>
      <c r="F102" t="inlineStr">
        <is>
          <t>Övriga Aktiebolag</t>
        </is>
      </c>
      <c r="G102" t="n">
        <v>2.7</v>
      </c>
      <c r="H102" t="n">
        <v>0</v>
      </c>
      <c r="I102" t="n">
        <v>0</v>
      </c>
      <c r="J102" t="n">
        <v>0</v>
      </c>
      <c r="K102" t="n">
        <v>0</v>
      </c>
      <c r="L102" t="n">
        <v>0</v>
      </c>
      <c r="M102" t="n">
        <v>0</v>
      </c>
      <c r="N102" t="n">
        <v>0</v>
      </c>
      <c r="O102" t="n">
        <v>0</v>
      </c>
      <c r="P102" t="n">
        <v>0</v>
      </c>
      <c r="Q102" t="n">
        <v>0</v>
      </c>
      <c r="R102" s="2" t="inlineStr"/>
    </row>
    <row r="103" ht="15" customHeight="1">
      <c r="A103" t="inlineStr">
        <is>
          <t>A 13366-2024</t>
        </is>
      </c>
      <c r="B103" s="1" t="n">
        <v>45387</v>
      </c>
      <c r="C103" s="1" t="n">
        <v>46076</v>
      </c>
      <c r="D103" t="inlineStr">
        <is>
          <t>STOCKHOLMS LÄN</t>
        </is>
      </c>
      <c r="E103" t="inlineStr">
        <is>
          <t>ÖSTERÅKER</t>
        </is>
      </c>
      <c r="G103" t="n">
        <v>13.7</v>
      </c>
      <c r="H103" t="n">
        <v>0</v>
      </c>
      <c r="I103" t="n">
        <v>0</v>
      </c>
      <c r="J103" t="n">
        <v>0</v>
      </c>
      <c r="K103" t="n">
        <v>0</v>
      </c>
      <c r="L103" t="n">
        <v>0</v>
      </c>
      <c r="M103" t="n">
        <v>0</v>
      </c>
      <c r="N103" t="n">
        <v>0</v>
      </c>
      <c r="O103" t="n">
        <v>0</v>
      </c>
      <c r="P103" t="n">
        <v>0</v>
      </c>
      <c r="Q103" t="n">
        <v>0</v>
      </c>
      <c r="R103" s="2" t="inlineStr"/>
    </row>
    <row r="104" ht="15" customHeight="1">
      <c r="A104" t="inlineStr">
        <is>
          <t>A 57055-2024</t>
        </is>
      </c>
      <c r="B104" s="1" t="n">
        <v>45629.34627314815</v>
      </c>
      <c r="C104" s="1" t="n">
        <v>46076</v>
      </c>
      <c r="D104" t="inlineStr">
        <is>
          <t>STOCKHOLMS LÄN</t>
        </is>
      </c>
      <c r="E104" t="inlineStr">
        <is>
          <t>ÖSTERÅKER</t>
        </is>
      </c>
      <c r="G104" t="n">
        <v>0.5</v>
      </c>
      <c r="H104" t="n">
        <v>0</v>
      </c>
      <c r="I104" t="n">
        <v>0</v>
      </c>
      <c r="J104" t="n">
        <v>0</v>
      </c>
      <c r="K104" t="n">
        <v>0</v>
      </c>
      <c r="L104" t="n">
        <v>0</v>
      </c>
      <c r="M104" t="n">
        <v>0</v>
      </c>
      <c r="N104" t="n">
        <v>0</v>
      </c>
      <c r="O104" t="n">
        <v>0</v>
      </c>
      <c r="P104" t="n">
        <v>0</v>
      </c>
      <c r="Q104" t="n">
        <v>0</v>
      </c>
      <c r="R104" s="2" t="inlineStr"/>
    </row>
    <row r="105" ht="15" customHeight="1">
      <c r="A105" t="inlineStr">
        <is>
          <t>A 59379-2022</t>
        </is>
      </c>
      <c r="B105" s="1" t="n">
        <v>44905</v>
      </c>
      <c r="C105" s="1" t="n">
        <v>46076</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46688-2022</t>
        </is>
      </c>
      <c r="B106" s="1" t="n">
        <v>44851</v>
      </c>
      <c r="C106" s="1" t="n">
        <v>46076</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16738-2022</t>
        </is>
      </c>
      <c r="B107" s="1" t="n">
        <v>44673</v>
      </c>
      <c r="C107" s="1" t="n">
        <v>46076</v>
      </c>
      <c r="D107" t="inlineStr">
        <is>
          <t>STOCKHOLMS LÄN</t>
        </is>
      </c>
      <c r="E107" t="inlineStr">
        <is>
          <t>ÖSTERÅKER</t>
        </is>
      </c>
      <c r="G107" t="n">
        <v>1.1</v>
      </c>
      <c r="H107" t="n">
        <v>0</v>
      </c>
      <c r="I107" t="n">
        <v>0</v>
      </c>
      <c r="J107" t="n">
        <v>0</v>
      </c>
      <c r="K107" t="n">
        <v>0</v>
      </c>
      <c r="L107" t="n">
        <v>0</v>
      </c>
      <c r="M107" t="n">
        <v>0</v>
      </c>
      <c r="N107" t="n">
        <v>0</v>
      </c>
      <c r="O107" t="n">
        <v>0</v>
      </c>
      <c r="P107" t="n">
        <v>0</v>
      </c>
      <c r="Q107" t="n">
        <v>0</v>
      </c>
      <c r="R107" s="2" t="inlineStr"/>
    </row>
    <row r="108" ht="15" customHeight="1">
      <c r="A108" t="inlineStr">
        <is>
          <t>A 17196-2022</t>
        </is>
      </c>
      <c r="B108" s="1" t="n">
        <v>44677</v>
      </c>
      <c r="C108" s="1" t="n">
        <v>46076</v>
      </c>
      <c r="D108" t="inlineStr">
        <is>
          <t>STOCKHOLMS LÄN</t>
        </is>
      </c>
      <c r="E108" t="inlineStr">
        <is>
          <t>ÖSTERÅKER</t>
        </is>
      </c>
      <c r="G108" t="n">
        <v>5.9</v>
      </c>
      <c r="H108" t="n">
        <v>0</v>
      </c>
      <c r="I108" t="n">
        <v>0</v>
      </c>
      <c r="J108" t="n">
        <v>0</v>
      </c>
      <c r="K108" t="n">
        <v>0</v>
      </c>
      <c r="L108" t="n">
        <v>0</v>
      </c>
      <c r="M108" t="n">
        <v>0</v>
      </c>
      <c r="N108" t="n">
        <v>0</v>
      </c>
      <c r="O108" t="n">
        <v>0</v>
      </c>
      <c r="P108" t="n">
        <v>0</v>
      </c>
      <c r="Q108" t="n">
        <v>0</v>
      </c>
      <c r="R108" s="2" t="inlineStr"/>
    </row>
    <row r="109" ht="15" customHeight="1">
      <c r="A109" t="inlineStr">
        <is>
          <t>A 3917-2023</t>
        </is>
      </c>
      <c r="B109" s="1" t="n">
        <v>44952</v>
      </c>
      <c r="C109" s="1" t="n">
        <v>46076</v>
      </c>
      <c r="D109" t="inlineStr">
        <is>
          <t>STOCKHOLMS LÄN</t>
        </is>
      </c>
      <c r="E109" t="inlineStr">
        <is>
          <t>ÖSTERÅKER</t>
        </is>
      </c>
      <c r="F109" t="inlineStr">
        <is>
          <t>Kommuner</t>
        </is>
      </c>
      <c r="G109" t="n">
        <v>2.8</v>
      </c>
      <c r="H109" t="n">
        <v>0</v>
      </c>
      <c r="I109" t="n">
        <v>0</v>
      </c>
      <c r="J109" t="n">
        <v>0</v>
      </c>
      <c r="K109" t="n">
        <v>0</v>
      </c>
      <c r="L109" t="n">
        <v>0</v>
      </c>
      <c r="M109" t="n">
        <v>0</v>
      </c>
      <c r="N109" t="n">
        <v>0</v>
      </c>
      <c r="O109" t="n">
        <v>0</v>
      </c>
      <c r="P109" t="n">
        <v>0</v>
      </c>
      <c r="Q109" t="n">
        <v>0</v>
      </c>
      <c r="R109" s="2" t="inlineStr"/>
    </row>
    <row r="110" ht="15" customHeight="1">
      <c r="A110" t="inlineStr">
        <is>
          <t>A 62108-2022</t>
        </is>
      </c>
      <c r="B110" s="1" t="n">
        <v>44920</v>
      </c>
      <c r="C110" s="1" t="n">
        <v>46076</v>
      </c>
      <c r="D110" t="inlineStr">
        <is>
          <t>STOCKHOLMS LÄN</t>
        </is>
      </c>
      <c r="E110" t="inlineStr">
        <is>
          <t>ÖSTERÅKER</t>
        </is>
      </c>
      <c r="G110" t="n">
        <v>1.5</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46076</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21796-2025</t>
        </is>
      </c>
      <c r="B112" s="1" t="n">
        <v>45783.68135416666</v>
      </c>
      <c r="C112" s="1" t="n">
        <v>46076</v>
      </c>
      <c r="D112" t="inlineStr">
        <is>
          <t>STOCKHOLMS LÄN</t>
        </is>
      </c>
      <c r="E112" t="inlineStr">
        <is>
          <t>ÖSTERÅKER</t>
        </is>
      </c>
      <c r="G112" t="n">
        <v>2.5</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46076</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ht="15" customHeight="1">
      <c r="A114" t="inlineStr">
        <is>
          <t>A 27137-2025</t>
        </is>
      </c>
      <c r="B114" s="1" t="n">
        <v>45811.95890046296</v>
      </c>
      <c r="C114" s="1" t="n">
        <v>46076</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row r="115">
      <c r="A115" t="inlineStr">
        <is>
          <t>A 27948-2025</t>
        </is>
      </c>
      <c r="B115" s="1" t="n">
        <v>45817.52460648148</v>
      </c>
      <c r="C115" s="1" t="n">
        <v>46076</v>
      </c>
      <c r="D115" t="inlineStr">
        <is>
          <t>STOCKHOLMS LÄN</t>
        </is>
      </c>
      <c r="E115" t="inlineStr">
        <is>
          <t>ÖSTERÅKER</t>
        </is>
      </c>
      <c r="G115" t="n">
        <v>5.6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2026-02-23T11:03:48Z</dcterms:created>
  <dcterms:modified xmlns:dcterms="http://purl.org/dc/terms/" xmlns:xsi="http://www.w3.org/2001/XMLSchema-instance" xsi:type="dcterms:W3CDTF">2026-02-23T11:03:49Z</dcterms:modified>
</cp:coreProperties>
</file>