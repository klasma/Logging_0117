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46260</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46260</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46260</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46260</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46260</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46260</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46260</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46260</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46260</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46260</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46260</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46260</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46260</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46260</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46260</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46260</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46260</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46260</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46260</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46260</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46260</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46260</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62831-2025</t>
        </is>
      </c>
      <c r="B24" t="inlineStr">
        <is>
          <t>avverkningsanmälan</t>
        </is>
      </c>
      <c r="C24" t="inlineStr">
        <is>
          <t>Föryngringsavverkning</t>
        </is>
      </c>
      <c r="D24" s="1" t="n">
        <v>46008</v>
      </c>
      <c r="E24" s="1" t="n">
        <v>46260</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31716-2025</t>
        </is>
      </c>
      <c r="B25" t="inlineStr">
        <is>
          <t>avverkningsanmälan</t>
        </is>
      </c>
      <c r="C25" t="inlineStr">
        <is>
          <t>Föryngringsavverkning</t>
        </is>
      </c>
      <c r="D25" s="1" t="n">
        <v>45834</v>
      </c>
      <c r="E25" s="1" t="n">
        <v>46260</v>
      </c>
      <c r="F25" t="inlineStr">
        <is>
          <t>STOCKHOLMS LÄN</t>
        </is>
      </c>
      <c r="G25" t="inlineStr">
        <is>
          <t>ÖSTERÅKER</t>
        </is>
      </c>
      <c r="I25" t="n">
        <v>2.8</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HYPERLINK("https://klasma.github.io/Logging_0117/artfynd/A 31716-2025 artfynd.xlsx", "A 31716-2025")</f>
        <v/>
      </c>
      <c r="X25">
        <f>HYPERLINK("https://klasma.github.io/Logging_0117/kartor/A 31716-2025 karta.png", "A 31716-2025")</f>
        <v/>
      </c>
      <c r="Y25">
        <f>HYPERLINK("https://klasma.github.io/Logging_0117/kartor_geotiff/A 31716-2025 georefererad karta.tif", "A 31716-2025")</f>
        <v/>
      </c>
      <c r="AA25">
        <f>HYPERLINK("https://klasma.github.io/Logging_0117/klagomål/A 31716-2025 FSC-klagomål.docx", "A 31716-2025")</f>
        <v/>
      </c>
      <c r="AB25">
        <f>HYPERLINK("https://klasma.github.io/Logging_0117/klagomålsmail/A 31716-2025 FSC-klagomål mail.docx", "A 31716-2025")</f>
        <v/>
      </c>
      <c r="AC25">
        <f>HYPERLINK("https://klasma.github.io/Logging_0117/tillsyn/A 31716-2025 tillsynsbegäran.docx", "A 31716-2025")</f>
        <v/>
      </c>
      <c r="AD25">
        <f>HYPERLINK("https://klasma.github.io/Logging_0117/tillsynsmail/A 31716-2025 tillsynsbegäran mail.docx", "A 31716-2025")</f>
        <v/>
      </c>
    </row>
    <row r="26" ht="15" customHeight="1">
      <c r="A26" t="inlineStr">
        <is>
          <t>A 62839-2025</t>
        </is>
      </c>
      <c r="B26" t="inlineStr">
        <is>
          <t>avverkningsanmälan</t>
        </is>
      </c>
      <c r="C26" t="inlineStr">
        <is>
          <t>Föryngringsavverkning</t>
        </is>
      </c>
      <c r="D26" s="1" t="n">
        <v>46008</v>
      </c>
      <c r="E26" s="1" t="n">
        <v>46260</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46260</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46260</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46260</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46260</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46260</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46260</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46260</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46260</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46260</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46260</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46260</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46260</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46260</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46260</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46260</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46260</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46260</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46260</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46260</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46260</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46260</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46260</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46260</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46260</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5038-2026</t>
        </is>
      </c>
      <c r="B51" t="inlineStr">
        <is>
          <t>avverkningsanmälan</t>
        </is>
      </c>
      <c r="C51" t="inlineStr">
        <is>
          <t>Föryngringsavverkning</t>
        </is>
      </c>
      <c r="D51" s="1" t="n">
        <v>46049</v>
      </c>
      <c r="E51" s="1" t="n">
        <v>46260</v>
      </c>
      <c r="F51" t="inlineStr">
        <is>
          <t>STOCKHOLMS LÄN</t>
        </is>
      </c>
      <c r="G51" t="inlineStr">
        <is>
          <t>ÖSTERÅKER</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17353-2025</t>
        </is>
      </c>
      <c r="B52" t="inlineStr">
        <is>
          <t>avverkningsanmälan</t>
        </is>
      </c>
      <c r="C52" t="inlineStr">
        <is>
          <t>Föryngringsavverkning</t>
        </is>
      </c>
      <c r="D52" s="1" t="n">
        <v>45756</v>
      </c>
      <c r="E52" s="1" t="n">
        <v>46260</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61360-2022</t>
        </is>
      </c>
      <c r="B53" t="inlineStr">
        <is>
          <t>avverkningsanmälan</t>
        </is>
      </c>
      <c r="C53" t="inlineStr">
        <is>
          <t>Föryngringsavverkning</t>
        </is>
      </c>
      <c r="D53" s="1" t="n">
        <v>44915</v>
      </c>
      <c r="E53" s="1" t="n">
        <v>46260</v>
      </c>
      <c r="F53" t="inlineStr">
        <is>
          <t>STOCKHOLMS LÄN</t>
        </is>
      </c>
      <c r="G53" t="inlineStr">
        <is>
          <t>ÖSTERÅKER</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16728-2022</t>
        </is>
      </c>
      <c r="B54" t="inlineStr">
        <is>
          <t>avverkningsanmälan</t>
        </is>
      </c>
      <c r="C54" t="inlineStr">
        <is>
          <t>Föryngringsavverkning</t>
        </is>
      </c>
      <c r="D54" s="1" t="n">
        <v>44673</v>
      </c>
      <c r="E54" s="1" t="n">
        <v>46260</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1136-2023</t>
        </is>
      </c>
      <c r="B55" t="inlineStr">
        <is>
          <t>avverkningsanmälan</t>
        </is>
      </c>
      <c r="C55" t="inlineStr">
        <is>
          <t>Avverkning för annat ändamål</t>
        </is>
      </c>
      <c r="D55" s="1" t="n">
        <v>44935</v>
      </c>
      <c r="E55" s="1" t="n">
        <v>46260</v>
      </c>
      <c r="F55" t="inlineStr">
        <is>
          <t>STOCKHOLMS LÄN</t>
        </is>
      </c>
      <c r="G55" t="inlineStr">
        <is>
          <t>ÖSTERÅKER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12345-2026</t>
        </is>
      </c>
      <c r="B56" t="inlineStr">
        <is>
          <t>avverkningsanmälan</t>
        </is>
      </c>
      <c r="C56" t="inlineStr">
        <is>
          <t>Föryngringsavverkning</t>
        </is>
      </c>
      <c r="D56" s="1" t="n">
        <v>46087</v>
      </c>
      <c r="E56" s="1" t="n">
        <v>46260</v>
      </c>
      <c r="F56" t="inlineStr">
        <is>
          <t>STOCKHOLMS LÄN</t>
        </is>
      </c>
      <c r="G56" t="inlineStr">
        <is>
          <t>ÖSTERÅKER</t>
        </is>
      </c>
      <c r="H56" t="inlineStr">
        <is>
          <t>Övriga Aktiebolag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61710-2022</t>
        </is>
      </c>
      <c r="B57" t="inlineStr">
        <is>
          <t>avverkningsanmälan</t>
        </is>
      </c>
      <c r="C57" t="inlineStr">
        <is>
          <t>Föryngringsavverkning</t>
        </is>
      </c>
      <c r="D57" s="1" t="n">
        <v>44917</v>
      </c>
      <c r="E57" s="1" t="n">
        <v>46260</v>
      </c>
      <c r="F57" t="inlineStr">
        <is>
          <t>STOCKHOLMS LÄN</t>
        </is>
      </c>
      <c r="G57" t="inlineStr">
        <is>
          <t>ÖSTERÅKER</t>
        </is>
      </c>
      <c r="I57" t="n">
        <v>6.2</v>
      </c>
      <c r="J57" t="n">
        <v>0</v>
      </c>
      <c r="K57" t="n">
        <v>0</v>
      </c>
      <c r="L57" t="n">
        <v>0</v>
      </c>
      <c r="M57" t="n">
        <v>0</v>
      </c>
      <c r="N57" t="n">
        <v>0</v>
      </c>
      <c r="O57" t="n">
        <v>0</v>
      </c>
      <c r="P57" t="n">
        <v>0</v>
      </c>
      <c r="Q57" t="n">
        <v>0</v>
      </c>
      <c r="R57" t="n">
        <v>0</v>
      </c>
      <c r="S57" t="n">
        <v>0</v>
      </c>
      <c r="T57" t="n">
        <v>0</v>
      </c>
      <c r="U57" t="n">
        <v>0</v>
      </c>
      <c r="V57" s="2" t="inlineStr"/>
    </row>
    <row r="58" ht="15" customHeight="1">
      <c r="A58" t="inlineStr">
        <is>
          <t>A 22528-2024</t>
        </is>
      </c>
      <c r="B58" t="inlineStr">
        <is>
          <t>avverkningsanmälan</t>
        </is>
      </c>
      <c r="C58" t="inlineStr">
        <is>
          <t>Föryngringsavverkning</t>
        </is>
      </c>
      <c r="D58" s="1" t="n">
        <v>45447</v>
      </c>
      <c r="E58" s="1" t="n">
        <v>46260</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28143-2024</t>
        </is>
      </c>
      <c r="B59" t="inlineStr">
        <is>
          <t>avverkningsanmälan</t>
        </is>
      </c>
      <c r="C59" t="inlineStr">
        <is>
          <t>Föryngringsavverkning</t>
        </is>
      </c>
      <c r="D59" s="1" t="n">
        <v>45476</v>
      </c>
      <c r="E59" s="1" t="n">
        <v>46260</v>
      </c>
      <c r="F59" t="inlineStr">
        <is>
          <t>STOCKHOLMS LÄN</t>
        </is>
      </c>
      <c r="G59" t="inlineStr">
        <is>
          <t>ÖSTERÅKER</t>
        </is>
      </c>
      <c r="H59" t="inlineStr">
        <is>
          <t>Övriga Aktiebolag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52220-2025</t>
        </is>
      </c>
      <c r="B60" t="inlineStr">
        <is>
          <t>avverkningsanmälan</t>
        </is>
      </c>
      <c r="C60" t="inlineStr">
        <is>
          <t>Avverkning för annat ändamål</t>
        </is>
      </c>
      <c r="D60" s="1" t="n">
        <v>45953</v>
      </c>
      <c r="E60" s="1" t="n">
        <v>46260</v>
      </c>
      <c r="F60" t="inlineStr">
        <is>
          <t>STOCKHOLMS LÄN</t>
        </is>
      </c>
      <c r="G60" t="inlineStr">
        <is>
          <t>ÖSTERÅKER</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14776-2024</t>
        </is>
      </c>
      <c r="B61" t="inlineStr">
        <is>
          <t>avverkningsanmälan</t>
        </is>
      </c>
      <c r="C61" t="inlineStr">
        <is>
          <t>Föryngringsavverkning</t>
        </is>
      </c>
      <c r="D61" s="1" t="n">
        <v>45397</v>
      </c>
      <c r="E61" s="1" t="n">
        <v>46260</v>
      </c>
      <c r="F61" t="inlineStr">
        <is>
          <t>STOCKHOLMS LÄN</t>
        </is>
      </c>
      <c r="G61" t="inlineStr">
        <is>
          <t>ÖSTERÅKER</t>
        </is>
      </c>
      <c r="I61" t="n">
        <v>13.6</v>
      </c>
      <c r="J61" t="n">
        <v>0</v>
      </c>
      <c r="K61" t="n">
        <v>0</v>
      </c>
      <c r="L61" t="n">
        <v>0</v>
      </c>
      <c r="M61" t="n">
        <v>0</v>
      </c>
      <c r="N61" t="n">
        <v>0</v>
      </c>
      <c r="O61" t="n">
        <v>0</v>
      </c>
      <c r="P61" t="n">
        <v>0</v>
      </c>
      <c r="Q61" t="n">
        <v>0</v>
      </c>
      <c r="R61" t="n">
        <v>0</v>
      </c>
      <c r="S61" t="n">
        <v>0</v>
      </c>
      <c r="T61" t="n">
        <v>0</v>
      </c>
      <c r="U61" t="n">
        <v>0</v>
      </c>
      <c r="V61" s="2" t="inlineStr"/>
    </row>
    <row r="62" ht="15" customHeight="1">
      <c r="A62" t="inlineStr">
        <is>
          <t>A 34713-2025</t>
        </is>
      </c>
      <c r="B62" t="inlineStr">
        <is>
          <t>avverkningsanmälan</t>
        </is>
      </c>
      <c r="C62" t="inlineStr">
        <is>
          <t>Föryngringsavverkning</t>
        </is>
      </c>
      <c r="D62" s="1" t="n">
        <v>45848</v>
      </c>
      <c r="E62" s="1" t="n">
        <v>46260</v>
      </c>
      <c r="F62" t="inlineStr">
        <is>
          <t>STOCKHOLMS LÄN</t>
        </is>
      </c>
      <c r="G62" t="inlineStr">
        <is>
          <t>ÖSTERÅKER</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60482-2025</t>
        </is>
      </c>
      <c r="B63" t="inlineStr">
        <is>
          <t>avverkningsanmälan</t>
        </is>
      </c>
      <c r="C63" t="inlineStr">
        <is>
          <t>Föryngringsavverkning</t>
        </is>
      </c>
      <c r="D63" s="1" t="n">
        <v>45995</v>
      </c>
      <c r="E63" s="1" t="n">
        <v>46260</v>
      </c>
      <c r="F63" t="inlineStr">
        <is>
          <t>STOCKHOLMS LÄN</t>
        </is>
      </c>
      <c r="G63" t="inlineStr">
        <is>
          <t>ÖSTERÅKER</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21796-2025</t>
        </is>
      </c>
      <c r="B64" t="inlineStr">
        <is>
          <t>avverkningsanmälan</t>
        </is>
      </c>
      <c r="C64" t="inlineStr">
        <is>
          <t>Föryngringsavverkning</t>
        </is>
      </c>
      <c r="D64" s="1" t="n">
        <v>45783</v>
      </c>
      <c r="E64" s="1" t="n">
        <v>46260</v>
      </c>
      <c r="F64" t="inlineStr">
        <is>
          <t>STOCKHOLMS LÄN</t>
        </is>
      </c>
      <c r="G64" t="inlineStr">
        <is>
          <t>ÖSTERÅKER</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39394-2023</t>
        </is>
      </c>
      <c r="B65" t="inlineStr">
        <is>
          <t>avverkningsanmälan</t>
        </is>
      </c>
      <c r="C65" t="inlineStr">
        <is>
          <t>Föryngringsavverkning</t>
        </is>
      </c>
      <c r="D65" s="1" t="n">
        <v>45166</v>
      </c>
      <c r="E65" s="1" t="n">
        <v>46260</v>
      </c>
      <c r="F65" t="inlineStr">
        <is>
          <t>STOCKHOLMS LÄN</t>
        </is>
      </c>
      <c r="G65" t="inlineStr">
        <is>
          <t>ÖSTERÅKER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18711-2023</t>
        </is>
      </c>
      <c r="B66" t="inlineStr">
        <is>
          <t>avverkningsanmälan</t>
        </is>
      </c>
      <c r="C66" t="inlineStr">
        <is>
          <t>Föryngringsavverkning</t>
        </is>
      </c>
      <c r="D66" s="1" t="n">
        <v>45043</v>
      </c>
      <c r="E66" s="1" t="n">
        <v>46260</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16803-2022</t>
        </is>
      </c>
      <c r="B67" t="inlineStr">
        <is>
          <t>avverkningsanmälan</t>
        </is>
      </c>
      <c r="C67" t="inlineStr">
        <is>
          <t>Föryngringsavverkning</t>
        </is>
      </c>
      <c r="D67" s="1" t="n">
        <v>44673</v>
      </c>
      <c r="E67" s="1" t="n">
        <v>46260</v>
      </c>
      <c r="F67" t="inlineStr">
        <is>
          <t>STOCKHOLMS LÄN</t>
        </is>
      </c>
      <c r="G67" t="inlineStr">
        <is>
          <t>ÖSTERÅKER</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470-2022</t>
        </is>
      </c>
      <c r="B68" t="inlineStr">
        <is>
          <t>avverkningsanmälan</t>
        </is>
      </c>
      <c r="C68" t="inlineStr">
        <is>
          <t>Föryngringsavverkning</t>
        </is>
      </c>
      <c r="D68" s="1" t="n">
        <v>44565</v>
      </c>
      <c r="E68" s="1" t="n">
        <v>46260</v>
      </c>
      <c r="F68" t="inlineStr">
        <is>
          <t>STOCKHOLMS LÄN</t>
        </is>
      </c>
      <c r="G68" t="inlineStr">
        <is>
          <t>ÖSTERÅKER</t>
        </is>
      </c>
      <c r="H68" t="inlineStr">
        <is>
          <t>Övriga Aktiebolag</t>
        </is>
      </c>
      <c r="I68" t="n">
        <v>4.6</v>
      </c>
      <c r="J68" t="n">
        <v>0</v>
      </c>
      <c r="K68" t="n">
        <v>0</v>
      </c>
      <c r="L68" t="n">
        <v>0</v>
      </c>
      <c r="M68" t="n">
        <v>0</v>
      </c>
      <c r="N68" t="n">
        <v>0</v>
      </c>
      <c r="O68" t="n">
        <v>0</v>
      </c>
      <c r="P68" t="n">
        <v>0</v>
      </c>
      <c r="Q68" t="n">
        <v>0</v>
      </c>
      <c r="R68" t="n">
        <v>0</v>
      </c>
      <c r="S68" t="n">
        <v>0</v>
      </c>
      <c r="T68" t="n">
        <v>0</v>
      </c>
      <c r="U68" t="n">
        <v>0</v>
      </c>
      <c r="V68" s="2" t="inlineStr"/>
    </row>
    <row r="69" ht="15" customHeight="1">
      <c r="A69" t="inlineStr">
        <is>
          <t>A 23144-2024</t>
        </is>
      </c>
      <c r="B69" t="inlineStr">
        <is>
          <t>avverkningsanmälan</t>
        </is>
      </c>
      <c r="C69" t="inlineStr">
        <is>
          <t>Föryngringsavverkning</t>
        </is>
      </c>
      <c r="D69" s="1" t="n">
        <v>45450</v>
      </c>
      <c r="E69" s="1" t="n">
        <v>46260</v>
      </c>
      <c r="F69" t="inlineStr">
        <is>
          <t>STOCKHOLMS LÄN</t>
        </is>
      </c>
      <c r="G69" t="inlineStr">
        <is>
          <t>ÖSTERÅKER</t>
        </is>
      </c>
      <c r="H69" t="inlineStr">
        <is>
          <t>Övriga Aktiebolag</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17263-2022</t>
        </is>
      </c>
      <c r="B70" t="inlineStr">
        <is>
          <t>avverkningsanmälan</t>
        </is>
      </c>
      <c r="C70" t="inlineStr">
        <is>
          <t>Föryngringsavverkning</t>
        </is>
      </c>
      <c r="D70" s="1" t="n">
        <v>44678</v>
      </c>
      <c r="E70" s="1" t="n">
        <v>46260</v>
      </c>
      <c r="F70" t="inlineStr">
        <is>
          <t>STOCKHOLMS LÄN</t>
        </is>
      </c>
      <c r="G70" t="inlineStr">
        <is>
          <t>ÖSTERÅKER</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34038-2025</t>
        </is>
      </c>
      <c r="B71" t="inlineStr">
        <is>
          <t>avverkningsanmälan</t>
        </is>
      </c>
      <c r="C71" t="inlineStr">
        <is>
          <t>Föryngringsavverkning</t>
        </is>
      </c>
      <c r="D71" s="1" t="n">
        <v>45842</v>
      </c>
      <c r="E71" s="1" t="n">
        <v>46260</v>
      </c>
      <c r="F71" t="inlineStr">
        <is>
          <t>STOCKHOLMS LÄN</t>
        </is>
      </c>
      <c r="G71" t="inlineStr">
        <is>
          <t>ÖSTERÅKER</t>
        </is>
      </c>
      <c r="H71" t="inlineStr">
        <is>
          <t>Övriga Aktiebolag</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34034-2025</t>
        </is>
      </c>
      <c r="B72" t="inlineStr">
        <is>
          <t>avverkningsanmälan</t>
        </is>
      </c>
      <c r="C72" t="inlineStr">
        <is>
          <t>Föryngringsavverkning</t>
        </is>
      </c>
      <c r="D72" s="1" t="n">
        <v>45842</v>
      </c>
      <c r="E72" s="1" t="n">
        <v>46260</v>
      </c>
      <c r="F72" t="inlineStr">
        <is>
          <t>STOCKHOLMS LÄN</t>
        </is>
      </c>
      <c r="G72" t="inlineStr">
        <is>
          <t>ÖSTERÅKER</t>
        </is>
      </c>
      <c r="H72" t="inlineStr">
        <is>
          <t>Övriga Aktiebolag</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6655-2023</t>
        </is>
      </c>
      <c r="B73" t="inlineStr">
        <is>
          <t>avverkningsanmälan</t>
        </is>
      </c>
      <c r="C73" t="inlineStr">
        <is>
          <t>Föryngringsavverkning</t>
        </is>
      </c>
      <c r="D73" s="1" t="n">
        <v>44966</v>
      </c>
      <c r="E73" s="1" t="n">
        <v>46260</v>
      </c>
      <c r="F73" t="inlineStr">
        <is>
          <t>STOCKHOLMS LÄN</t>
        </is>
      </c>
      <c r="G73" t="inlineStr">
        <is>
          <t>ÖSTERÅKER</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23198-2026</t>
        </is>
      </c>
      <c r="B74" t="inlineStr">
        <is>
          <t>avverkningsanmälan</t>
        </is>
      </c>
      <c r="C74" t="inlineStr">
        <is>
          <t>Avverkning för annat ändamål</t>
        </is>
      </c>
      <c r="D74" s="1" t="n">
        <v>46161</v>
      </c>
      <c r="E74" s="1" t="n">
        <v>46260</v>
      </c>
      <c r="F74" t="inlineStr">
        <is>
          <t>STOCKHOLMS LÄN</t>
        </is>
      </c>
      <c r="G74" t="inlineStr">
        <is>
          <t>ÖSTERÅKER</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9865-2025</t>
        </is>
      </c>
      <c r="B75" t="inlineStr">
        <is>
          <t>avverkningsanmälan</t>
        </is>
      </c>
      <c r="C75" t="inlineStr">
        <is>
          <t>Föryngringsavverkning</t>
        </is>
      </c>
      <c r="D75" s="1" t="n">
        <v>45716</v>
      </c>
      <c r="E75" s="1" t="n">
        <v>46260</v>
      </c>
      <c r="F75" t="inlineStr">
        <is>
          <t>STOCKHOLMS LÄN</t>
        </is>
      </c>
      <c r="G75" t="inlineStr">
        <is>
          <t>ÖSTERÅKER</t>
        </is>
      </c>
      <c r="I75" t="n">
        <v>7</v>
      </c>
      <c r="J75" t="n">
        <v>0</v>
      </c>
      <c r="K75" t="n">
        <v>0</v>
      </c>
      <c r="L75" t="n">
        <v>0</v>
      </c>
      <c r="M75" t="n">
        <v>0</v>
      </c>
      <c r="N75" t="n">
        <v>0</v>
      </c>
      <c r="O75" t="n">
        <v>0</v>
      </c>
      <c r="P75" t="n">
        <v>0</v>
      </c>
      <c r="Q75" t="n">
        <v>0</v>
      </c>
      <c r="R75" t="n">
        <v>0</v>
      </c>
      <c r="S75" t="n">
        <v>0</v>
      </c>
      <c r="T75" t="n">
        <v>0</v>
      </c>
      <c r="U75" t="n">
        <v>0</v>
      </c>
      <c r="V75" s="2" t="inlineStr"/>
    </row>
    <row r="76" ht="15" customHeight="1">
      <c r="A76" t="inlineStr">
        <is>
          <t>A 35819-2025</t>
        </is>
      </c>
      <c r="B76" t="inlineStr">
        <is>
          <t>avverkningsanmälan</t>
        </is>
      </c>
      <c r="C76" t="inlineStr">
        <is>
          <t>Föryngringsavverkning</t>
        </is>
      </c>
      <c r="D76" s="1" t="n">
        <v>45861</v>
      </c>
      <c r="E76" s="1" t="n">
        <v>46260</v>
      </c>
      <c r="F76" t="inlineStr">
        <is>
          <t>STOCKHOLMS LÄN</t>
        </is>
      </c>
      <c r="G76" t="inlineStr">
        <is>
          <t>ÖSTERÅKER</t>
        </is>
      </c>
      <c r="H76" t="inlineStr">
        <is>
          <t>Övriga Aktiebolag</t>
        </is>
      </c>
      <c r="I76" t="n">
        <v>8</v>
      </c>
      <c r="J76" t="n">
        <v>0</v>
      </c>
      <c r="K76" t="n">
        <v>0</v>
      </c>
      <c r="L76" t="n">
        <v>0</v>
      </c>
      <c r="M76" t="n">
        <v>0</v>
      </c>
      <c r="N76" t="n">
        <v>0</v>
      </c>
      <c r="O76" t="n">
        <v>0</v>
      </c>
      <c r="P76" t="n">
        <v>0</v>
      </c>
      <c r="Q76" t="n">
        <v>0</v>
      </c>
      <c r="R76" t="n">
        <v>0</v>
      </c>
      <c r="S76" t="n">
        <v>0</v>
      </c>
      <c r="T76" t="n">
        <v>0</v>
      </c>
      <c r="U76" t="n">
        <v>0</v>
      </c>
      <c r="V76" s="2" t="inlineStr"/>
    </row>
    <row r="77" ht="15" customHeight="1">
      <c r="A77" t="inlineStr">
        <is>
          <t>A 56909-2024</t>
        </is>
      </c>
      <c r="B77" t="inlineStr">
        <is>
          <t>avverkningsanmälan</t>
        </is>
      </c>
      <c r="C77" t="inlineStr">
        <is>
          <t>Avverkning för att bevara och utveckla /försöksver</t>
        </is>
      </c>
      <c r="D77" s="1" t="n">
        <v>45628</v>
      </c>
      <c r="E77" s="1" t="n">
        <v>46260</v>
      </c>
      <c r="F77" t="inlineStr">
        <is>
          <t>STOCKHOLMS LÄN</t>
        </is>
      </c>
      <c r="G77" t="inlineStr">
        <is>
          <t>ÖSTERÅKER</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26249-2026</t>
        </is>
      </c>
      <c r="B78" t="inlineStr">
        <is>
          <t>avverkningsanmälan</t>
        </is>
      </c>
      <c r="C78" t="inlineStr">
        <is>
          <t>Avverkning för annat ändamål</t>
        </is>
      </c>
      <c r="D78" s="1" t="n">
        <v>46182</v>
      </c>
      <c r="E78" s="1" t="n">
        <v>46260</v>
      </c>
      <c r="F78" t="inlineStr">
        <is>
          <t>STOCKHOLMS LÄN</t>
        </is>
      </c>
      <c r="G78" t="inlineStr">
        <is>
          <t>ÖSTERÅKER</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845-2024</t>
        </is>
      </c>
      <c r="B79" t="inlineStr">
        <is>
          <t>avverkningsanmälan</t>
        </is>
      </c>
      <c r="C79" t="inlineStr">
        <is>
          <t>Föryngringsavverkning</t>
        </is>
      </c>
      <c r="D79" s="1" t="n">
        <v>45300</v>
      </c>
      <c r="E79" s="1" t="n">
        <v>46260</v>
      </c>
      <c r="F79" t="inlineStr">
        <is>
          <t>STOCKHOLMS LÄN</t>
        </is>
      </c>
      <c r="G79" t="inlineStr">
        <is>
          <t>ÖSTERÅKER</t>
        </is>
      </c>
      <c r="I79" t="n">
        <v>10.1</v>
      </c>
      <c r="J79" t="n">
        <v>0</v>
      </c>
      <c r="K79" t="n">
        <v>0</v>
      </c>
      <c r="L79" t="n">
        <v>0</v>
      </c>
      <c r="M79" t="n">
        <v>0</v>
      </c>
      <c r="N79" t="n">
        <v>0</v>
      </c>
      <c r="O79" t="n">
        <v>0</v>
      </c>
      <c r="P79" t="n">
        <v>0</v>
      </c>
      <c r="Q79" t="n">
        <v>0</v>
      </c>
      <c r="R79" t="n">
        <v>0</v>
      </c>
      <c r="S79" t="n">
        <v>0</v>
      </c>
      <c r="T79" t="n">
        <v>0</v>
      </c>
      <c r="U79" t="n">
        <v>0</v>
      </c>
      <c r="V79" s="2" t="inlineStr"/>
    </row>
    <row r="80" ht="15" customHeight="1">
      <c r="A80" t="inlineStr">
        <is>
          <t>A 31134-2023</t>
        </is>
      </c>
      <c r="B80" t="inlineStr">
        <is>
          <t>avverkningsanmälan</t>
        </is>
      </c>
      <c r="C80" t="inlineStr">
        <is>
          <t>Föryngringsavverkning</t>
        </is>
      </c>
      <c r="D80" s="1" t="n">
        <v>45113</v>
      </c>
      <c r="E80" s="1" t="n">
        <v>46260</v>
      </c>
      <c r="F80" t="inlineStr">
        <is>
          <t>STOCKHOLMS LÄN</t>
        </is>
      </c>
      <c r="G80" t="inlineStr">
        <is>
          <t>ÖSTERÅKER</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10185-2025</t>
        </is>
      </c>
      <c r="B81" t="inlineStr">
        <is>
          <t>avverkningsanmälan</t>
        </is>
      </c>
      <c r="C81" t="inlineStr">
        <is>
          <t>Föryngringsavverkning</t>
        </is>
      </c>
      <c r="D81" s="1" t="n">
        <v>45719</v>
      </c>
      <c r="E81" s="1" t="n">
        <v>46260</v>
      </c>
      <c r="F81" t="inlineStr">
        <is>
          <t>STOCKHOLMS LÄN</t>
        </is>
      </c>
      <c r="G81" t="inlineStr">
        <is>
          <t>ÖSTERÅKER</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29443-2026</t>
        </is>
      </c>
      <c r="B82" t="inlineStr">
        <is>
          <t>avverkningsanmälan</t>
        </is>
      </c>
      <c r="C82" t="inlineStr">
        <is>
          <t>Föryngringsavverkning</t>
        </is>
      </c>
      <c r="D82" s="1" t="n">
        <v>46203</v>
      </c>
      <c r="E82" s="1" t="n">
        <v>46260</v>
      </c>
      <c r="F82" t="inlineStr">
        <is>
          <t>STOCKHOLMS LÄN</t>
        </is>
      </c>
      <c r="G82" t="inlineStr">
        <is>
          <t>ÖSTERÅKER</t>
        </is>
      </c>
      <c r="I82" t="n">
        <v>13.8</v>
      </c>
      <c r="J82" t="n">
        <v>0</v>
      </c>
      <c r="K82" t="n">
        <v>0</v>
      </c>
      <c r="L82" t="n">
        <v>0</v>
      </c>
      <c r="M82" t="n">
        <v>0</v>
      </c>
      <c r="N82" t="n">
        <v>0</v>
      </c>
      <c r="O82" t="n">
        <v>0</v>
      </c>
      <c r="P82" t="n">
        <v>0</v>
      </c>
      <c r="Q82" t="n">
        <v>0</v>
      </c>
      <c r="R82" t="n">
        <v>0</v>
      </c>
      <c r="S82" t="n">
        <v>0</v>
      </c>
      <c r="T82" t="n">
        <v>0</v>
      </c>
      <c r="U82" t="n">
        <v>0</v>
      </c>
      <c r="V82" s="2" t="inlineStr"/>
    </row>
    <row r="83" ht="15" customHeight="1">
      <c r="A83" t="inlineStr">
        <is>
          <t>A 24499-2023</t>
        </is>
      </c>
      <c r="B83" t="inlineStr">
        <is>
          <t>avverkningsanmälan</t>
        </is>
      </c>
      <c r="C83" t="inlineStr">
        <is>
          <t>Föryngringsavverkning</t>
        </is>
      </c>
      <c r="D83" s="1" t="n">
        <v>45082</v>
      </c>
      <c r="E83" s="1" t="n">
        <v>46260</v>
      </c>
      <c r="F83" t="inlineStr">
        <is>
          <t>STOCKHOLMS LÄN</t>
        </is>
      </c>
      <c r="G83" t="inlineStr">
        <is>
          <t>ÖSTERÅKER</t>
        </is>
      </c>
      <c r="I83" t="n">
        <v>0.1</v>
      </c>
      <c r="J83" t="n">
        <v>0</v>
      </c>
      <c r="K83" t="n">
        <v>0</v>
      </c>
      <c r="L83" t="n">
        <v>0</v>
      </c>
      <c r="M83" t="n">
        <v>0</v>
      </c>
      <c r="N83" t="n">
        <v>0</v>
      </c>
      <c r="O83" t="n">
        <v>0</v>
      </c>
      <c r="P83" t="n">
        <v>0</v>
      </c>
      <c r="Q83" t="n">
        <v>0</v>
      </c>
      <c r="R83" t="n">
        <v>0</v>
      </c>
      <c r="S83" t="n">
        <v>0</v>
      </c>
      <c r="T83" t="n">
        <v>0</v>
      </c>
      <c r="U83" t="n">
        <v>0</v>
      </c>
      <c r="V83" s="2" t="inlineStr"/>
    </row>
    <row r="84" ht="15" customHeight="1">
      <c r="A84" t="inlineStr">
        <is>
          <t>A 30599-2026</t>
        </is>
      </c>
      <c r="B84" t="inlineStr">
        <is>
          <t>avverkningsanmälan</t>
        </is>
      </c>
      <c r="C84" t="inlineStr">
        <is>
          <t>Föryngringsavverkning</t>
        </is>
      </c>
      <c r="D84" s="1" t="n">
        <v>46210</v>
      </c>
      <c r="E84" s="1" t="n">
        <v>46260</v>
      </c>
      <c r="F84" t="inlineStr">
        <is>
          <t>STOCKHOLMS LÄN</t>
        </is>
      </c>
      <c r="G84" t="inlineStr">
        <is>
          <t>ÖSTERÅKER</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28146-2024</t>
        </is>
      </c>
      <c r="B85" t="inlineStr">
        <is>
          <t>avverkningsanmälan</t>
        </is>
      </c>
      <c r="C85" t="inlineStr">
        <is>
          <t>Föryngringsavverkning</t>
        </is>
      </c>
      <c r="D85" s="1" t="n">
        <v>45476</v>
      </c>
      <c r="E85" s="1" t="n">
        <v>46260</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57048-2024</t>
        </is>
      </c>
      <c r="B86" t="inlineStr">
        <is>
          <t>avverkningsanmälan</t>
        </is>
      </c>
      <c r="C86" t="inlineStr">
        <is>
          <t>Föryngringsavverkning</t>
        </is>
      </c>
      <c r="D86" s="1" t="n">
        <v>45629</v>
      </c>
      <c r="E86" s="1" t="n">
        <v>46260</v>
      </c>
      <c r="F86" t="inlineStr">
        <is>
          <t>STOCKHOLMS LÄN</t>
        </is>
      </c>
      <c r="G86" t="inlineStr">
        <is>
          <t>ÖSTERÅKER</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31154-2026</t>
        </is>
      </c>
      <c r="B87" t="inlineStr">
        <is>
          <t>avverkningsanmälan</t>
        </is>
      </c>
      <c r="C87" t="inlineStr">
        <is>
          <t>Föryngringsavverkning</t>
        </is>
      </c>
      <c r="D87" s="1" t="n">
        <v>46216</v>
      </c>
      <c r="E87" s="1" t="n">
        <v>46260</v>
      </c>
      <c r="F87" t="inlineStr">
        <is>
          <t>STOCKHOLMS LÄN</t>
        </is>
      </c>
      <c r="G87" t="inlineStr">
        <is>
          <t>ÖSTERÅKER</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5286-2025</t>
        </is>
      </c>
      <c r="B88" t="inlineStr">
        <is>
          <t>avverkningsanmälan</t>
        </is>
      </c>
      <c r="C88" t="inlineStr">
        <is>
          <t>Föryngringsavverkning</t>
        </is>
      </c>
      <c r="D88" s="1" t="n">
        <v>45692</v>
      </c>
      <c r="E88" s="1" t="n">
        <v>46260</v>
      </c>
      <c r="F88" t="inlineStr">
        <is>
          <t>STOCKHOLMS LÄN</t>
        </is>
      </c>
      <c r="G88" t="inlineStr">
        <is>
          <t>ÖSTERÅKER</t>
        </is>
      </c>
      <c r="I88" t="n">
        <v>11.2</v>
      </c>
      <c r="J88" t="n">
        <v>0</v>
      </c>
      <c r="K88" t="n">
        <v>0</v>
      </c>
      <c r="L88" t="n">
        <v>0</v>
      </c>
      <c r="M88" t="n">
        <v>0</v>
      </c>
      <c r="N88" t="n">
        <v>0</v>
      </c>
      <c r="O88" t="n">
        <v>0</v>
      </c>
      <c r="P88" t="n">
        <v>0</v>
      </c>
      <c r="Q88" t="n">
        <v>0</v>
      </c>
      <c r="R88" t="n">
        <v>0</v>
      </c>
      <c r="S88" t="n">
        <v>0</v>
      </c>
      <c r="T88" t="n">
        <v>0</v>
      </c>
      <c r="U88" t="n">
        <v>0</v>
      </c>
      <c r="V88" s="2" t="inlineStr"/>
    </row>
    <row r="89" ht="15" customHeight="1">
      <c r="A89" t="inlineStr">
        <is>
          <t>A 3817-2023</t>
        </is>
      </c>
      <c r="B89" t="inlineStr">
        <is>
          <t>avverkningsanmälan</t>
        </is>
      </c>
      <c r="C89" t="inlineStr">
        <is>
          <t>Föryngringsavverkning</t>
        </is>
      </c>
      <c r="D89" s="1" t="n">
        <v>44951</v>
      </c>
      <c r="E89" s="1" t="n">
        <v>46260</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544-2023</t>
        </is>
      </c>
      <c r="B90" t="inlineStr">
        <is>
          <t>avverkningsanmälan</t>
        </is>
      </c>
      <c r="C90" t="inlineStr">
        <is>
          <t>Avverkning för annat ändamål</t>
        </is>
      </c>
      <c r="D90" s="1" t="n">
        <v>44924</v>
      </c>
      <c r="E90" s="1" t="n">
        <v>46260</v>
      </c>
      <c r="F90" t="inlineStr">
        <is>
          <t>STOCKHOLMS LÄN</t>
        </is>
      </c>
      <c r="G90" t="inlineStr">
        <is>
          <t>ÖSTERÅKER</t>
        </is>
      </c>
      <c r="H90" t="inlineStr">
        <is>
          <t>Övriga Aktiebolag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31146-2026</t>
        </is>
      </c>
      <c r="B91" t="inlineStr">
        <is>
          <t>avverkningsanmälan</t>
        </is>
      </c>
      <c r="C91" t="inlineStr">
        <is>
          <t>Föryngringsavverkning</t>
        </is>
      </c>
      <c r="D91" s="1" t="n">
        <v>46216</v>
      </c>
      <c r="E91" s="1" t="n">
        <v>46260</v>
      </c>
      <c r="F91" t="inlineStr">
        <is>
          <t>STOCKHOLMS LÄN</t>
        </is>
      </c>
      <c r="G91" t="inlineStr">
        <is>
          <t>ÖSTERÅKER</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31149-2026</t>
        </is>
      </c>
      <c r="B92" t="inlineStr">
        <is>
          <t>avverkningsanmälan</t>
        </is>
      </c>
      <c r="C92" t="inlineStr">
        <is>
          <t>Föryngringsavverkning</t>
        </is>
      </c>
      <c r="D92" s="1" t="n">
        <v>46216</v>
      </c>
      <c r="E92" s="1" t="n">
        <v>46260</v>
      </c>
      <c r="F92" t="inlineStr">
        <is>
          <t>STOCKHOLMS LÄN</t>
        </is>
      </c>
      <c r="G92" t="inlineStr">
        <is>
          <t>ÖSTERÅKER</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3326-2022</t>
        </is>
      </c>
      <c r="B93" t="inlineStr">
        <is>
          <t>avverkningsanmälan</t>
        </is>
      </c>
      <c r="C93" t="inlineStr">
        <is>
          <t>Föryngringsavverkning</t>
        </is>
      </c>
      <c r="D93" s="1" t="n">
        <v>44583</v>
      </c>
      <c r="E93" s="1" t="n">
        <v>46260</v>
      </c>
      <c r="F93" t="inlineStr">
        <is>
          <t>STOCKHOLMS LÄN</t>
        </is>
      </c>
      <c r="G93" t="inlineStr">
        <is>
          <t>ÖSTERÅKER</t>
        </is>
      </c>
      <c r="H93" t="inlineStr">
        <is>
          <t>Övriga Aktiebolag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31156-2026</t>
        </is>
      </c>
      <c r="B94" t="inlineStr">
        <is>
          <t>avverkningsanmälan</t>
        </is>
      </c>
      <c r="C94" t="inlineStr">
        <is>
          <t>Föryngringsavverkning</t>
        </is>
      </c>
      <c r="D94" s="1" t="n">
        <v>46216</v>
      </c>
      <c r="E94" s="1" t="n">
        <v>46260</v>
      </c>
      <c r="F94" t="inlineStr">
        <is>
          <t>STOCKHOLMS LÄN</t>
        </is>
      </c>
      <c r="G94" t="inlineStr">
        <is>
          <t>ÖSTERÅKER</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13366-2024</t>
        </is>
      </c>
      <c r="B95" t="inlineStr">
        <is>
          <t>avverkningsanmälan</t>
        </is>
      </c>
      <c r="C95" t="inlineStr">
        <is>
          <t>Föryngringsavverkning</t>
        </is>
      </c>
      <c r="D95" s="1" t="n">
        <v>45387</v>
      </c>
      <c r="E95" s="1" t="n">
        <v>46260</v>
      </c>
      <c r="F95" t="inlineStr">
        <is>
          <t>STOCKHOLMS LÄN</t>
        </is>
      </c>
      <c r="G95" t="inlineStr">
        <is>
          <t>ÖSTERÅKER</t>
        </is>
      </c>
      <c r="I95" t="n">
        <v>13.7</v>
      </c>
      <c r="J95" t="n">
        <v>0</v>
      </c>
      <c r="K95" t="n">
        <v>0</v>
      </c>
      <c r="L95" t="n">
        <v>0</v>
      </c>
      <c r="M95" t="n">
        <v>0</v>
      </c>
      <c r="N95" t="n">
        <v>0</v>
      </c>
      <c r="O95" t="n">
        <v>0</v>
      </c>
      <c r="P95" t="n">
        <v>0</v>
      </c>
      <c r="Q95" t="n">
        <v>0</v>
      </c>
      <c r="R95" t="n">
        <v>0</v>
      </c>
      <c r="S95" t="n">
        <v>0</v>
      </c>
      <c r="T95" t="n">
        <v>0</v>
      </c>
      <c r="U95" t="n">
        <v>0</v>
      </c>
      <c r="V95" s="2" t="inlineStr"/>
    </row>
    <row r="96" ht="15" customHeight="1">
      <c r="A96" t="inlineStr">
        <is>
          <t>A 57055-2024</t>
        </is>
      </c>
      <c r="B96" t="inlineStr">
        <is>
          <t>avverkningsanmälan</t>
        </is>
      </c>
      <c r="C96" t="inlineStr">
        <is>
          <t>Föryngringsavverkning</t>
        </is>
      </c>
      <c r="D96" s="1" t="n">
        <v>45629</v>
      </c>
      <c r="E96" s="1" t="n">
        <v>46260</v>
      </c>
      <c r="F96" t="inlineStr">
        <is>
          <t>STOCKHOLMS LÄN</t>
        </is>
      </c>
      <c r="G96" t="inlineStr">
        <is>
          <t>ÖSTERÅKER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59379-2022</t>
        </is>
      </c>
      <c r="B97" t="inlineStr">
        <is>
          <t>avverkningsanmälan</t>
        </is>
      </c>
      <c r="C97" t="inlineStr">
        <is>
          <t>Föryngringsavverkning</t>
        </is>
      </c>
      <c r="D97" s="1" t="n">
        <v>44905</v>
      </c>
      <c r="E97" s="1" t="n">
        <v>46260</v>
      </c>
      <c r="F97" t="inlineStr">
        <is>
          <t>STOCKHOLMS LÄN</t>
        </is>
      </c>
      <c r="G97" t="inlineStr">
        <is>
          <t>ÖSTERÅKER</t>
        </is>
      </c>
      <c r="H97" t="inlineStr">
        <is>
          <t>Kommuner</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46688-2022</t>
        </is>
      </c>
      <c r="B98" t="inlineStr">
        <is>
          <t>avverkningsanmälan</t>
        </is>
      </c>
      <c r="C98" t="inlineStr">
        <is>
          <t>Föryngringsavverkning</t>
        </is>
      </c>
      <c r="D98" s="1" t="n">
        <v>44851</v>
      </c>
      <c r="E98" s="1" t="n">
        <v>46260</v>
      </c>
      <c r="F98" t="inlineStr">
        <is>
          <t>STOCKHOLMS LÄN</t>
        </is>
      </c>
      <c r="G98" t="inlineStr">
        <is>
          <t>ÖSTERÅKER</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16738-2022</t>
        </is>
      </c>
      <c r="B99" t="inlineStr">
        <is>
          <t>avverkningsanmälan</t>
        </is>
      </c>
      <c r="C99" t="inlineStr">
        <is>
          <t>Avverkning för annat ändamål</t>
        </is>
      </c>
      <c r="D99" s="1" t="n">
        <v>44673</v>
      </c>
      <c r="E99" s="1" t="n">
        <v>46260</v>
      </c>
      <c r="F99" t="inlineStr">
        <is>
          <t>STOCKHOLMS LÄN</t>
        </is>
      </c>
      <c r="G99" t="inlineStr">
        <is>
          <t>ÖSTERÅKER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17196-2022</t>
        </is>
      </c>
      <c r="B100" t="inlineStr">
        <is>
          <t>avverkningsanmälan</t>
        </is>
      </c>
      <c r="C100" t="inlineStr">
        <is>
          <t>Föryngringsavverkning</t>
        </is>
      </c>
      <c r="D100" s="1" t="n">
        <v>44677</v>
      </c>
      <c r="E100" s="1" t="n">
        <v>46260</v>
      </c>
      <c r="F100" t="inlineStr">
        <is>
          <t>STOCKHOLMS LÄN</t>
        </is>
      </c>
      <c r="G100" t="inlineStr">
        <is>
          <t>ÖSTERÅKER</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3917-2023</t>
        </is>
      </c>
      <c r="B101" t="inlineStr">
        <is>
          <t>avverkningsanmälan</t>
        </is>
      </c>
      <c r="C101" t="inlineStr">
        <is>
          <t>Föryngringsavverkning</t>
        </is>
      </c>
      <c r="D101" s="1" t="n">
        <v>44952</v>
      </c>
      <c r="E101" s="1" t="n">
        <v>46260</v>
      </c>
      <c r="F101" t="inlineStr">
        <is>
          <t>STOCKHOLMS LÄN</t>
        </is>
      </c>
      <c r="G101" t="inlineStr">
        <is>
          <t>ÖSTERÅKER</t>
        </is>
      </c>
      <c r="H101" t="inlineStr">
        <is>
          <t>Kommuner</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62108-2022</t>
        </is>
      </c>
      <c r="B102" t="inlineStr">
        <is>
          <t>avverkningsanmälan</t>
        </is>
      </c>
      <c r="C102" t="inlineStr">
        <is>
          <t>Föryngringsavverkning</t>
        </is>
      </c>
      <c r="D102" s="1" t="n">
        <v>44920</v>
      </c>
      <c r="E102" s="1" t="n">
        <v>46260</v>
      </c>
      <c r="F102" t="inlineStr">
        <is>
          <t>STOCKHOLMS LÄN</t>
        </is>
      </c>
      <c r="G102" t="inlineStr">
        <is>
          <t>ÖSTERÅKER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46260</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46260</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46260</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2026-08-26T01:51:42Z</dcterms:created>
  <dcterms:modified xmlns:dcterms="http://purl.org/dc/terms/" xmlns:xsi="http://www.w3.org/2001/XMLSchema-instance" xsi:type="dcterms:W3CDTF">2026-08-26T01:51:42Z</dcterms:modified>
</cp:coreProperties>
</file>