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46269</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46269</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46269</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46269</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46269</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46269</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46269</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46269</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46269</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46269</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46269</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46269</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46269</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54703-2024</t>
        </is>
      </c>
      <c r="B15" t="inlineStr">
        <is>
          <t>avverkningsanmälan</t>
        </is>
      </c>
      <c r="C15" t="inlineStr">
        <is>
          <t>Avverkning för annat ändamål</t>
        </is>
      </c>
      <c r="D15" s="1" t="n">
        <v>45618</v>
      </c>
      <c r="E15" s="1" t="n">
        <v>46269</v>
      </c>
      <c r="F15" t="inlineStr">
        <is>
          <t>STOCKHOLMS LÄN</t>
        </is>
      </c>
      <c r="G15" t="inlineStr">
        <is>
          <t>ÖSTERÅKER</t>
        </is>
      </c>
      <c r="I15" t="n">
        <v>7.7</v>
      </c>
      <c r="J15" t="n">
        <v>2</v>
      </c>
      <c r="K15" t="n">
        <v>0</v>
      </c>
      <c r="L15" t="n">
        <v>1</v>
      </c>
      <c r="M15" t="n">
        <v>0</v>
      </c>
      <c r="N15" t="n">
        <v>0</v>
      </c>
      <c r="O15" t="n">
        <v>0</v>
      </c>
      <c r="P15" t="n">
        <v>0</v>
      </c>
      <c r="Q15" t="n">
        <v>1</v>
      </c>
      <c r="R15" t="n">
        <v>0</v>
      </c>
      <c r="S15" t="n">
        <v>3</v>
      </c>
      <c r="T15" t="n">
        <v>6</v>
      </c>
      <c r="U15" t="n">
        <v>0</v>
      </c>
      <c r="V15" s="2" t="inlineStr">
        <is>
          <t>Tallticka
Spillkråka
Kungsfågel</t>
        </is>
      </c>
      <c r="W15">
        <f>HYPERLINK("https://klasma.github.io/Logging_0117/artfynd/A 54703-2024 artfynd.xlsx", "A 54703-2024")</f>
        <v/>
      </c>
      <c r="X15">
        <f>HYPERLINK("https://klasma.github.io/Logging_0117/kartor/A 54703-2024 karta.png", "A 54703-2024")</f>
        <v/>
      </c>
      <c r="Y15">
        <f>HYPERLINK("https://klasma.github.io/Logging_0117/kartor_geotiff/A 54703-2024 georefererad karta.tif", "A 54703-2024")</f>
        <v/>
      </c>
      <c r="AA15">
        <f>HYPERLINK("https://klasma.github.io/Logging_0117/klagomål/A 54703-2024 FSC-klagomål.docx", "A 54703-2024")</f>
        <v/>
      </c>
      <c r="AB15">
        <f>HYPERLINK("https://klasma.github.io/Logging_0117/klagomålsmail/A 54703-2024 FSC-klagomål mail.docx", "A 54703-2024")</f>
        <v/>
      </c>
      <c r="AC15">
        <f>HYPERLINK("https://klasma.github.io/Logging_0117/tillsyn/A 54703-2024 tillsynsbegäran.docx", "A 54703-2024")</f>
        <v/>
      </c>
      <c r="AD15">
        <f>HYPERLINK("https://klasma.github.io/Logging_0117/tillsynsmail/A 54703-2024 tillsynsbegäran mail.docx", "A 54703-2024")</f>
        <v/>
      </c>
      <c r="AE15">
        <f>HYPERLINK("https://klasma.github.io/Logging_0117/fåglar/A 54703-2024 prioriterade fågelarter.docx", "A 54703-2024")</f>
        <v/>
      </c>
    </row>
    <row r="16" ht="15" customHeight="1">
      <c r="A16" t="inlineStr">
        <is>
          <t>A 61363-2022</t>
        </is>
      </c>
      <c r="B16" t="inlineStr">
        <is>
          <t>avverkningsanmälan</t>
        </is>
      </c>
      <c r="C16" t="inlineStr">
        <is>
          <t>Föryngringsavverkning</t>
        </is>
      </c>
      <c r="D16" s="1" t="n">
        <v>44915</v>
      </c>
      <c r="E16" s="1" t="n">
        <v>46269</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62578-2025</t>
        </is>
      </c>
      <c r="B17" t="inlineStr">
        <is>
          <t>avverkningsanmälan</t>
        </is>
      </c>
      <c r="C17" t="inlineStr">
        <is>
          <t>Föryngringsavverkning</t>
        </is>
      </c>
      <c r="D17" s="1" t="n">
        <v>46007</v>
      </c>
      <c r="E17" s="1" t="n">
        <v>46269</v>
      </c>
      <c r="F17" t="inlineStr">
        <is>
          <t>STOCKHOLMS LÄN</t>
        </is>
      </c>
      <c r="G17" t="inlineStr">
        <is>
          <t>ÖSTERÅKER</t>
        </is>
      </c>
      <c r="I17" t="n">
        <v>3.4</v>
      </c>
      <c r="J17" t="n">
        <v>0</v>
      </c>
      <c r="K17" t="n">
        <v>3</v>
      </c>
      <c r="L17" t="n">
        <v>0</v>
      </c>
      <c r="M17" t="n">
        <v>0</v>
      </c>
      <c r="N17" t="n">
        <v>0</v>
      </c>
      <c r="O17" t="n">
        <v>0</v>
      </c>
      <c r="P17" t="n">
        <v>0</v>
      </c>
      <c r="Q17" t="n">
        <v>0</v>
      </c>
      <c r="R17" t="n">
        <v>0</v>
      </c>
      <c r="S17" t="n">
        <v>3</v>
      </c>
      <c r="T17" t="n">
        <v>4</v>
      </c>
      <c r="U17" t="n">
        <v>0</v>
      </c>
      <c r="V17" s="2" t="inlineStr">
        <is>
          <t>Fällmossa
Mindre märgborre
Vedticka</t>
        </is>
      </c>
      <c r="W17">
        <f>HYPERLINK("https://klasma.github.io/Logging_0117/artfynd/A 62578-2025 artfynd.xlsx", "A 62578-2025")</f>
        <v/>
      </c>
      <c r="X17">
        <f>HYPERLINK("https://klasma.github.io/Logging_0117/kartor/A 62578-2025 karta.png", "A 62578-2025")</f>
        <v/>
      </c>
      <c r="Y17">
        <f>HYPERLINK("https://klasma.github.io/Logging_0117/kartor_geotiff/A 62578-2025 georefererad karta.tif", "A 62578-2025")</f>
        <v/>
      </c>
      <c r="AA17">
        <f>HYPERLINK("https://klasma.github.io/Logging_0117/klagomål/A 62578-2025 FSC-klagomål.docx", "A 62578-2025")</f>
        <v/>
      </c>
      <c r="AB17">
        <f>HYPERLINK("https://klasma.github.io/Logging_0117/klagomålsmail/A 62578-2025 FSC-klagomål mail.docx", "A 62578-2025")</f>
        <v/>
      </c>
      <c r="AC17">
        <f>HYPERLINK("https://klasma.github.io/Logging_0117/tillsyn/A 62578-2025 tillsynsbegäran.docx", "A 62578-2025")</f>
        <v/>
      </c>
      <c r="AD17">
        <f>HYPERLINK("https://klasma.github.io/Logging_0117/tillsynsmail/A 62578-2025 tillsynsbegäran mail.docx", "A 62578-2025")</f>
        <v/>
      </c>
    </row>
    <row r="18" ht="15" customHeight="1">
      <c r="A18" t="inlineStr">
        <is>
          <t>A 67244-2021</t>
        </is>
      </c>
      <c r="B18" t="inlineStr">
        <is>
          <t>avverkningsanmälan</t>
        </is>
      </c>
      <c r="C18" t="inlineStr">
        <is>
          <t>Avverkning för annat ändamål</t>
        </is>
      </c>
      <c r="D18" s="1" t="n">
        <v>44523</v>
      </c>
      <c r="E18" s="1" t="n">
        <v>46269</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46269</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46269</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46269</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46269</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31716-2025</t>
        </is>
      </c>
      <c r="B23" t="inlineStr">
        <is>
          <t>avverkningsanmälan</t>
        </is>
      </c>
      <c r="C23" t="inlineStr">
        <is>
          <t>Föryngringsavverkning</t>
        </is>
      </c>
      <c r="D23" s="1" t="n">
        <v>45834</v>
      </c>
      <c r="E23" s="1" t="n">
        <v>46269</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46269</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62839-2025</t>
        </is>
      </c>
      <c r="B25" t="inlineStr">
        <is>
          <t>avverkningsanmälan</t>
        </is>
      </c>
      <c r="C25" t="inlineStr">
        <is>
          <t>Föryngringsavverkning</t>
        </is>
      </c>
      <c r="D25" s="1" t="n">
        <v>46008</v>
      </c>
      <c r="E25" s="1" t="n">
        <v>46269</v>
      </c>
      <c r="F25" t="inlineStr">
        <is>
          <t>STOCKHOLMS LÄN</t>
        </is>
      </c>
      <c r="G25" t="inlineStr">
        <is>
          <t>ÖSTERÅKER</t>
        </is>
      </c>
      <c r="I25" t="n">
        <v>1.4</v>
      </c>
      <c r="J25" t="n">
        <v>0</v>
      </c>
      <c r="K25" t="n">
        <v>0</v>
      </c>
      <c r="L25" t="n">
        <v>1</v>
      </c>
      <c r="M25" t="n">
        <v>0</v>
      </c>
      <c r="N25" t="n">
        <v>0</v>
      </c>
      <c r="O25" t="n">
        <v>0</v>
      </c>
      <c r="P25" t="n">
        <v>0</v>
      </c>
      <c r="Q25" t="n">
        <v>1</v>
      </c>
      <c r="R25" t="n">
        <v>0</v>
      </c>
      <c r="S25" t="n">
        <v>1</v>
      </c>
      <c r="T25" t="n">
        <v>1</v>
      </c>
      <c r="U25" t="n">
        <v>0</v>
      </c>
      <c r="V25" s="2" t="inlineStr">
        <is>
          <t>Gullpudra</t>
        </is>
      </c>
      <c r="W25">
        <f>HYPERLINK("https://klasma.github.io/Logging_0117/artfynd/A 62839-2025 artfynd.xlsx", "A 62839-2025")</f>
        <v/>
      </c>
      <c r="X25">
        <f>HYPERLINK("https://klasma.github.io/Logging_0117/kartor/A 62839-2025 karta.png", "A 62839-2025")</f>
        <v/>
      </c>
      <c r="Y25">
        <f>HYPERLINK("https://klasma.github.io/Logging_0117/kartor_geotiff/A 62839-2025 georefererad karta.tif", "A 62839-2025")</f>
        <v/>
      </c>
      <c r="AA25">
        <f>HYPERLINK("https://klasma.github.io/Logging_0117/klagomål/A 62839-2025 FSC-klagomål.docx", "A 62839-2025")</f>
        <v/>
      </c>
      <c r="AB25">
        <f>HYPERLINK("https://klasma.github.io/Logging_0117/klagomålsmail/A 62839-2025 FSC-klagomål mail.docx", "A 62839-2025")</f>
        <v/>
      </c>
      <c r="AC25">
        <f>HYPERLINK("https://klasma.github.io/Logging_0117/tillsyn/A 62839-2025 tillsynsbegäran.docx", "A 62839-2025")</f>
        <v/>
      </c>
      <c r="AD25">
        <f>HYPERLINK("https://klasma.github.io/Logging_0117/tillsynsmail/A 62839-2025 tillsynsbegäran mail.docx", "A 62839-2025")</f>
        <v/>
      </c>
    </row>
    <row r="26" ht="15" customHeight="1">
      <c r="A26" t="inlineStr">
        <is>
          <t>A 67265-2021</t>
        </is>
      </c>
      <c r="B26" t="inlineStr">
        <is>
          <t>avverkningsanmälan</t>
        </is>
      </c>
      <c r="C26" t="inlineStr">
        <is>
          <t>Föryngringsavverkning</t>
        </is>
      </c>
      <c r="D26" s="1" t="n">
        <v>44523</v>
      </c>
      <c r="E26" s="1" t="n">
        <v>46269</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t="n">
        <v>1</v>
      </c>
      <c r="V26" s="2" t="inlineStr">
        <is>
          <t>Mindre hackspett</t>
        </is>
      </c>
      <c r="W26">
        <f>HYPERLINK("https://klasma.github.io/Logging_0117/artfynd/A 67265-2021 artfynd.xlsx", "A 67265-2021")</f>
        <v/>
      </c>
      <c r="X26">
        <f>HYPERLINK("https://klasma.github.io/Logging_0117/kartor/A 67265-2021 karta.png", "A 67265-2021")</f>
        <v/>
      </c>
      <c r="Y26">
        <f>HYPERLINK("https://klasma.github.io/Logging_0117/kartor_geotiff/A 67265-2021 georefererad karta.tif", "A 67265-2021")</f>
        <v/>
      </c>
      <c r="AA26">
        <f>HYPERLINK("https://klasma.github.io/Logging_0117/klagomål/A 67265-2021 FSC-klagomål.docx", "A 67265-2021")</f>
        <v/>
      </c>
      <c r="AB26">
        <f>HYPERLINK("https://klasma.github.io/Logging_0117/klagomålsmail/A 67265-2021 FSC-klagomål mail.docx", "A 67265-2021")</f>
        <v/>
      </c>
      <c r="AC26">
        <f>HYPERLINK("https://klasma.github.io/Logging_0117/tillsyn/A 67265-2021 tillsynsbegäran.docx", "A 67265-2021")</f>
        <v/>
      </c>
      <c r="AD26">
        <f>HYPERLINK("https://klasma.github.io/Logging_0117/tillsynsmail/A 67265-2021 tillsynsbegäran mail.docx", "A 67265-2021")</f>
        <v/>
      </c>
      <c r="AE26">
        <f>HYPERLINK("https://klasma.github.io/Logging_0117/fåglar/A 67265-2021 prioriterade fågelarter.docx", "A 67265-2021")</f>
        <v/>
      </c>
    </row>
    <row r="27" ht="15" customHeight="1">
      <c r="A27" t="inlineStr">
        <is>
          <t>A 62831-2025</t>
        </is>
      </c>
      <c r="B27" t="inlineStr">
        <is>
          <t>avverkningsanmälan</t>
        </is>
      </c>
      <c r="C27" t="inlineStr">
        <is>
          <t>Föryngringsavverkning</t>
        </is>
      </c>
      <c r="D27" s="1" t="n">
        <v>46008</v>
      </c>
      <c r="E27" s="1" t="n">
        <v>46269</v>
      </c>
      <c r="F27" t="inlineStr">
        <is>
          <t>STOCKHOLMS LÄN</t>
        </is>
      </c>
      <c r="G27" t="inlineStr">
        <is>
          <t>ÖSTERÅKER</t>
        </is>
      </c>
      <c r="I27" t="n">
        <v>1.2</v>
      </c>
      <c r="J27" t="n">
        <v>0</v>
      </c>
      <c r="K27" t="n">
        <v>1</v>
      </c>
      <c r="L27" t="n">
        <v>0</v>
      </c>
      <c r="M27" t="n">
        <v>0</v>
      </c>
      <c r="N27" t="n">
        <v>0</v>
      </c>
      <c r="O27" t="n">
        <v>0</v>
      </c>
      <c r="P27" t="n">
        <v>0</v>
      </c>
      <c r="Q27" t="n">
        <v>0</v>
      </c>
      <c r="R27" t="n">
        <v>0</v>
      </c>
      <c r="S27" t="n">
        <v>1</v>
      </c>
      <c r="T27" t="n">
        <v>1</v>
      </c>
      <c r="U27" t="n">
        <v>0</v>
      </c>
      <c r="V27" s="2" t="inlineStr">
        <is>
          <t>Vedticka</t>
        </is>
      </c>
      <c r="W27">
        <f>HYPERLINK("https://klasma.github.io/Logging_0117/artfynd/A 62831-2025 artfynd.xlsx", "A 62831-2025")</f>
        <v/>
      </c>
      <c r="X27">
        <f>HYPERLINK("https://klasma.github.io/Logging_0117/kartor/A 62831-2025 karta.png", "A 62831-2025")</f>
        <v/>
      </c>
      <c r="Y27">
        <f>HYPERLINK("https://klasma.github.io/Logging_0117/kartor_geotiff/A 62831-2025 georefererad karta.tif", "A 62831-2025")</f>
        <v/>
      </c>
      <c r="AA27">
        <f>HYPERLINK("https://klasma.github.io/Logging_0117/klagomål/A 62831-2025 FSC-klagomål.docx", "A 62831-2025")</f>
        <v/>
      </c>
      <c r="AB27">
        <f>HYPERLINK("https://klasma.github.io/Logging_0117/klagomålsmail/A 62831-2025 FSC-klagomål mail.docx", "A 62831-2025")</f>
        <v/>
      </c>
      <c r="AC27">
        <f>HYPERLINK("https://klasma.github.io/Logging_0117/tillsyn/A 62831-2025 tillsynsbegäran.docx", "A 62831-2025")</f>
        <v/>
      </c>
      <c r="AD27">
        <f>HYPERLINK("https://klasma.github.io/Logging_0117/tillsynsmail/A 62831-2025 tillsynsbegäran mail.docx", "A 62831-2025")</f>
        <v/>
      </c>
    </row>
    <row r="28" ht="15" customHeight="1">
      <c r="A28" t="inlineStr">
        <is>
          <t>S 5861-2022</t>
        </is>
      </c>
      <c r="B28" t="inlineStr">
        <is>
          <t>samrådsanmälan</t>
        </is>
      </c>
      <c r="C28" t="inlineStr">
        <is>
          <t>Annan skogsbruksåtgärd</t>
        </is>
      </c>
      <c r="D28" s="1" t="n">
        <v>44852</v>
      </c>
      <c r="E28" s="1" t="n">
        <v>46269</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46269</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46269</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46269</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46269</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46269</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17173-2022</t>
        </is>
      </c>
      <c r="B34" t="inlineStr">
        <is>
          <t>avverkningsanmälan</t>
        </is>
      </c>
      <c r="C34" t="inlineStr">
        <is>
          <t>Föryngringsavverkning</t>
        </is>
      </c>
      <c r="D34" s="1" t="n">
        <v>44677</v>
      </c>
      <c r="E34" s="1" t="n">
        <v>46269</v>
      </c>
      <c r="F34" t="inlineStr">
        <is>
          <t>STOCKHOLMS LÄN</t>
        </is>
      </c>
      <c r="G34" t="inlineStr">
        <is>
          <t>ÖSTERÅKER</t>
        </is>
      </c>
      <c r="I34" t="n">
        <v>2.8</v>
      </c>
      <c r="J34" t="n">
        <v>0</v>
      </c>
      <c r="K34" t="n">
        <v>0</v>
      </c>
      <c r="L34" t="n">
        <v>0</v>
      </c>
      <c r="M34" t="n">
        <v>0</v>
      </c>
      <c r="N34" t="n">
        <v>0</v>
      </c>
      <c r="O34" t="n">
        <v>0</v>
      </c>
      <c r="P34" t="n">
        <v>0</v>
      </c>
      <c r="Q34" t="n">
        <v>0</v>
      </c>
      <c r="R34" t="n">
        <v>0</v>
      </c>
      <c r="S34" t="n">
        <v>0</v>
      </c>
      <c r="T34" t="n">
        <v>0</v>
      </c>
      <c r="U34" t="n">
        <v>0</v>
      </c>
      <c r="V34" s="2" t="inlineStr"/>
    </row>
    <row r="35" ht="15" customHeight="1">
      <c r="A35" t="inlineStr">
        <is>
          <t>A 19934-2022</t>
        </is>
      </c>
      <c r="B35" t="inlineStr">
        <is>
          <t>avverkningsanmälan</t>
        </is>
      </c>
      <c r="C35" t="inlineStr">
        <is>
          <t>Föryngringsavverkning</t>
        </is>
      </c>
      <c r="D35" s="1" t="n">
        <v>44697</v>
      </c>
      <c r="E35" s="1" t="n">
        <v>46269</v>
      </c>
      <c r="F35" t="inlineStr">
        <is>
          <t>STOCKHOLMS LÄN</t>
        </is>
      </c>
      <c r="G35" t="inlineStr">
        <is>
          <t>ÖSTERÅKER</t>
        </is>
      </c>
      <c r="I35" t="n">
        <v>0.3</v>
      </c>
      <c r="J35" t="n">
        <v>0</v>
      </c>
      <c r="K35" t="n">
        <v>0</v>
      </c>
      <c r="L35" t="n">
        <v>0</v>
      </c>
      <c r="M35" t="n">
        <v>0</v>
      </c>
      <c r="N35" t="n">
        <v>0</v>
      </c>
      <c r="O35" t="n">
        <v>0</v>
      </c>
      <c r="P35" t="n">
        <v>0</v>
      </c>
      <c r="Q35" t="n">
        <v>0</v>
      </c>
      <c r="R35" t="n">
        <v>0</v>
      </c>
      <c r="S35" t="n">
        <v>0</v>
      </c>
      <c r="T35" t="n">
        <v>0</v>
      </c>
      <c r="U35" t="n">
        <v>0</v>
      </c>
      <c r="V35" s="2" t="inlineStr"/>
    </row>
    <row r="36" ht="15" customHeight="1">
      <c r="A36" t="inlineStr">
        <is>
          <t>A 19944-2022</t>
        </is>
      </c>
      <c r="B36" t="inlineStr">
        <is>
          <t>avverkningsanmälan</t>
        </is>
      </c>
      <c r="C36" t="inlineStr">
        <is>
          <t>Föryngringsavverkning</t>
        </is>
      </c>
      <c r="D36" s="1" t="n">
        <v>44697</v>
      </c>
      <c r="E36" s="1" t="n">
        <v>46269</v>
      </c>
      <c r="F36" t="inlineStr">
        <is>
          <t>STOCKHOLMS LÄN</t>
        </is>
      </c>
      <c r="G36" t="inlineStr">
        <is>
          <t>ÖSTERÅKER</t>
        </is>
      </c>
      <c r="I36" t="n">
        <v>3.5</v>
      </c>
      <c r="J36" t="n">
        <v>0</v>
      </c>
      <c r="K36" t="n">
        <v>0</v>
      </c>
      <c r="L36" t="n">
        <v>0</v>
      </c>
      <c r="M36" t="n">
        <v>0</v>
      </c>
      <c r="N36" t="n">
        <v>0</v>
      </c>
      <c r="O36" t="n">
        <v>0</v>
      </c>
      <c r="P36" t="n">
        <v>0</v>
      </c>
      <c r="Q36" t="n">
        <v>0</v>
      </c>
      <c r="R36" t="n">
        <v>0</v>
      </c>
      <c r="S36" t="n">
        <v>0</v>
      </c>
      <c r="T36" t="n">
        <v>0</v>
      </c>
      <c r="U36" t="n">
        <v>0</v>
      </c>
      <c r="V36" s="2" t="inlineStr"/>
    </row>
    <row r="37" ht="15" customHeight="1">
      <c r="A37" t="inlineStr">
        <is>
          <t>A 10082-2022</t>
        </is>
      </c>
      <c r="B37" t="inlineStr">
        <is>
          <t>avverkningsanmälan</t>
        </is>
      </c>
      <c r="C37" t="inlineStr">
        <is>
          <t>Föryngringsavverkning</t>
        </is>
      </c>
      <c r="D37" s="1" t="n">
        <v>44621</v>
      </c>
      <c r="E37" s="1" t="n">
        <v>46269</v>
      </c>
      <c r="F37" t="inlineStr">
        <is>
          <t>STOCKHOLMS LÄN</t>
        </is>
      </c>
      <c r="G37" t="inlineStr">
        <is>
          <t>ÖSTERÅKER</t>
        </is>
      </c>
      <c r="I37" t="n">
        <v>6</v>
      </c>
      <c r="J37" t="n">
        <v>0</v>
      </c>
      <c r="K37" t="n">
        <v>0</v>
      </c>
      <c r="L37" t="n">
        <v>0</v>
      </c>
      <c r="M37" t="n">
        <v>0</v>
      </c>
      <c r="N37" t="n">
        <v>0</v>
      </c>
      <c r="O37" t="n">
        <v>0</v>
      </c>
      <c r="P37" t="n">
        <v>0</v>
      </c>
      <c r="Q37" t="n">
        <v>0</v>
      </c>
      <c r="R37" t="n">
        <v>0</v>
      </c>
      <c r="S37" t="n">
        <v>0</v>
      </c>
      <c r="T37" t="n">
        <v>0</v>
      </c>
      <c r="U37" t="n">
        <v>0</v>
      </c>
      <c r="V37" s="2" t="inlineStr"/>
    </row>
    <row r="38" ht="15" customHeight="1">
      <c r="A38" t="inlineStr">
        <is>
          <t>A 838-2022</t>
        </is>
      </c>
      <c r="B38" t="inlineStr">
        <is>
          <t>avverkningsanmälan</t>
        </is>
      </c>
      <c r="C38" t="inlineStr">
        <is>
          <t>Föryngringsavverkning</t>
        </is>
      </c>
      <c r="D38" s="1" t="n">
        <v>44569</v>
      </c>
      <c r="E38" s="1" t="n">
        <v>46269</v>
      </c>
      <c r="F38" t="inlineStr">
        <is>
          <t>STOCKHOLMS LÄN</t>
        </is>
      </c>
      <c r="G38" t="inlineStr">
        <is>
          <t>ÖSTERÅKER</t>
        </is>
      </c>
      <c r="H38" t="inlineStr">
        <is>
          <t>Övriga Aktiebolag</t>
        </is>
      </c>
      <c r="I38" t="n">
        <v>4.9</v>
      </c>
      <c r="J38" t="n">
        <v>0</v>
      </c>
      <c r="K38" t="n">
        <v>0</v>
      </c>
      <c r="L38" t="n">
        <v>0</v>
      </c>
      <c r="M38" t="n">
        <v>0</v>
      </c>
      <c r="N38" t="n">
        <v>0</v>
      </c>
      <c r="O38" t="n">
        <v>0</v>
      </c>
      <c r="P38" t="n">
        <v>0</v>
      </c>
      <c r="Q38" t="n">
        <v>0</v>
      </c>
      <c r="R38" t="n">
        <v>0</v>
      </c>
      <c r="S38" t="n">
        <v>0</v>
      </c>
      <c r="T38" t="n">
        <v>0</v>
      </c>
      <c r="U38" t="n">
        <v>0</v>
      </c>
      <c r="V38" s="2" t="inlineStr"/>
    </row>
    <row r="39" ht="15" customHeight="1">
      <c r="A39" t="inlineStr">
        <is>
          <t>A 865-2022</t>
        </is>
      </c>
      <c r="B39" t="inlineStr">
        <is>
          <t>avverkningsanmälan</t>
        </is>
      </c>
      <c r="C39" t="inlineStr">
        <is>
          <t>Föryngringsavverkning</t>
        </is>
      </c>
      <c r="D39" s="1" t="n">
        <v>44569</v>
      </c>
      <c r="E39" s="1" t="n">
        <v>46269</v>
      </c>
      <c r="F39" t="inlineStr">
        <is>
          <t>STOCKHOLMS LÄN</t>
        </is>
      </c>
      <c r="G39" t="inlineStr">
        <is>
          <t>ÖSTERÅKER</t>
        </is>
      </c>
      <c r="H39" t="inlineStr">
        <is>
          <t>Övriga Aktiebolag</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28964-2022</t>
        </is>
      </c>
      <c r="B40" t="inlineStr">
        <is>
          <t>avverkningsanmälan</t>
        </is>
      </c>
      <c r="C40" t="inlineStr">
        <is>
          <t>Föryngringsavverkning</t>
        </is>
      </c>
      <c r="D40" s="1" t="n">
        <v>44749</v>
      </c>
      <c r="E40" s="1" t="n">
        <v>46269</v>
      </c>
      <c r="F40" t="inlineStr">
        <is>
          <t>STOCKHOLMS LÄN</t>
        </is>
      </c>
      <c r="G40" t="inlineStr">
        <is>
          <t>ÖSTERÅKER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61710-2022</t>
        </is>
      </c>
      <c r="B41" t="inlineStr">
        <is>
          <t>avverkningsanmälan</t>
        </is>
      </c>
      <c r="C41" t="inlineStr">
        <is>
          <t>Föryngringsavverkning</t>
        </is>
      </c>
      <c r="D41" s="1" t="n">
        <v>44917</v>
      </c>
      <c r="E41" s="1" t="n">
        <v>46269</v>
      </c>
      <c r="F41" t="inlineStr">
        <is>
          <t>STOCKHOLMS LÄN</t>
        </is>
      </c>
      <c r="G41" t="inlineStr">
        <is>
          <t>ÖSTERÅKER</t>
        </is>
      </c>
      <c r="I41" t="n">
        <v>6.2</v>
      </c>
      <c r="J41" t="n">
        <v>0</v>
      </c>
      <c r="K41" t="n">
        <v>0</v>
      </c>
      <c r="L41" t="n">
        <v>0</v>
      </c>
      <c r="M41" t="n">
        <v>0</v>
      </c>
      <c r="N41" t="n">
        <v>0</v>
      </c>
      <c r="O41" t="n">
        <v>0</v>
      </c>
      <c r="P41" t="n">
        <v>0</v>
      </c>
      <c r="Q41" t="n">
        <v>0</v>
      </c>
      <c r="R41" t="n">
        <v>0</v>
      </c>
      <c r="S41" t="n">
        <v>0</v>
      </c>
      <c r="T41" t="n">
        <v>0</v>
      </c>
      <c r="U41" t="n">
        <v>0</v>
      </c>
      <c r="V41" s="2" t="inlineStr"/>
    </row>
    <row r="42" ht="15" customHeight="1">
      <c r="A42" t="inlineStr">
        <is>
          <t>A 28399-2022</t>
        </is>
      </c>
      <c r="B42" t="inlineStr">
        <is>
          <t>avverkningsanmälan</t>
        </is>
      </c>
      <c r="C42" t="inlineStr">
        <is>
          <t>Föryngringsavverkning</t>
        </is>
      </c>
      <c r="D42" s="1" t="n">
        <v>44747</v>
      </c>
      <c r="E42" s="1" t="n">
        <v>46269</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28405-2022</t>
        </is>
      </c>
      <c r="B43" t="inlineStr">
        <is>
          <t>avverkningsanmälan</t>
        </is>
      </c>
      <c r="C43" t="inlineStr">
        <is>
          <t>Föryngringsavverkning</t>
        </is>
      </c>
      <c r="D43" s="1" t="n">
        <v>44747</v>
      </c>
      <c r="E43" s="1" t="n">
        <v>46269</v>
      </c>
      <c r="F43" t="inlineStr">
        <is>
          <t>STOCKHOLMS LÄN</t>
        </is>
      </c>
      <c r="G43" t="inlineStr">
        <is>
          <t>ÖSTERÅKER</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18091-2022</t>
        </is>
      </c>
      <c r="B44" t="inlineStr">
        <is>
          <t>avverkningsanmälan</t>
        </is>
      </c>
      <c r="C44" t="inlineStr">
        <is>
          <t>Föryngringsavverkning</t>
        </is>
      </c>
      <c r="D44" s="1" t="n">
        <v>44684</v>
      </c>
      <c r="E44" s="1" t="n">
        <v>46269</v>
      </c>
      <c r="F44" t="inlineStr">
        <is>
          <t>STOCKHOLMS LÄN</t>
        </is>
      </c>
      <c r="G44" t="inlineStr">
        <is>
          <t>ÖSTERÅKER</t>
        </is>
      </c>
      <c r="I44" t="n">
        <v>6.1</v>
      </c>
      <c r="J44" t="n">
        <v>0</v>
      </c>
      <c r="K44" t="n">
        <v>0</v>
      </c>
      <c r="L44" t="n">
        <v>0</v>
      </c>
      <c r="M44" t="n">
        <v>0</v>
      </c>
      <c r="N44" t="n">
        <v>0</v>
      </c>
      <c r="O44" t="n">
        <v>0</v>
      </c>
      <c r="P44" t="n">
        <v>0</v>
      </c>
      <c r="Q44" t="n">
        <v>0</v>
      </c>
      <c r="R44" t="n">
        <v>0</v>
      </c>
      <c r="S44" t="n">
        <v>0</v>
      </c>
      <c r="T44" t="n">
        <v>0</v>
      </c>
      <c r="U44" t="n">
        <v>0</v>
      </c>
      <c r="V44" s="2" t="inlineStr"/>
    </row>
    <row r="45" ht="15" customHeight="1">
      <c r="A45" t="inlineStr">
        <is>
          <t>A 17353-2025</t>
        </is>
      </c>
      <c r="B45" t="inlineStr">
        <is>
          <t>avverkningsanmälan</t>
        </is>
      </c>
      <c r="C45" t="inlineStr">
        <is>
          <t>Föryngringsavverkning</t>
        </is>
      </c>
      <c r="D45" s="1" t="n">
        <v>45756</v>
      </c>
      <c r="E45" s="1" t="n">
        <v>46269</v>
      </c>
      <c r="F45" t="inlineStr">
        <is>
          <t>STOCKHOLMS LÄN</t>
        </is>
      </c>
      <c r="G45" t="inlineStr">
        <is>
          <t>ÖSTERÅKER</t>
        </is>
      </c>
      <c r="H45" t="inlineStr">
        <is>
          <t>Övriga Aktiebolag</t>
        </is>
      </c>
      <c r="I45" t="n">
        <v>5.5</v>
      </c>
      <c r="J45" t="n">
        <v>0</v>
      </c>
      <c r="K45" t="n">
        <v>0</v>
      </c>
      <c r="L45" t="n">
        <v>0</v>
      </c>
      <c r="M45" t="n">
        <v>0</v>
      </c>
      <c r="N45" t="n">
        <v>0</v>
      </c>
      <c r="O45" t="n">
        <v>0</v>
      </c>
      <c r="P45" t="n">
        <v>0</v>
      </c>
      <c r="Q45" t="n">
        <v>0</v>
      </c>
      <c r="R45" t="n">
        <v>0</v>
      </c>
      <c r="S45" t="n">
        <v>0</v>
      </c>
      <c r="T45" t="n">
        <v>0</v>
      </c>
      <c r="U45" t="n">
        <v>0</v>
      </c>
      <c r="V45" s="2" t="inlineStr"/>
    </row>
    <row r="46" ht="15" customHeight="1">
      <c r="A46" t="inlineStr">
        <is>
          <t>A 56909-2024</t>
        </is>
      </c>
      <c r="B46" t="inlineStr">
        <is>
          <t>avverkningsanmälan</t>
        </is>
      </c>
      <c r="C46" t="inlineStr">
        <is>
          <t>Avverkning för att bevara och utveckla /försöksver</t>
        </is>
      </c>
      <c r="D46" s="1" t="n">
        <v>45628</v>
      </c>
      <c r="E46" s="1" t="n">
        <v>46269</v>
      </c>
      <c r="F46" t="inlineStr">
        <is>
          <t>STOCKHOLMS LÄN</t>
        </is>
      </c>
      <c r="G46" t="inlineStr">
        <is>
          <t>ÖSTERÅKER</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3917-2023</t>
        </is>
      </c>
      <c r="B47" t="inlineStr">
        <is>
          <t>avverkningsanmälan</t>
        </is>
      </c>
      <c r="C47" t="inlineStr">
        <is>
          <t>Föryngringsavverkning</t>
        </is>
      </c>
      <c r="D47" s="1" t="n">
        <v>44952</v>
      </c>
      <c r="E47" s="1" t="n">
        <v>46269</v>
      </c>
      <c r="F47" t="inlineStr">
        <is>
          <t>STOCKHOLMS LÄN</t>
        </is>
      </c>
      <c r="G47" t="inlineStr">
        <is>
          <t>ÖSTERÅKER</t>
        </is>
      </c>
      <c r="H47" t="inlineStr">
        <is>
          <t>Kommuner</t>
        </is>
      </c>
      <c r="I47" t="n">
        <v>2.8</v>
      </c>
      <c r="J47" t="n">
        <v>0</v>
      </c>
      <c r="K47" t="n">
        <v>0</v>
      </c>
      <c r="L47" t="n">
        <v>0</v>
      </c>
      <c r="M47" t="n">
        <v>0</v>
      </c>
      <c r="N47" t="n">
        <v>0</v>
      </c>
      <c r="O47" t="n">
        <v>0</v>
      </c>
      <c r="P47" t="n">
        <v>0</v>
      </c>
      <c r="Q47" t="n">
        <v>0</v>
      </c>
      <c r="R47" t="n">
        <v>0</v>
      </c>
      <c r="S47" t="n">
        <v>0</v>
      </c>
      <c r="T47" t="n">
        <v>0</v>
      </c>
      <c r="U47" t="n">
        <v>0</v>
      </c>
      <c r="V47" s="2" t="inlineStr"/>
    </row>
    <row r="48" ht="15" customHeight="1">
      <c r="A48" t="inlineStr">
        <is>
          <t>A 46688-2022</t>
        </is>
      </c>
      <c r="B48" t="inlineStr">
        <is>
          <t>avverkningsanmälan</t>
        </is>
      </c>
      <c r="C48" t="inlineStr">
        <is>
          <t>Föryngringsavverkning</t>
        </is>
      </c>
      <c r="D48" s="1" t="n">
        <v>44851</v>
      </c>
      <c r="E48" s="1" t="n">
        <v>46269</v>
      </c>
      <c r="F48" t="inlineStr">
        <is>
          <t>STOCKHOLMS LÄN</t>
        </is>
      </c>
      <c r="G48" t="inlineStr">
        <is>
          <t>ÖSTERÅKER</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27137-2025</t>
        </is>
      </c>
      <c r="B49" t="inlineStr">
        <is>
          <t>avverkningsanmälan</t>
        </is>
      </c>
      <c r="C49" t="inlineStr">
        <is>
          <t>Föryngringsavverkning</t>
        </is>
      </c>
      <c r="D49" s="1" t="n">
        <v>45811</v>
      </c>
      <c r="E49" s="1" t="n">
        <v>46269</v>
      </c>
      <c r="F49" t="inlineStr">
        <is>
          <t>STOCKHOLMS LÄN</t>
        </is>
      </c>
      <c r="G49" t="inlineStr">
        <is>
          <t>ÖSTERÅKER</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544-2023</t>
        </is>
      </c>
      <c r="B50" t="inlineStr">
        <is>
          <t>avverkningsanmälan</t>
        </is>
      </c>
      <c r="C50" t="inlineStr">
        <is>
          <t>Avverkning för annat ändamål</t>
        </is>
      </c>
      <c r="D50" s="1" t="n">
        <v>44924</v>
      </c>
      <c r="E50" s="1" t="n">
        <v>46269</v>
      </c>
      <c r="F50" t="inlineStr">
        <is>
          <t>STOCKHOLMS LÄN</t>
        </is>
      </c>
      <c r="G50" t="inlineStr">
        <is>
          <t>ÖSTERÅKER</t>
        </is>
      </c>
      <c r="H50" t="inlineStr">
        <is>
          <t>Övriga Aktiebolag</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28143-2024</t>
        </is>
      </c>
      <c r="B51" t="inlineStr">
        <is>
          <t>avverkningsanmälan</t>
        </is>
      </c>
      <c r="C51" t="inlineStr">
        <is>
          <t>Föryngringsavverkning</t>
        </is>
      </c>
      <c r="D51" s="1" t="n">
        <v>45476</v>
      </c>
      <c r="E51" s="1" t="n">
        <v>46269</v>
      </c>
      <c r="F51" t="inlineStr">
        <is>
          <t>STOCKHOLMS LÄN</t>
        </is>
      </c>
      <c r="G51" t="inlineStr">
        <is>
          <t>ÖSTERÅKER</t>
        </is>
      </c>
      <c r="H51" t="inlineStr">
        <is>
          <t>Övriga Aktiebolag</t>
        </is>
      </c>
      <c r="I51" t="n">
        <v>2.2</v>
      </c>
      <c r="J51" t="n">
        <v>0</v>
      </c>
      <c r="K51" t="n">
        <v>0</v>
      </c>
      <c r="L51" t="n">
        <v>0</v>
      </c>
      <c r="M51" t="n">
        <v>0</v>
      </c>
      <c r="N51" t="n">
        <v>0</v>
      </c>
      <c r="O51" t="n">
        <v>0</v>
      </c>
      <c r="P51" t="n">
        <v>0</v>
      </c>
      <c r="Q51" t="n">
        <v>0</v>
      </c>
      <c r="R51" t="n">
        <v>0</v>
      </c>
      <c r="S51" t="n">
        <v>0</v>
      </c>
      <c r="T51" t="n">
        <v>0</v>
      </c>
      <c r="U51" t="n">
        <v>0</v>
      </c>
      <c r="V51" s="2" t="inlineStr"/>
    </row>
    <row r="52" ht="15" customHeight="1">
      <c r="A52" t="inlineStr">
        <is>
          <t>A 34034-2025</t>
        </is>
      </c>
      <c r="B52" t="inlineStr">
        <is>
          <t>avverkningsanmälan</t>
        </is>
      </c>
      <c r="C52" t="inlineStr">
        <is>
          <t>Föryngringsavverkning</t>
        </is>
      </c>
      <c r="D52" s="1" t="n">
        <v>45842</v>
      </c>
      <c r="E52" s="1" t="n">
        <v>46269</v>
      </c>
      <c r="F52" t="inlineStr">
        <is>
          <t>STOCKHOLMS LÄN</t>
        </is>
      </c>
      <c r="G52" t="inlineStr">
        <is>
          <t>ÖSTERÅKER</t>
        </is>
      </c>
      <c r="H52" t="inlineStr">
        <is>
          <t>Övriga Aktiebolag</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16738-2022</t>
        </is>
      </c>
      <c r="B53" t="inlineStr">
        <is>
          <t>avverkningsanmälan</t>
        </is>
      </c>
      <c r="C53" t="inlineStr">
        <is>
          <t>Avverkning för annat ändamål</t>
        </is>
      </c>
      <c r="D53" s="1" t="n">
        <v>44673</v>
      </c>
      <c r="E53" s="1" t="n">
        <v>46269</v>
      </c>
      <c r="F53" t="inlineStr">
        <is>
          <t>STOCKHOLMS LÄN</t>
        </is>
      </c>
      <c r="G53" t="inlineStr">
        <is>
          <t>ÖSTERÅKER</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35819-2025</t>
        </is>
      </c>
      <c r="B54" t="inlineStr">
        <is>
          <t>avverkningsanmälan</t>
        </is>
      </c>
      <c r="C54" t="inlineStr">
        <is>
          <t>Föryngringsavverkning</t>
        </is>
      </c>
      <c r="D54" s="1" t="n">
        <v>45861</v>
      </c>
      <c r="E54" s="1" t="n">
        <v>46269</v>
      </c>
      <c r="F54" t="inlineStr">
        <is>
          <t>STOCKHOLMS LÄN</t>
        </is>
      </c>
      <c r="G54" t="inlineStr">
        <is>
          <t>ÖSTERÅKER</t>
        </is>
      </c>
      <c r="H54" t="inlineStr">
        <is>
          <t>Övriga Aktiebolag</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28146-2024</t>
        </is>
      </c>
      <c r="B55" t="inlineStr">
        <is>
          <t>avverkningsanmälan</t>
        </is>
      </c>
      <c r="C55" t="inlineStr">
        <is>
          <t>Föryngringsavverkning</t>
        </is>
      </c>
      <c r="D55" s="1" t="n">
        <v>45476</v>
      </c>
      <c r="E55" s="1" t="n">
        <v>46269</v>
      </c>
      <c r="F55" t="inlineStr">
        <is>
          <t>STOCKHOLMS LÄN</t>
        </is>
      </c>
      <c r="G55" t="inlineStr">
        <is>
          <t>ÖSTERÅKER</t>
        </is>
      </c>
      <c r="H55" t="inlineStr">
        <is>
          <t>Övriga Aktiebolag</t>
        </is>
      </c>
      <c r="I55" t="n">
        <v>2.7</v>
      </c>
      <c r="J55" t="n">
        <v>0</v>
      </c>
      <c r="K55" t="n">
        <v>0</v>
      </c>
      <c r="L55" t="n">
        <v>0</v>
      </c>
      <c r="M55" t="n">
        <v>0</v>
      </c>
      <c r="N55" t="n">
        <v>0</v>
      </c>
      <c r="O55" t="n">
        <v>0</v>
      </c>
      <c r="P55" t="n">
        <v>0</v>
      </c>
      <c r="Q55" t="n">
        <v>0</v>
      </c>
      <c r="R55" t="n">
        <v>0</v>
      </c>
      <c r="S55" t="n">
        <v>0</v>
      </c>
      <c r="T55" t="n">
        <v>0</v>
      </c>
      <c r="U55" t="n">
        <v>0</v>
      </c>
      <c r="V55" s="2" t="inlineStr"/>
    </row>
    <row r="56" ht="15" customHeight="1">
      <c r="A56" t="inlineStr">
        <is>
          <t>A 470-2022</t>
        </is>
      </c>
      <c r="B56" t="inlineStr">
        <is>
          <t>avverkningsanmälan</t>
        </is>
      </c>
      <c r="C56" t="inlineStr">
        <is>
          <t>Föryngringsavverkning</t>
        </is>
      </c>
      <c r="D56" s="1" t="n">
        <v>44565</v>
      </c>
      <c r="E56" s="1" t="n">
        <v>46269</v>
      </c>
      <c r="F56" t="inlineStr">
        <is>
          <t>STOCKHOLMS LÄN</t>
        </is>
      </c>
      <c r="G56" t="inlineStr">
        <is>
          <t>ÖSTERÅKER</t>
        </is>
      </c>
      <c r="H56" t="inlineStr">
        <is>
          <t>Övriga Aktiebolag</t>
        </is>
      </c>
      <c r="I56" t="n">
        <v>4.6</v>
      </c>
      <c r="J56" t="n">
        <v>0</v>
      </c>
      <c r="K56" t="n">
        <v>0</v>
      </c>
      <c r="L56" t="n">
        <v>0</v>
      </c>
      <c r="M56" t="n">
        <v>0</v>
      </c>
      <c r="N56" t="n">
        <v>0</v>
      </c>
      <c r="O56" t="n">
        <v>0</v>
      </c>
      <c r="P56" t="n">
        <v>0</v>
      </c>
      <c r="Q56" t="n">
        <v>0</v>
      </c>
      <c r="R56" t="n">
        <v>0</v>
      </c>
      <c r="S56" t="n">
        <v>0</v>
      </c>
      <c r="T56" t="n">
        <v>0</v>
      </c>
      <c r="U56" t="n">
        <v>0</v>
      </c>
      <c r="V56" s="2" t="inlineStr"/>
    </row>
    <row r="57" ht="15" customHeight="1">
      <c r="A57" t="inlineStr">
        <is>
          <t>A 22528-2024</t>
        </is>
      </c>
      <c r="B57" t="inlineStr">
        <is>
          <t>avverkningsanmälan</t>
        </is>
      </c>
      <c r="C57" t="inlineStr">
        <is>
          <t>Föryngringsavverkning</t>
        </is>
      </c>
      <c r="D57" s="1" t="n">
        <v>45447</v>
      </c>
      <c r="E57" s="1" t="n">
        <v>46269</v>
      </c>
      <c r="F57" t="inlineStr">
        <is>
          <t>STOCKHOLMS LÄN</t>
        </is>
      </c>
      <c r="G57" t="inlineStr">
        <is>
          <t>ÖSTERÅKER</t>
        </is>
      </c>
      <c r="H57" t="inlineStr">
        <is>
          <t>Övriga Aktiebolag</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16803-2022</t>
        </is>
      </c>
      <c r="B58" t="inlineStr">
        <is>
          <t>avverkningsanmälan</t>
        </is>
      </c>
      <c r="C58" t="inlineStr">
        <is>
          <t>Föryngringsavverkning</t>
        </is>
      </c>
      <c r="D58" s="1" t="n">
        <v>44673</v>
      </c>
      <c r="E58" s="1" t="n">
        <v>46269</v>
      </c>
      <c r="F58" t="inlineStr">
        <is>
          <t>STOCKHOLMS LÄN</t>
        </is>
      </c>
      <c r="G58" t="inlineStr">
        <is>
          <t>ÖSTERÅKER</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33158-2024</t>
        </is>
      </c>
      <c r="B59" t="inlineStr">
        <is>
          <t>avverkningsanmälan</t>
        </is>
      </c>
      <c r="C59" t="inlineStr">
        <is>
          <t>Avverkning för annat ändamål</t>
        </is>
      </c>
      <c r="D59" s="1" t="n">
        <v>45518</v>
      </c>
      <c r="E59" s="1" t="n">
        <v>46269</v>
      </c>
      <c r="F59" t="inlineStr">
        <is>
          <t>STOCKHOLMS LÄN</t>
        </is>
      </c>
      <c r="G59" t="inlineStr">
        <is>
          <t>ÖSTERÅKER</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59379-2022</t>
        </is>
      </c>
      <c r="B60" t="inlineStr">
        <is>
          <t>avverkningsanmälan</t>
        </is>
      </c>
      <c r="C60" t="inlineStr">
        <is>
          <t>Föryngringsavverkning</t>
        </is>
      </c>
      <c r="D60" s="1" t="n">
        <v>44905</v>
      </c>
      <c r="E60" s="1" t="n">
        <v>46269</v>
      </c>
      <c r="F60" t="inlineStr">
        <is>
          <t>STOCKHOLMS LÄN</t>
        </is>
      </c>
      <c r="G60" t="inlineStr">
        <is>
          <t>ÖSTERÅKER</t>
        </is>
      </c>
      <c r="H60" t="inlineStr">
        <is>
          <t>Kommuner</t>
        </is>
      </c>
      <c r="I60" t="n">
        <v>4.7</v>
      </c>
      <c r="J60" t="n">
        <v>0</v>
      </c>
      <c r="K60" t="n">
        <v>0</v>
      </c>
      <c r="L60" t="n">
        <v>0</v>
      </c>
      <c r="M60" t="n">
        <v>0</v>
      </c>
      <c r="N60" t="n">
        <v>0</v>
      </c>
      <c r="O60" t="n">
        <v>0</v>
      </c>
      <c r="P60" t="n">
        <v>0</v>
      </c>
      <c r="Q60" t="n">
        <v>0</v>
      </c>
      <c r="R60" t="n">
        <v>0</v>
      </c>
      <c r="S60" t="n">
        <v>0</v>
      </c>
      <c r="T60" t="n">
        <v>0</v>
      </c>
      <c r="U60" t="n">
        <v>0</v>
      </c>
      <c r="V60" s="2" t="inlineStr"/>
    </row>
    <row r="61" ht="15" customHeight="1">
      <c r="A61" t="inlineStr">
        <is>
          <t>A 10185-2025</t>
        </is>
      </c>
      <c r="B61" t="inlineStr">
        <is>
          <t>avverkningsanmälan</t>
        </is>
      </c>
      <c r="C61" t="inlineStr">
        <is>
          <t>Föryngringsavverkning</t>
        </is>
      </c>
      <c r="D61" s="1" t="n">
        <v>45719</v>
      </c>
      <c r="E61" s="1" t="n">
        <v>46269</v>
      </c>
      <c r="F61" t="inlineStr">
        <is>
          <t>STOCKHOLMS LÄN</t>
        </is>
      </c>
      <c r="G61" t="inlineStr">
        <is>
          <t>ÖSTERÅKER</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13366-2024</t>
        </is>
      </c>
      <c r="B62" t="inlineStr">
        <is>
          <t>avverkningsanmälan</t>
        </is>
      </c>
      <c r="C62" t="inlineStr">
        <is>
          <t>Föryngringsavverkning</t>
        </is>
      </c>
      <c r="D62" s="1" t="n">
        <v>45387</v>
      </c>
      <c r="E62" s="1" t="n">
        <v>46269</v>
      </c>
      <c r="F62" t="inlineStr">
        <is>
          <t>STOCKHOLMS LÄN</t>
        </is>
      </c>
      <c r="G62" t="inlineStr">
        <is>
          <t>ÖSTERÅKER</t>
        </is>
      </c>
      <c r="I62" t="n">
        <v>13.7</v>
      </c>
      <c r="J62" t="n">
        <v>0</v>
      </c>
      <c r="K62" t="n">
        <v>0</v>
      </c>
      <c r="L62" t="n">
        <v>0</v>
      </c>
      <c r="M62" t="n">
        <v>0</v>
      </c>
      <c r="N62" t="n">
        <v>0</v>
      </c>
      <c r="O62" t="n">
        <v>0</v>
      </c>
      <c r="P62" t="n">
        <v>0</v>
      </c>
      <c r="Q62" t="n">
        <v>0</v>
      </c>
      <c r="R62" t="n">
        <v>0</v>
      </c>
      <c r="S62" t="n">
        <v>0</v>
      </c>
      <c r="T62" t="n">
        <v>0</v>
      </c>
      <c r="U62" t="n">
        <v>0</v>
      </c>
      <c r="V62" s="2" t="inlineStr"/>
    </row>
    <row r="63" ht="15" customHeight="1">
      <c r="A63" t="inlineStr">
        <is>
          <t>A 61360-2022</t>
        </is>
      </c>
      <c r="B63" t="inlineStr">
        <is>
          <t>avverkningsanmälan</t>
        </is>
      </c>
      <c r="C63" t="inlineStr">
        <is>
          <t>Föryngringsavverkning</t>
        </is>
      </c>
      <c r="D63" s="1" t="n">
        <v>44915</v>
      </c>
      <c r="E63" s="1" t="n">
        <v>46269</v>
      </c>
      <c r="F63" t="inlineStr">
        <is>
          <t>STOCKHOLMS LÄN</t>
        </is>
      </c>
      <c r="G63" t="inlineStr">
        <is>
          <t>ÖSTERÅKER</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16728-2022</t>
        </is>
      </c>
      <c r="B64" t="inlineStr">
        <is>
          <t>avverkningsanmälan</t>
        </is>
      </c>
      <c r="C64" t="inlineStr">
        <is>
          <t>Föryngringsavverkning</t>
        </is>
      </c>
      <c r="D64" s="1" t="n">
        <v>44673</v>
      </c>
      <c r="E64" s="1" t="n">
        <v>46269</v>
      </c>
      <c r="F64" t="inlineStr">
        <is>
          <t>STOCKHOLMS LÄN</t>
        </is>
      </c>
      <c r="G64" t="inlineStr">
        <is>
          <t>ÖSTERÅKER</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62108-2022</t>
        </is>
      </c>
      <c r="B65" t="inlineStr">
        <is>
          <t>avverkningsanmälan</t>
        </is>
      </c>
      <c r="C65" t="inlineStr">
        <is>
          <t>Föryngringsavverkning</t>
        </is>
      </c>
      <c r="D65" s="1" t="n">
        <v>44920</v>
      </c>
      <c r="E65" s="1" t="n">
        <v>46269</v>
      </c>
      <c r="F65" t="inlineStr">
        <is>
          <t>STOCKHOLMS LÄN</t>
        </is>
      </c>
      <c r="G65" t="inlineStr">
        <is>
          <t>ÖSTERÅKER</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21796-2025</t>
        </is>
      </c>
      <c r="B66" t="inlineStr">
        <is>
          <t>avverkningsanmälan</t>
        </is>
      </c>
      <c r="C66" t="inlineStr">
        <is>
          <t>Föryngringsavverkning</t>
        </is>
      </c>
      <c r="D66" s="1" t="n">
        <v>45783</v>
      </c>
      <c r="E66" s="1" t="n">
        <v>46269</v>
      </c>
      <c r="F66" t="inlineStr">
        <is>
          <t>STOCKHOLMS LÄN</t>
        </is>
      </c>
      <c r="G66" t="inlineStr">
        <is>
          <t>ÖSTERÅKER</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6655-2023</t>
        </is>
      </c>
      <c r="B67" t="inlineStr">
        <is>
          <t>avverkningsanmälan</t>
        </is>
      </c>
      <c r="C67" t="inlineStr">
        <is>
          <t>Föryngringsavverkning</t>
        </is>
      </c>
      <c r="D67" s="1" t="n">
        <v>44966</v>
      </c>
      <c r="E67" s="1" t="n">
        <v>46269</v>
      </c>
      <c r="F67" t="inlineStr">
        <is>
          <t>STOCKHOLMS LÄN</t>
        </is>
      </c>
      <c r="G67" t="inlineStr">
        <is>
          <t>ÖSTERÅKER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60482-2025</t>
        </is>
      </c>
      <c r="B68" t="inlineStr">
        <is>
          <t>avverkningsanmälan</t>
        </is>
      </c>
      <c r="C68" t="inlineStr">
        <is>
          <t>Föryngringsavverkning</t>
        </is>
      </c>
      <c r="D68" s="1" t="n">
        <v>45995</v>
      </c>
      <c r="E68" s="1" t="n">
        <v>46269</v>
      </c>
      <c r="F68" t="inlineStr">
        <is>
          <t>STOCKHOLMS LÄN</t>
        </is>
      </c>
      <c r="G68" t="inlineStr">
        <is>
          <t>ÖSTERÅKER</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18711-2023</t>
        </is>
      </c>
      <c r="B69" t="inlineStr">
        <is>
          <t>avverkningsanmälan</t>
        </is>
      </c>
      <c r="C69" t="inlineStr">
        <is>
          <t>Föryngringsavverkning</t>
        </is>
      </c>
      <c r="D69" s="1" t="n">
        <v>45043</v>
      </c>
      <c r="E69" s="1" t="n">
        <v>46269</v>
      </c>
      <c r="F69" t="inlineStr">
        <is>
          <t>STOCKHOLMS LÄN</t>
        </is>
      </c>
      <c r="G69" t="inlineStr">
        <is>
          <t>ÖSTERÅKER</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14776-2024</t>
        </is>
      </c>
      <c r="B70" t="inlineStr">
        <is>
          <t>avverkningsanmälan</t>
        </is>
      </c>
      <c r="C70" t="inlineStr">
        <is>
          <t>Föryngringsavverkning</t>
        </is>
      </c>
      <c r="D70" s="1" t="n">
        <v>45397</v>
      </c>
      <c r="E70" s="1" t="n">
        <v>46269</v>
      </c>
      <c r="F70" t="inlineStr">
        <is>
          <t>STOCKHOLMS LÄN</t>
        </is>
      </c>
      <c r="G70" t="inlineStr">
        <is>
          <t>ÖSTERÅKER</t>
        </is>
      </c>
      <c r="I70" t="n">
        <v>13.6</v>
      </c>
      <c r="J70" t="n">
        <v>0</v>
      </c>
      <c r="K70" t="n">
        <v>0</v>
      </c>
      <c r="L70" t="n">
        <v>0</v>
      </c>
      <c r="M70" t="n">
        <v>0</v>
      </c>
      <c r="N70" t="n">
        <v>0</v>
      </c>
      <c r="O70" t="n">
        <v>0</v>
      </c>
      <c r="P70" t="n">
        <v>0</v>
      </c>
      <c r="Q70" t="n">
        <v>0</v>
      </c>
      <c r="R70" t="n">
        <v>0</v>
      </c>
      <c r="S70" t="n">
        <v>0</v>
      </c>
      <c r="T70" t="n">
        <v>0</v>
      </c>
      <c r="U70" t="n">
        <v>0</v>
      </c>
      <c r="V70" s="2" t="inlineStr"/>
    </row>
    <row r="71" ht="15" customHeight="1">
      <c r="A71" t="inlineStr">
        <is>
          <t>A 31134-2023</t>
        </is>
      </c>
      <c r="B71" t="inlineStr">
        <is>
          <t>avverkningsanmälan</t>
        </is>
      </c>
      <c r="C71" t="inlineStr">
        <is>
          <t>Föryngringsavverkning</t>
        </is>
      </c>
      <c r="D71" s="1" t="n">
        <v>45113</v>
      </c>
      <c r="E71" s="1" t="n">
        <v>46269</v>
      </c>
      <c r="F71" t="inlineStr">
        <is>
          <t>STOCKHOLMS LÄN</t>
        </is>
      </c>
      <c r="G71" t="inlineStr">
        <is>
          <t>ÖSTERÅKER</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34713-2025</t>
        </is>
      </c>
      <c r="B72" t="inlineStr">
        <is>
          <t>avverkningsanmälan</t>
        </is>
      </c>
      <c r="C72" t="inlineStr">
        <is>
          <t>Föryngringsavverkning</t>
        </is>
      </c>
      <c r="D72" s="1" t="n">
        <v>45848</v>
      </c>
      <c r="E72" s="1" t="n">
        <v>46269</v>
      </c>
      <c r="F72" t="inlineStr">
        <is>
          <t>STOCKHOLMS LÄN</t>
        </is>
      </c>
      <c r="G72" t="inlineStr">
        <is>
          <t>ÖSTERÅKER</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57048-2024</t>
        </is>
      </c>
      <c r="B73" t="inlineStr">
        <is>
          <t>avverkningsanmälan</t>
        </is>
      </c>
      <c r="C73" t="inlineStr">
        <is>
          <t>Föryngringsavverkning</t>
        </is>
      </c>
      <c r="D73" s="1" t="n">
        <v>45629</v>
      </c>
      <c r="E73" s="1" t="n">
        <v>46269</v>
      </c>
      <c r="F73" t="inlineStr">
        <is>
          <t>STOCKHOLMS LÄN</t>
        </is>
      </c>
      <c r="G73" t="inlineStr">
        <is>
          <t>ÖSTERÅKER</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57055-2024</t>
        </is>
      </c>
      <c r="B74" t="inlineStr">
        <is>
          <t>avverkningsanmälan</t>
        </is>
      </c>
      <c r="C74" t="inlineStr">
        <is>
          <t>Föryngringsavverkning</t>
        </is>
      </c>
      <c r="D74" s="1" t="n">
        <v>45629</v>
      </c>
      <c r="E74" s="1" t="n">
        <v>46269</v>
      </c>
      <c r="F74" t="inlineStr">
        <is>
          <t>STOCKHOLMS LÄN</t>
        </is>
      </c>
      <c r="G74" t="inlineStr">
        <is>
          <t>ÖSTERÅKER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23144-2024</t>
        </is>
      </c>
      <c r="B75" t="inlineStr">
        <is>
          <t>avverkningsanmälan</t>
        </is>
      </c>
      <c r="C75" t="inlineStr">
        <is>
          <t>Föryngringsavverkning</t>
        </is>
      </c>
      <c r="D75" s="1" t="n">
        <v>45450</v>
      </c>
      <c r="E75" s="1" t="n">
        <v>46269</v>
      </c>
      <c r="F75" t="inlineStr">
        <is>
          <t>STOCKHOLMS LÄN</t>
        </is>
      </c>
      <c r="G75" t="inlineStr">
        <is>
          <t>ÖSTERÅKER</t>
        </is>
      </c>
      <c r="H75" t="inlineStr">
        <is>
          <t>Övriga Aktiebolag</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17263-2022</t>
        </is>
      </c>
      <c r="B76" t="inlineStr">
        <is>
          <t>avverkningsanmälan</t>
        </is>
      </c>
      <c r="C76" t="inlineStr">
        <is>
          <t>Föryngringsavverkning</t>
        </is>
      </c>
      <c r="D76" s="1" t="n">
        <v>44678</v>
      </c>
      <c r="E76" s="1" t="n">
        <v>46269</v>
      </c>
      <c r="F76" t="inlineStr">
        <is>
          <t>STOCKHOLMS LÄN</t>
        </is>
      </c>
      <c r="G76" t="inlineStr">
        <is>
          <t>ÖSTERÅKER</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3326-2022</t>
        </is>
      </c>
      <c r="B77" t="inlineStr">
        <is>
          <t>avverkningsanmälan</t>
        </is>
      </c>
      <c r="C77" t="inlineStr">
        <is>
          <t>Föryngringsavverkning</t>
        </is>
      </c>
      <c r="D77" s="1" t="n">
        <v>44583</v>
      </c>
      <c r="E77" s="1" t="n">
        <v>46269</v>
      </c>
      <c r="F77" t="inlineStr">
        <is>
          <t>STOCKHOLMS LÄN</t>
        </is>
      </c>
      <c r="G77" t="inlineStr">
        <is>
          <t>ÖSTERÅKER</t>
        </is>
      </c>
      <c r="H77" t="inlineStr">
        <is>
          <t>Övriga Aktiebolag</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34038-2025</t>
        </is>
      </c>
      <c r="B78" t="inlineStr">
        <is>
          <t>avverkningsanmälan</t>
        </is>
      </c>
      <c r="C78" t="inlineStr">
        <is>
          <t>Föryngringsavverkning</t>
        </is>
      </c>
      <c r="D78" s="1" t="n">
        <v>45842</v>
      </c>
      <c r="E78" s="1" t="n">
        <v>46269</v>
      </c>
      <c r="F78" t="inlineStr">
        <is>
          <t>STOCKHOLMS LÄN</t>
        </is>
      </c>
      <c r="G78" t="inlineStr">
        <is>
          <t>ÖSTERÅKER</t>
        </is>
      </c>
      <c r="H78" t="inlineStr">
        <is>
          <t>Övriga Aktiebolag</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52220-2025</t>
        </is>
      </c>
      <c r="B79" t="inlineStr">
        <is>
          <t>avverkningsanmälan</t>
        </is>
      </c>
      <c r="C79" t="inlineStr">
        <is>
          <t>Avverkning för annat ändamål</t>
        </is>
      </c>
      <c r="D79" s="1" t="n">
        <v>45953</v>
      </c>
      <c r="E79" s="1" t="n">
        <v>46269</v>
      </c>
      <c r="F79" t="inlineStr">
        <is>
          <t>STOCKHOLMS LÄN</t>
        </is>
      </c>
      <c r="G79" t="inlineStr">
        <is>
          <t>ÖSTERÅKER</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61370-2022</t>
        </is>
      </c>
      <c r="B80" t="inlineStr">
        <is>
          <t>avverkningsanmälan</t>
        </is>
      </c>
      <c r="C80" t="inlineStr">
        <is>
          <t>Föryngringsavverkning</t>
        </is>
      </c>
      <c r="D80" s="1" t="n">
        <v>44915</v>
      </c>
      <c r="E80" s="1" t="n">
        <v>46269</v>
      </c>
      <c r="F80" t="inlineStr">
        <is>
          <t>STOCKHOLMS LÄN</t>
        </is>
      </c>
      <c r="G80" t="inlineStr">
        <is>
          <t>ÖSTERÅKER</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23198-2026</t>
        </is>
      </c>
      <c r="B81" t="inlineStr">
        <is>
          <t>avverkningsanmälan</t>
        </is>
      </c>
      <c r="C81" t="inlineStr">
        <is>
          <t>Avverkning för annat ändamål</t>
        </is>
      </c>
      <c r="D81" s="1" t="n">
        <v>46161</v>
      </c>
      <c r="E81" s="1" t="n">
        <v>46269</v>
      </c>
      <c r="F81" t="inlineStr">
        <is>
          <t>STOCKHOLMS LÄN</t>
        </is>
      </c>
      <c r="G81" t="inlineStr">
        <is>
          <t>ÖSTERÅKER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9865-2025</t>
        </is>
      </c>
      <c r="B82" t="inlineStr">
        <is>
          <t>avverkningsanmälan</t>
        </is>
      </c>
      <c r="C82" t="inlineStr">
        <is>
          <t>Föryngringsavverkning</t>
        </is>
      </c>
      <c r="D82" s="1" t="n">
        <v>45716</v>
      </c>
      <c r="E82" s="1" t="n">
        <v>46269</v>
      </c>
      <c r="F82" t="inlineStr">
        <is>
          <t>STOCKHOLMS LÄN</t>
        </is>
      </c>
      <c r="G82" t="inlineStr">
        <is>
          <t>ÖSTERÅKER</t>
        </is>
      </c>
      <c r="I82" t="n">
        <v>7</v>
      </c>
      <c r="J82" t="n">
        <v>0</v>
      </c>
      <c r="K82" t="n">
        <v>0</v>
      </c>
      <c r="L82" t="n">
        <v>0</v>
      </c>
      <c r="M82" t="n">
        <v>0</v>
      </c>
      <c r="N82" t="n">
        <v>0</v>
      </c>
      <c r="O82" t="n">
        <v>0</v>
      </c>
      <c r="P82" t="n">
        <v>0</v>
      </c>
      <c r="Q82" t="n">
        <v>0</v>
      </c>
      <c r="R82" t="n">
        <v>0</v>
      </c>
      <c r="S82" t="n">
        <v>0</v>
      </c>
      <c r="T82" t="n">
        <v>0</v>
      </c>
      <c r="U82" t="n">
        <v>0</v>
      </c>
      <c r="V82" s="2" t="inlineStr"/>
    </row>
    <row r="83" ht="15" customHeight="1">
      <c r="A83" t="inlineStr">
        <is>
          <t>A 3817-2023</t>
        </is>
      </c>
      <c r="B83" t="inlineStr">
        <is>
          <t>avverkningsanmälan</t>
        </is>
      </c>
      <c r="C83" t="inlineStr">
        <is>
          <t>Föryngringsavverkning</t>
        </is>
      </c>
      <c r="D83" s="1" t="n">
        <v>44951</v>
      </c>
      <c r="E83" s="1" t="n">
        <v>46269</v>
      </c>
      <c r="F83" t="inlineStr">
        <is>
          <t>STOCKHOLMS LÄN</t>
        </is>
      </c>
      <c r="G83" t="inlineStr">
        <is>
          <t>ÖSTERÅKER</t>
        </is>
      </c>
      <c r="H83" t="inlineStr">
        <is>
          <t>Kommuner</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3828-2023</t>
        </is>
      </c>
      <c r="B84" t="inlineStr">
        <is>
          <t>avverkningsanmälan</t>
        </is>
      </c>
      <c r="C84" t="inlineStr">
        <is>
          <t>Föryngringsavverkning</t>
        </is>
      </c>
      <c r="D84" s="1" t="n">
        <v>44951</v>
      </c>
      <c r="E84" s="1" t="n">
        <v>46269</v>
      </c>
      <c r="F84" t="inlineStr">
        <is>
          <t>STOCKHOLMS LÄN</t>
        </is>
      </c>
      <c r="G84" t="inlineStr">
        <is>
          <t>ÖSTERÅKER</t>
        </is>
      </c>
      <c r="H84" t="inlineStr">
        <is>
          <t>Kommuner</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26249-2026</t>
        </is>
      </c>
      <c r="B85" t="inlineStr">
        <is>
          <t>avverkningsanmälan</t>
        </is>
      </c>
      <c r="C85" t="inlineStr">
        <is>
          <t>Avverkning för annat ändamål</t>
        </is>
      </c>
      <c r="D85" s="1" t="n">
        <v>46182</v>
      </c>
      <c r="E85" s="1" t="n">
        <v>46269</v>
      </c>
      <c r="F85" t="inlineStr">
        <is>
          <t>STOCKHOLMS LÄN</t>
        </is>
      </c>
      <c r="G85" t="inlineStr">
        <is>
          <t>ÖSTERÅKER</t>
        </is>
      </c>
      <c r="I85" t="n">
        <v>4.9</v>
      </c>
      <c r="J85" t="n">
        <v>0</v>
      </c>
      <c r="K85" t="n">
        <v>0</v>
      </c>
      <c r="L85" t="n">
        <v>0</v>
      </c>
      <c r="M85" t="n">
        <v>0</v>
      </c>
      <c r="N85" t="n">
        <v>0</v>
      </c>
      <c r="O85" t="n">
        <v>0</v>
      </c>
      <c r="P85" t="n">
        <v>0</v>
      </c>
      <c r="Q85" t="n">
        <v>0</v>
      </c>
      <c r="R85" t="n">
        <v>0</v>
      </c>
      <c r="S85" t="n">
        <v>0</v>
      </c>
      <c r="T85" t="n">
        <v>0</v>
      </c>
      <c r="U85" t="n">
        <v>0</v>
      </c>
      <c r="V85" s="2" t="inlineStr"/>
    </row>
    <row r="86" ht="15" customHeight="1">
      <c r="A86" t="inlineStr">
        <is>
          <t>A 24499-2023</t>
        </is>
      </c>
      <c r="B86" t="inlineStr">
        <is>
          <t>avverkningsanmälan</t>
        </is>
      </c>
      <c r="C86" t="inlineStr">
        <is>
          <t>Föryngringsavverkning</t>
        </is>
      </c>
      <c r="D86" s="1" t="n">
        <v>45082</v>
      </c>
      <c r="E86" s="1" t="n">
        <v>46269</v>
      </c>
      <c r="F86" t="inlineStr">
        <is>
          <t>STOCKHOLMS LÄN</t>
        </is>
      </c>
      <c r="G86" t="inlineStr">
        <is>
          <t>ÖSTERÅKER</t>
        </is>
      </c>
      <c r="I86" t="n">
        <v>0.1</v>
      </c>
      <c r="J86" t="n">
        <v>0</v>
      </c>
      <c r="K86" t="n">
        <v>0</v>
      </c>
      <c r="L86" t="n">
        <v>0</v>
      </c>
      <c r="M86" t="n">
        <v>0</v>
      </c>
      <c r="N86" t="n">
        <v>0</v>
      </c>
      <c r="O86" t="n">
        <v>0</v>
      </c>
      <c r="P86" t="n">
        <v>0</v>
      </c>
      <c r="Q86" t="n">
        <v>0</v>
      </c>
      <c r="R86" t="n">
        <v>0</v>
      </c>
      <c r="S86" t="n">
        <v>0</v>
      </c>
      <c r="T86" t="n">
        <v>0</v>
      </c>
      <c r="U86" t="n">
        <v>0</v>
      </c>
      <c r="V86" s="2" t="inlineStr"/>
    </row>
    <row r="87" ht="15" customHeight="1">
      <c r="A87" t="inlineStr">
        <is>
          <t>A 17196-2022</t>
        </is>
      </c>
      <c r="B87" t="inlineStr">
        <is>
          <t>avverkningsanmälan</t>
        </is>
      </c>
      <c r="C87" t="inlineStr">
        <is>
          <t>Föryngringsavverkning</t>
        </is>
      </c>
      <c r="D87" s="1" t="n">
        <v>44677</v>
      </c>
      <c r="E87" s="1" t="n">
        <v>46269</v>
      </c>
      <c r="F87" t="inlineStr">
        <is>
          <t>STOCKHOLMS LÄN</t>
        </is>
      </c>
      <c r="G87" t="inlineStr">
        <is>
          <t>ÖSTERÅKER</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5038-2026</t>
        </is>
      </c>
      <c r="B88" t="inlineStr">
        <is>
          <t>avverkningsanmälan</t>
        </is>
      </c>
      <c r="C88" t="inlineStr">
        <is>
          <t>Föryngringsavverkning</t>
        </is>
      </c>
      <c r="D88" s="1" t="n">
        <v>46049</v>
      </c>
      <c r="E88" s="1" t="n">
        <v>46269</v>
      </c>
      <c r="F88" t="inlineStr">
        <is>
          <t>STOCKHOLMS LÄN</t>
        </is>
      </c>
      <c r="G88" t="inlineStr">
        <is>
          <t>ÖSTERÅKER</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29443-2026</t>
        </is>
      </c>
      <c r="B89" t="inlineStr">
        <is>
          <t>avverkningsanmälan</t>
        </is>
      </c>
      <c r="C89" t="inlineStr">
        <is>
          <t>Föryngringsavverkning</t>
        </is>
      </c>
      <c r="D89" s="1" t="n">
        <v>46203</v>
      </c>
      <c r="E89" s="1" t="n">
        <v>46269</v>
      </c>
      <c r="F89" t="inlineStr">
        <is>
          <t>STOCKHOLMS LÄN</t>
        </is>
      </c>
      <c r="G89" t="inlineStr">
        <is>
          <t>ÖSTERÅKER</t>
        </is>
      </c>
      <c r="I89" t="n">
        <v>13.8</v>
      </c>
      <c r="J89" t="n">
        <v>0</v>
      </c>
      <c r="K89" t="n">
        <v>0</v>
      </c>
      <c r="L89" t="n">
        <v>0</v>
      </c>
      <c r="M89" t="n">
        <v>0</v>
      </c>
      <c r="N89" t="n">
        <v>0</v>
      </c>
      <c r="O89" t="n">
        <v>0</v>
      </c>
      <c r="P89" t="n">
        <v>0</v>
      </c>
      <c r="Q89" t="n">
        <v>0</v>
      </c>
      <c r="R89" t="n">
        <v>0</v>
      </c>
      <c r="S89" t="n">
        <v>0</v>
      </c>
      <c r="T89" t="n">
        <v>0</v>
      </c>
      <c r="U89" t="n">
        <v>0</v>
      </c>
      <c r="V89" s="2" t="inlineStr"/>
    </row>
    <row r="90" ht="15" customHeight="1">
      <c r="A90" t="inlineStr">
        <is>
          <t>A 30599-2026</t>
        </is>
      </c>
      <c r="B90" t="inlineStr">
        <is>
          <t>avverkningsanmälan</t>
        </is>
      </c>
      <c r="C90" t="inlineStr">
        <is>
          <t>Föryngringsavverkning</t>
        </is>
      </c>
      <c r="D90" s="1" t="n">
        <v>46210</v>
      </c>
      <c r="E90" s="1" t="n">
        <v>46269</v>
      </c>
      <c r="F90" t="inlineStr">
        <is>
          <t>STOCKHOLMS LÄN</t>
        </is>
      </c>
      <c r="G90" t="inlineStr">
        <is>
          <t>ÖSTERÅKER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12345-2026</t>
        </is>
      </c>
      <c r="B91" t="inlineStr">
        <is>
          <t>avverkningsanmälan</t>
        </is>
      </c>
      <c r="C91" t="inlineStr">
        <is>
          <t>Föryngringsavverkning</t>
        </is>
      </c>
      <c r="D91" s="1" t="n">
        <v>46087</v>
      </c>
      <c r="E91" s="1" t="n">
        <v>46269</v>
      </c>
      <c r="F91" t="inlineStr">
        <is>
          <t>STOCKHOLMS LÄN</t>
        </is>
      </c>
      <c r="G91" t="inlineStr">
        <is>
          <t>ÖSTERÅKER</t>
        </is>
      </c>
      <c r="H91" t="inlineStr">
        <is>
          <t>Övriga Aktiebolag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1603-2023</t>
        </is>
      </c>
      <c r="B92" t="inlineStr">
        <is>
          <t>avverkningsanmälan</t>
        </is>
      </c>
      <c r="C92" t="inlineStr">
        <is>
          <t>Föryngringsavverkning</t>
        </is>
      </c>
      <c r="D92" s="1" t="n">
        <v>44937</v>
      </c>
      <c r="E92" s="1" t="n">
        <v>46269</v>
      </c>
      <c r="F92" t="inlineStr">
        <is>
          <t>STOCKHOLMS LÄN</t>
        </is>
      </c>
      <c r="G92" t="inlineStr">
        <is>
          <t>ÖSTERÅKER</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1605-2023</t>
        </is>
      </c>
      <c r="B93" t="inlineStr">
        <is>
          <t>avverkningsanmälan</t>
        </is>
      </c>
      <c r="C93" t="inlineStr">
        <is>
          <t>Föryngringsavverkning</t>
        </is>
      </c>
      <c r="D93" s="1" t="n">
        <v>44937</v>
      </c>
      <c r="E93" s="1" t="n">
        <v>46269</v>
      </c>
      <c r="F93" t="inlineStr">
        <is>
          <t>STOCKHOLMS LÄN</t>
        </is>
      </c>
      <c r="G93" t="inlineStr">
        <is>
          <t>ÖSTERÅKER</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31149-2026</t>
        </is>
      </c>
      <c r="B94" t="inlineStr">
        <is>
          <t>avverkningsanmälan</t>
        </is>
      </c>
      <c r="C94" t="inlineStr">
        <is>
          <t>Föryngringsavverkning</t>
        </is>
      </c>
      <c r="D94" s="1" t="n">
        <v>46216</v>
      </c>
      <c r="E94" s="1" t="n">
        <v>46269</v>
      </c>
      <c r="F94" t="inlineStr">
        <is>
          <t>STOCKHOLMS LÄN</t>
        </is>
      </c>
      <c r="G94" t="inlineStr">
        <is>
          <t>ÖSTERÅKER</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31156-2026</t>
        </is>
      </c>
      <c r="B95" t="inlineStr">
        <is>
          <t>avverkningsanmälan</t>
        </is>
      </c>
      <c r="C95" t="inlineStr">
        <is>
          <t>Föryngringsavverkning</t>
        </is>
      </c>
      <c r="D95" s="1" t="n">
        <v>46216</v>
      </c>
      <c r="E95" s="1" t="n">
        <v>46269</v>
      </c>
      <c r="F95" t="inlineStr">
        <is>
          <t>STOCKHOLMS LÄN</t>
        </is>
      </c>
      <c r="G95" t="inlineStr">
        <is>
          <t>ÖSTERÅKER</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31146-2026</t>
        </is>
      </c>
      <c r="B96" t="inlineStr">
        <is>
          <t>avverkningsanmälan</t>
        </is>
      </c>
      <c r="C96" t="inlineStr">
        <is>
          <t>Föryngringsavverkning</t>
        </is>
      </c>
      <c r="D96" s="1" t="n">
        <v>46216</v>
      </c>
      <c r="E96" s="1" t="n">
        <v>46269</v>
      </c>
      <c r="F96" t="inlineStr">
        <is>
          <t>STOCKHOLMS LÄN</t>
        </is>
      </c>
      <c r="G96" t="inlineStr">
        <is>
          <t>ÖSTERÅKER</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31154-2026</t>
        </is>
      </c>
      <c r="B97" t="inlineStr">
        <is>
          <t>avverkningsanmälan</t>
        </is>
      </c>
      <c r="C97" t="inlineStr">
        <is>
          <t>Föryngringsavverkning</t>
        </is>
      </c>
      <c r="D97" s="1" t="n">
        <v>46216</v>
      </c>
      <c r="E97" s="1" t="n">
        <v>46269</v>
      </c>
      <c r="F97" t="inlineStr">
        <is>
          <t>STOCKHOLMS LÄN</t>
        </is>
      </c>
      <c r="G97" t="inlineStr">
        <is>
          <t>ÖSTERÅKER</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5286-2025</t>
        </is>
      </c>
      <c r="B98" t="inlineStr">
        <is>
          <t>avverkningsanmälan</t>
        </is>
      </c>
      <c r="C98" t="inlineStr">
        <is>
          <t>Föryngringsavverkning</t>
        </is>
      </c>
      <c r="D98" s="1" t="n">
        <v>45692</v>
      </c>
      <c r="E98" s="1" t="n">
        <v>46269</v>
      </c>
      <c r="F98" t="inlineStr">
        <is>
          <t>STOCKHOLMS LÄN</t>
        </is>
      </c>
      <c r="G98" t="inlineStr">
        <is>
          <t>ÖSTERÅKER</t>
        </is>
      </c>
      <c r="I98" t="n">
        <v>11.2</v>
      </c>
      <c r="J98" t="n">
        <v>0</v>
      </c>
      <c r="K98" t="n">
        <v>0</v>
      </c>
      <c r="L98" t="n">
        <v>0</v>
      </c>
      <c r="M98" t="n">
        <v>0</v>
      </c>
      <c r="N98" t="n">
        <v>0</v>
      </c>
      <c r="O98" t="n">
        <v>0</v>
      </c>
      <c r="P98" t="n">
        <v>0</v>
      </c>
      <c r="Q98" t="n">
        <v>0</v>
      </c>
      <c r="R98" t="n">
        <v>0</v>
      </c>
      <c r="S98" t="n">
        <v>0</v>
      </c>
      <c r="T98" t="n">
        <v>0</v>
      </c>
      <c r="U98" t="n">
        <v>0</v>
      </c>
      <c r="V98" s="2" t="inlineStr"/>
    </row>
    <row r="99" ht="15" customHeight="1">
      <c r="A99" t="inlineStr">
        <is>
          <t>A 1136-2023</t>
        </is>
      </c>
      <c r="B99" t="inlineStr">
        <is>
          <t>avverkningsanmälan</t>
        </is>
      </c>
      <c r="C99" t="inlineStr">
        <is>
          <t>Avverkning för annat ändamål</t>
        </is>
      </c>
      <c r="D99" s="1" t="n">
        <v>44935</v>
      </c>
      <c r="E99" s="1" t="n">
        <v>46269</v>
      </c>
      <c r="F99" t="inlineStr">
        <is>
          <t>STOCKHOLMS LÄN</t>
        </is>
      </c>
      <c r="G99" t="inlineStr">
        <is>
          <t>ÖSTERÅKER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39394-2023</t>
        </is>
      </c>
      <c r="B100" t="inlineStr">
        <is>
          <t>avverkningsanmälan</t>
        </is>
      </c>
      <c r="C100" t="inlineStr">
        <is>
          <t>Föryngringsavverkning</t>
        </is>
      </c>
      <c r="D100" s="1" t="n">
        <v>45166</v>
      </c>
      <c r="E100" s="1" t="n">
        <v>46269</v>
      </c>
      <c r="F100" t="inlineStr">
        <is>
          <t>STOCKHOLMS LÄN</t>
        </is>
      </c>
      <c r="G100" t="inlineStr">
        <is>
          <t>ÖSTERÅKER</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845-2024</t>
        </is>
      </c>
      <c r="B101" t="inlineStr">
        <is>
          <t>avverkningsanmälan</t>
        </is>
      </c>
      <c r="C101" t="inlineStr">
        <is>
          <t>Föryngringsavverkning</t>
        </is>
      </c>
      <c r="D101" s="1" t="n">
        <v>45300</v>
      </c>
      <c r="E101" s="1" t="n">
        <v>46269</v>
      </c>
      <c r="F101" t="inlineStr">
        <is>
          <t>STOCKHOLMS LÄN</t>
        </is>
      </c>
      <c r="G101" t="inlineStr">
        <is>
          <t>ÖSTERÅKER</t>
        </is>
      </c>
      <c r="I101" t="n">
        <v>10.1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37037-2023</t>
        </is>
      </c>
      <c r="B102" t="inlineStr">
        <is>
          <t>avverkningsanmälan</t>
        </is>
      </c>
      <c r="C102" t="inlineStr">
        <is>
          <t>Föryngringsavverkning</t>
        </is>
      </c>
      <c r="D102" s="1" t="n">
        <v>45155</v>
      </c>
      <c r="E102" s="1" t="n">
        <v>46269</v>
      </c>
      <c r="F102" t="inlineStr">
        <is>
          <t>STOCKHOLMS LÄN</t>
        </is>
      </c>
      <c r="G102" t="inlineStr">
        <is>
          <t>ÖSTERÅKER</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46269</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46269</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46269</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2026-09-04T02:07:28Z</dcterms:created>
  <dcterms:modified xmlns:dcterms="http://purl.org/dc/terms/" xmlns:xsi="http://www.w3.org/2001/XMLSchema-instance" xsi:type="dcterms:W3CDTF">2026-09-04T02:07:28Z</dcterms:modified>
</cp:coreProperties>
</file>