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45710</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45710</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45710</v>
      </c>
      <c r="D4" t="inlineStr">
        <is>
          <t>STOCKHOLMS LÄN</t>
        </is>
      </c>
      <c r="E4" t="inlineStr">
        <is>
          <t>ÖSTERÅKER</t>
        </is>
      </c>
      <c r="G4" t="n">
        <v>9.800000000000001</v>
      </c>
      <c r="H4" t="n">
        <v>2</v>
      </c>
      <c r="I4" t="n">
        <v>13</v>
      </c>
      <c r="J4" t="n">
        <v>6</v>
      </c>
      <c r="K4" t="n">
        <v>1</v>
      </c>
      <c r="L4" t="n">
        <v>0</v>
      </c>
      <c r="M4" t="n">
        <v>0</v>
      </c>
      <c r="N4" t="n">
        <v>0</v>
      </c>
      <c r="O4" t="n">
        <v>7</v>
      </c>
      <c r="P4" t="n">
        <v>1</v>
      </c>
      <c r="Q4" t="n">
        <v>21</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45710</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45710</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45710</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12620-2022</t>
        </is>
      </c>
      <c r="B8" s="1" t="n">
        <v>44638</v>
      </c>
      <c r="C8" s="1" t="n">
        <v>45710</v>
      </c>
      <c r="D8" t="inlineStr">
        <is>
          <t>STOCKHOLMS LÄN</t>
        </is>
      </c>
      <c r="E8" t="inlineStr">
        <is>
          <t>ÖSTERÅKER</t>
        </is>
      </c>
      <c r="G8" t="n">
        <v>9.4</v>
      </c>
      <c r="H8" t="n">
        <v>1</v>
      </c>
      <c r="I8" t="n">
        <v>1</v>
      </c>
      <c r="J8" t="n">
        <v>0</v>
      </c>
      <c r="K8" t="n">
        <v>1</v>
      </c>
      <c r="L8" t="n">
        <v>0</v>
      </c>
      <c r="M8" t="n">
        <v>0</v>
      </c>
      <c r="N8" t="n">
        <v>0</v>
      </c>
      <c r="O8" t="n">
        <v>1</v>
      </c>
      <c r="P8" t="n">
        <v>1</v>
      </c>
      <c r="Q8" t="n">
        <v>3</v>
      </c>
      <c r="R8" s="2" t="inlineStr">
        <is>
          <t>Taggfingersvamp
Fällmossa
Blåsippa</t>
        </is>
      </c>
      <c r="S8">
        <f>HYPERLINK("https://klasma.github.io/Logging_0117/artfynd/A 12620-2022 artfynd.xlsx", "A 12620-2022")</f>
        <v/>
      </c>
      <c r="T8">
        <f>HYPERLINK("https://klasma.github.io/Logging_0117/kartor/A 12620-2022 karta.png", "A 12620-2022")</f>
        <v/>
      </c>
      <c r="V8">
        <f>HYPERLINK("https://klasma.github.io/Logging_0117/klagomål/A 12620-2022 FSC-klagomål.docx", "A 12620-2022")</f>
        <v/>
      </c>
      <c r="W8">
        <f>HYPERLINK("https://klasma.github.io/Logging_0117/klagomålsmail/A 12620-2022 FSC-klagomål mail.docx", "A 12620-2022")</f>
        <v/>
      </c>
      <c r="X8">
        <f>HYPERLINK("https://klasma.github.io/Logging_0117/tillsyn/A 12620-2022 tillsynsbegäran.docx", "A 12620-2022")</f>
        <v/>
      </c>
      <c r="Y8">
        <f>HYPERLINK("https://klasma.github.io/Logging_0117/tillsynsmail/A 12620-2022 tillsynsbegäran mail.docx", "A 12620-2022")</f>
        <v/>
      </c>
    </row>
    <row r="9" ht="15" customHeight="1">
      <c r="A9" t="inlineStr">
        <is>
          <t>A 63913-2023</t>
        </is>
      </c>
      <c r="B9" s="1" t="n">
        <v>45278</v>
      </c>
      <c r="C9" s="1" t="n">
        <v>45710</v>
      </c>
      <c r="D9" t="inlineStr">
        <is>
          <t>STOCKHOLMS LÄN</t>
        </is>
      </c>
      <c r="E9" t="inlineStr">
        <is>
          <t>ÖSTERÅKER</t>
        </is>
      </c>
      <c r="G9" t="n">
        <v>16.8</v>
      </c>
      <c r="H9" t="n">
        <v>2</v>
      </c>
      <c r="I9" t="n">
        <v>2</v>
      </c>
      <c r="J9" t="n">
        <v>0</v>
      </c>
      <c r="K9" t="n">
        <v>0</v>
      </c>
      <c r="L9" t="n">
        <v>0</v>
      </c>
      <c r="M9" t="n">
        <v>0</v>
      </c>
      <c r="N9" t="n">
        <v>0</v>
      </c>
      <c r="O9" t="n">
        <v>0</v>
      </c>
      <c r="P9" t="n">
        <v>0</v>
      </c>
      <c r="Q9" t="n">
        <v>3</v>
      </c>
      <c r="R9" s="2" t="inlineStr">
        <is>
          <t>Skogsknipprot
Vårärt
Blåsippa</t>
        </is>
      </c>
      <c r="S9">
        <f>HYPERLINK("https://klasma.github.io/Logging_0117/artfynd/A 63913-2023 artfynd.xlsx", "A 63913-2023")</f>
        <v/>
      </c>
      <c r="T9">
        <f>HYPERLINK("https://klasma.github.io/Logging_0117/kartor/A 63913-2023 karta.png", "A 63913-2023")</f>
        <v/>
      </c>
      <c r="V9">
        <f>HYPERLINK("https://klasma.github.io/Logging_0117/klagomål/A 63913-2023 FSC-klagomål.docx", "A 63913-2023")</f>
        <v/>
      </c>
      <c r="W9">
        <f>HYPERLINK("https://klasma.github.io/Logging_0117/klagomålsmail/A 63913-2023 FSC-klagomål mail.docx", "A 63913-2023")</f>
        <v/>
      </c>
      <c r="X9">
        <f>HYPERLINK("https://klasma.github.io/Logging_0117/tillsyn/A 63913-2023 tillsynsbegäran.docx", "A 63913-2023")</f>
        <v/>
      </c>
      <c r="Y9">
        <f>HYPERLINK("https://klasma.github.io/Logging_0117/tillsynsmail/A 63913-2023 tillsynsbegäran mail.docx", "A 63913-2023")</f>
        <v/>
      </c>
    </row>
    <row r="10" ht="15" customHeight="1">
      <c r="A10" t="inlineStr">
        <is>
          <t>A 61275-2021</t>
        </is>
      </c>
      <c r="B10" s="1" t="n">
        <v>44498</v>
      </c>
      <c r="C10" s="1" t="n">
        <v>45710</v>
      </c>
      <c r="D10" t="inlineStr">
        <is>
          <t>STOCKHOLMS LÄN</t>
        </is>
      </c>
      <c r="E10" t="inlineStr">
        <is>
          <t>ÖSTERÅKER</t>
        </is>
      </c>
      <c r="G10" t="n">
        <v>2.1</v>
      </c>
      <c r="H10" t="n">
        <v>2</v>
      </c>
      <c r="I10" t="n">
        <v>0</v>
      </c>
      <c r="J10" t="n">
        <v>0</v>
      </c>
      <c r="K10" t="n">
        <v>0</v>
      </c>
      <c r="L10" t="n">
        <v>0</v>
      </c>
      <c r="M10" t="n">
        <v>0</v>
      </c>
      <c r="N10" t="n">
        <v>0</v>
      </c>
      <c r="O10" t="n">
        <v>0</v>
      </c>
      <c r="P10" t="n">
        <v>0</v>
      </c>
      <c r="Q10" t="n">
        <v>2</v>
      </c>
      <c r="R10" s="2" t="inlineStr">
        <is>
          <t>Fläcknycklar
Nattviol</t>
        </is>
      </c>
      <c r="S10">
        <f>HYPERLINK("https://klasma.github.io/Logging_0117/artfynd/A 61275-2021 artfynd.xlsx", "A 61275-2021")</f>
        <v/>
      </c>
      <c r="T10">
        <f>HYPERLINK("https://klasma.github.io/Logging_0117/kartor/A 61275-2021 karta.png", "A 61275-2021")</f>
        <v/>
      </c>
      <c r="V10">
        <f>HYPERLINK("https://klasma.github.io/Logging_0117/klagomål/A 61275-2021 FSC-klagomål.docx", "A 61275-2021")</f>
        <v/>
      </c>
      <c r="W10">
        <f>HYPERLINK("https://klasma.github.io/Logging_0117/klagomålsmail/A 61275-2021 FSC-klagomål mail.docx", "A 61275-2021")</f>
        <v/>
      </c>
      <c r="X10">
        <f>HYPERLINK("https://klasma.github.io/Logging_0117/tillsyn/A 61275-2021 tillsynsbegäran.docx", "A 61275-2021")</f>
        <v/>
      </c>
      <c r="Y10">
        <f>HYPERLINK("https://klasma.github.io/Logging_0117/tillsynsmail/A 61275-2021 tillsynsbegäran mail.docx", "A 61275-2021")</f>
        <v/>
      </c>
    </row>
    <row r="11" ht="15" customHeight="1">
      <c r="A11" t="inlineStr">
        <is>
          <t>A 17244-2022</t>
        </is>
      </c>
      <c r="B11" s="1" t="n">
        <v>44678</v>
      </c>
      <c r="C11" s="1" t="n">
        <v>45710</v>
      </c>
      <c r="D11" t="inlineStr">
        <is>
          <t>STOCKHOLMS LÄN</t>
        </is>
      </c>
      <c r="E11" t="inlineStr">
        <is>
          <t>ÖSTERÅKER</t>
        </is>
      </c>
      <c r="G11" t="n">
        <v>1.4</v>
      </c>
      <c r="H11" t="n">
        <v>1</v>
      </c>
      <c r="I11" t="n">
        <v>2</v>
      </c>
      <c r="J11" t="n">
        <v>0</v>
      </c>
      <c r="K11" t="n">
        <v>0</v>
      </c>
      <c r="L11" t="n">
        <v>0</v>
      </c>
      <c r="M11" t="n">
        <v>0</v>
      </c>
      <c r="N11" t="n">
        <v>0</v>
      </c>
      <c r="O11" t="n">
        <v>0</v>
      </c>
      <c r="P11" t="n">
        <v>0</v>
      </c>
      <c r="Q11" t="n">
        <v>2</v>
      </c>
      <c r="R11" s="2" t="inlineStr">
        <is>
          <t>Bronshjon
Grön sköldmossa</t>
        </is>
      </c>
      <c r="S11">
        <f>HYPERLINK("https://klasma.github.io/Logging_0117/artfynd/A 17244-2022 artfynd.xlsx", "A 17244-2022")</f>
        <v/>
      </c>
      <c r="T11">
        <f>HYPERLINK("https://klasma.github.io/Logging_0117/kartor/A 17244-2022 karta.png", "A 17244-2022")</f>
        <v/>
      </c>
      <c r="V11">
        <f>HYPERLINK("https://klasma.github.io/Logging_0117/klagomål/A 17244-2022 FSC-klagomål.docx", "A 17244-2022")</f>
        <v/>
      </c>
      <c r="W11">
        <f>HYPERLINK("https://klasma.github.io/Logging_0117/klagomålsmail/A 17244-2022 FSC-klagomål mail.docx", "A 17244-2022")</f>
        <v/>
      </c>
      <c r="X11">
        <f>HYPERLINK("https://klasma.github.io/Logging_0117/tillsyn/A 17244-2022 tillsynsbegäran.docx", "A 17244-2022")</f>
        <v/>
      </c>
      <c r="Y11">
        <f>HYPERLINK("https://klasma.github.io/Logging_0117/tillsynsmail/A 17244-2022 tillsynsbegäran mail.docx", "A 17244-2022")</f>
        <v/>
      </c>
    </row>
    <row r="12" ht="15" customHeight="1">
      <c r="A12" t="inlineStr">
        <is>
          <t>A 31523-2022</t>
        </is>
      </c>
      <c r="B12" s="1" t="n">
        <v>44775</v>
      </c>
      <c r="C12" s="1" t="n">
        <v>45710</v>
      </c>
      <c r="D12" t="inlineStr">
        <is>
          <t>STOCKHOLMS LÄN</t>
        </is>
      </c>
      <c r="E12" t="inlineStr">
        <is>
          <t>ÖSTERÅKER</t>
        </is>
      </c>
      <c r="G12" t="n">
        <v>9</v>
      </c>
      <c r="H12" t="n">
        <v>0</v>
      </c>
      <c r="I12" t="n">
        <v>0</v>
      </c>
      <c r="J12" t="n">
        <v>2</v>
      </c>
      <c r="K12" t="n">
        <v>0</v>
      </c>
      <c r="L12" t="n">
        <v>0</v>
      </c>
      <c r="M12" t="n">
        <v>0</v>
      </c>
      <c r="N12" t="n">
        <v>0</v>
      </c>
      <c r="O12" t="n">
        <v>2</v>
      </c>
      <c r="P12" t="n">
        <v>0</v>
      </c>
      <c r="Q12" t="n">
        <v>2</v>
      </c>
      <c r="R12" s="2" t="inlineStr">
        <is>
          <t>Garnlav
Tallticka</t>
        </is>
      </c>
      <c r="S12">
        <f>HYPERLINK("https://klasma.github.io/Logging_0117/artfynd/A 31523-2022 artfynd.xlsx", "A 31523-2022")</f>
        <v/>
      </c>
      <c r="T12">
        <f>HYPERLINK("https://klasma.github.io/Logging_0117/kartor/A 31523-2022 karta.png", "A 31523-2022")</f>
        <v/>
      </c>
      <c r="V12">
        <f>HYPERLINK("https://klasma.github.io/Logging_0117/klagomål/A 31523-2022 FSC-klagomål.docx", "A 31523-2022")</f>
        <v/>
      </c>
      <c r="W12">
        <f>HYPERLINK("https://klasma.github.io/Logging_0117/klagomålsmail/A 31523-2022 FSC-klagomål mail.docx", "A 31523-2022")</f>
        <v/>
      </c>
      <c r="X12">
        <f>HYPERLINK("https://klasma.github.io/Logging_0117/tillsyn/A 31523-2022 tillsynsbegäran.docx", "A 31523-2022")</f>
        <v/>
      </c>
      <c r="Y12">
        <f>HYPERLINK("https://klasma.github.io/Logging_0117/tillsynsmail/A 31523-2022 tillsynsbegäran mail.docx", "A 31523-2022")</f>
        <v/>
      </c>
    </row>
    <row r="13" ht="15" customHeight="1">
      <c r="A13" t="inlineStr">
        <is>
          <t>A 61357-2022</t>
        </is>
      </c>
      <c r="B13" s="1" t="n">
        <v>44915</v>
      </c>
      <c r="C13" s="1" t="n">
        <v>45710</v>
      </c>
      <c r="D13" t="inlineStr">
        <is>
          <t>STOCKHOLMS LÄN</t>
        </is>
      </c>
      <c r="E13" t="inlineStr">
        <is>
          <t>ÖSTERÅKER</t>
        </is>
      </c>
      <c r="G13" t="n">
        <v>3.5</v>
      </c>
      <c r="H13" t="n">
        <v>0</v>
      </c>
      <c r="I13" t="n">
        <v>2</v>
      </c>
      <c r="J13" t="n">
        <v>0</v>
      </c>
      <c r="K13" t="n">
        <v>0</v>
      </c>
      <c r="L13" t="n">
        <v>0</v>
      </c>
      <c r="M13" t="n">
        <v>0</v>
      </c>
      <c r="N13" t="n">
        <v>0</v>
      </c>
      <c r="O13" t="n">
        <v>0</v>
      </c>
      <c r="P13" t="n">
        <v>0</v>
      </c>
      <c r="Q13" t="n">
        <v>2</v>
      </c>
      <c r="R13" s="2" t="inlineStr">
        <is>
          <t>Dvärgtufs
Slanklav</t>
        </is>
      </c>
      <c r="S13">
        <f>HYPERLINK("https://klasma.github.io/Logging_0117/artfynd/A 61357-2022 artfynd.xlsx", "A 61357-2022")</f>
        <v/>
      </c>
      <c r="T13">
        <f>HYPERLINK("https://klasma.github.io/Logging_0117/kartor/A 61357-2022 karta.png", "A 61357-2022")</f>
        <v/>
      </c>
      <c r="U13">
        <f>HYPERLINK("https://klasma.github.io/Logging_0117/knärot/A 61357-2022 karta knärot.png", "A 61357-2022")</f>
        <v/>
      </c>
      <c r="V13">
        <f>HYPERLINK("https://klasma.github.io/Logging_0117/klagomål/A 61357-2022 FSC-klagomål.docx", "A 61357-2022")</f>
        <v/>
      </c>
      <c r="W13">
        <f>HYPERLINK("https://klasma.github.io/Logging_0117/klagomålsmail/A 61357-2022 FSC-klagomål mail.docx", "A 61357-2022")</f>
        <v/>
      </c>
      <c r="X13">
        <f>HYPERLINK("https://klasma.github.io/Logging_0117/tillsyn/A 61357-2022 tillsynsbegäran.docx", "A 61357-2022")</f>
        <v/>
      </c>
      <c r="Y13">
        <f>HYPERLINK("https://klasma.github.io/Logging_0117/tillsynsmail/A 61357-2022 tillsynsbegäran mail.docx", "A 61357-2022")</f>
        <v/>
      </c>
    </row>
    <row r="14" ht="15" customHeight="1">
      <c r="A14" t="inlineStr">
        <is>
          <t>A 61363-2022</t>
        </is>
      </c>
      <c r="B14" s="1" t="n">
        <v>44915</v>
      </c>
      <c r="C14" s="1" t="n">
        <v>45710</v>
      </c>
      <c r="D14" t="inlineStr">
        <is>
          <t>STOCKHOLMS LÄN</t>
        </is>
      </c>
      <c r="E14" t="inlineStr">
        <is>
          <t>ÖSTERÅKER</t>
        </is>
      </c>
      <c r="G14" t="n">
        <v>5.3</v>
      </c>
      <c r="H14" t="n">
        <v>0</v>
      </c>
      <c r="I14" t="n">
        <v>1</v>
      </c>
      <c r="J14" t="n">
        <v>1</v>
      </c>
      <c r="K14" t="n">
        <v>0</v>
      </c>
      <c r="L14" t="n">
        <v>0</v>
      </c>
      <c r="M14" t="n">
        <v>0</v>
      </c>
      <c r="N14" t="n">
        <v>0</v>
      </c>
      <c r="O14" t="n">
        <v>1</v>
      </c>
      <c r="P14" t="n">
        <v>0</v>
      </c>
      <c r="Q14" t="n">
        <v>2</v>
      </c>
      <c r="R14" s="2" t="inlineStr">
        <is>
          <t>Motaggsvamp
Skuggblåslav</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row>
    <row r="15" ht="15" customHeight="1">
      <c r="A15" t="inlineStr">
        <is>
          <t>A 8622-2024</t>
        </is>
      </c>
      <c r="B15" s="1" t="n">
        <v>45355</v>
      </c>
      <c r="C15" s="1" t="n">
        <v>45710</v>
      </c>
      <c r="D15" t="inlineStr">
        <is>
          <t>STOCKHOLMS LÄN</t>
        </is>
      </c>
      <c r="E15" t="inlineStr">
        <is>
          <t>ÖSTERÅKER</t>
        </is>
      </c>
      <c r="G15" t="n">
        <v>5.3</v>
      </c>
      <c r="H15" t="n">
        <v>2</v>
      </c>
      <c r="I15" t="n">
        <v>0</v>
      </c>
      <c r="J15" t="n">
        <v>1</v>
      </c>
      <c r="K15" t="n">
        <v>0</v>
      </c>
      <c r="L15" t="n">
        <v>0</v>
      </c>
      <c r="M15" t="n">
        <v>0</v>
      </c>
      <c r="N15" t="n">
        <v>0</v>
      </c>
      <c r="O15" t="n">
        <v>1</v>
      </c>
      <c r="P15" t="n">
        <v>0</v>
      </c>
      <c r="Q15" t="n">
        <v>2</v>
      </c>
      <c r="R15" s="2" t="inlineStr">
        <is>
          <t>Svartvit flugsnappare
Blåsippa</t>
        </is>
      </c>
      <c r="S15">
        <f>HYPERLINK("https://klasma.github.io/Logging_0117/artfynd/A 8622-2024 artfynd.xlsx", "A 8622-2024")</f>
        <v/>
      </c>
      <c r="T15">
        <f>HYPERLINK("https://klasma.github.io/Logging_0117/kartor/A 8622-2024 karta.png", "A 8622-2024")</f>
        <v/>
      </c>
      <c r="V15">
        <f>HYPERLINK("https://klasma.github.io/Logging_0117/klagomål/A 8622-2024 FSC-klagomål.docx", "A 8622-2024")</f>
        <v/>
      </c>
      <c r="W15">
        <f>HYPERLINK("https://klasma.github.io/Logging_0117/klagomålsmail/A 8622-2024 FSC-klagomål mail.docx", "A 8622-2024")</f>
        <v/>
      </c>
      <c r="X15">
        <f>HYPERLINK("https://klasma.github.io/Logging_0117/tillsyn/A 8622-2024 tillsynsbegäran.docx", "A 8622-2024")</f>
        <v/>
      </c>
      <c r="Y15">
        <f>HYPERLINK("https://klasma.github.io/Logging_0117/tillsynsmail/A 8622-2024 tillsynsbegäran mail.docx", "A 8622-2024")</f>
        <v/>
      </c>
      <c r="Z15">
        <f>HYPERLINK("https://klasma.github.io/Logging_0117/fåglar/A 8622-2024 prioriterade fågelarter.docx", "A 8622-2024")</f>
        <v/>
      </c>
    </row>
    <row r="16" ht="15" customHeight="1">
      <c r="A16" t="inlineStr">
        <is>
          <t>A 43308-2024</t>
        </is>
      </c>
      <c r="B16" s="1" t="n">
        <v>45568</v>
      </c>
      <c r="C16" s="1" t="n">
        <v>45710</v>
      </c>
      <c r="D16" t="inlineStr">
        <is>
          <t>STOCKHOLMS LÄN</t>
        </is>
      </c>
      <c r="E16" t="inlineStr">
        <is>
          <t>ÖSTERÅKER</t>
        </is>
      </c>
      <c r="F16" t="inlineStr">
        <is>
          <t>Kyrkan</t>
        </is>
      </c>
      <c r="G16" t="n">
        <v>3.2</v>
      </c>
      <c r="H16" t="n">
        <v>0</v>
      </c>
      <c r="I16" t="n">
        <v>1</v>
      </c>
      <c r="J16" t="n">
        <v>1</v>
      </c>
      <c r="K16" t="n">
        <v>0</v>
      </c>
      <c r="L16" t="n">
        <v>0</v>
      </c>
      <c r="M16" t="n">
        <v>0</v>
      </c>
      <c r="N16" t="n">
        <v>0</v>
      </c>
      <c r="O16" t="n">
        <v>1</v>
      </c>
      <c r="P16" t="n">
        <v>0</v>
      </c>
      <c r="Q16" t="n">
        <v>2</v>
      </c>
      <c r="R16" s="2" t="inlineStr">
        <is>
          <t>Tallticka
Dropptaggsvamp</t>
        </is>
      </c>
      <c r="S16">
        <f>HYPERLINK("https://klasma.github.io/Logging_0117/artfynd/A 43308-2024 artfynd.xlsx", "A 43308-2024")</f>
        <v/>
      </c>
      <c r="T16">
        <f>HYPERLINK("https://klasma.github.io/Logging_0117/kartor/A 43308-2024 karta.png", "A 43308-2024")</f>
        <v/>
      </c>
      <c r="V16">
        <f>HYPERLINK("https://klasma.github.io/Logging_0117/klagomål/A 43308-2024 FSC-klagomål.docx", "A 43308-2024")</f>
        <v/>
      </c>
      <c r="W16">
        <f>HYPERLINK("https://klasma.github.io/Logging_0117/klagomålsmail/A 43308-2024 FSC-klagomål mail.docx", "A 43308-2024")</f>
        <v/>
      </c>
      <c r="X16">
        <f>HYPERLINK("https://klasma.github.io/Logging_0117/tillsyn/A 43308-2024 tillsynsbegäran.docx", "A 43308-2024")</f>
        <v/>
      </c>
      <c r="Y16">
        <f>HYPERLINK("https://klasma.github.io/Logging_0117/tillsynsmail/A 43308-2024 tillsynsbegäran mail.docx", "A 43308-2024")</f>
        <v/>
      </c>
    </row>
    <row r="17" ht="15" customHeight="1">
      <c r="A17" t="inlineStr">
        <is>
          <t>A 54703-2024</t>
        </is>
      </c>
      <c r="B17" s="1" t="n">
        <v>45618</v>
      </c>
      <c r="C17" s="1" t="n">
        <v>45710</v>
      </c>
      <c r="D17" t="inlineStr">
        <is>
          <t>STOCKHOLMS LÄN</t>
        </is>
      </c>
      <c r="E17" t="inlineStr">
        <is>
          <t>ÖSTERÅKER</t>
        </is>
      </c>
      <c r="G17" t="n">
        <v>7.7</v>
      </c>
      <c r="H17" t="n">
        <v>1</v>
      </c>
      <c r="I17" t="n">
        <v>0</v>
      </c>
      <c r="J17" t="n">
        <v>2</v>
      </c>
      <c r="K17" t="n">
        <v>0</v>
      </c>
      <c r="L17" t="n">
        <v>0</v>
      </c>
      <c r="M17" t="n">
        <v>0</v>
      </c>
      <c r="N17" t="n">
        <v>0</v>
      </c>
      <c r="O17" t="n">
        <v>2</v>
      </c>
      <c r="P17" t="n">
        <v>0</v>
      </c>
      <c r="Q17" t="n">
        <v>2</v>
      </c>
      <c r="R17" s="2" t="inlineStr">
        <is>
          <t>Spillkråka
Tallticka</t>
        </is>
      </c>
      <c r="S17">
        <f>HYPERLINK("https://klasma.github.io/Logging_0117/artfynd/A 54703-2024 artfynd.xlsx", "A 54703-2024")</f>
        <v/>
      </c>
      <c r="T17">
        <f>HYPERLINK("https://klasma.github.io/Logging_0117/kartor/A 54703-2024 karta.png", "A 54703-2024")</f>
        <v/>
      </c>
      <c r="V17">
        <f>HYPERLINK("https://klasma.github.io/Logging_0117/klagomål/A 54703-2024 FSC-klagomål.docx", "A 54703-2024")</f>
        <v/>
      </c>
      <c r="W17">
        <f>HYPERLINK("https://klasma.github.io/Logging_0117/klagomålsmail/A 54703-2024 FSC-klagomål mail.docx", "A 54703-2024")</f>
        <v/>
      </c>
      <c r="X17">
        <f>HYPERLINK("https://klasma.github.io/Logging_0117/tillsyn/A 54703-2024 tillsynsbegäran.docx", "A 54703-2024")</f>
        <v/>
      </c>
      <c r="Y17">
        <f>HYPERLINK("https://klasma.github.io/Logging_0117/tillsynsmail/A 54703-2024 tillsynsbegäran mail.docx", "A 54703-2024")</f>
        <v/>
      </c>
      <c r="Z17">
        <f>HYPERLINK("https://klasma.github.io/Logging_0117/fåglar/A 54703-2024 prioriterade fågelarter.docx", "A 54703-2024")</f>
        <v/>
      </c>
    </row>
    <row r="18" ht="15" customHeight="1">
      <c r="A18" t="inlineStr">
        <is>
          <t>A 68105-2019</t>
        </is>
      </c>
      <c r="B18" s="1" t="n">
        <v>43817</v>
      </c>
      <c r="C18" s="1" t="n">
        <v>45710</v>
      </c>
      <c r="D18" t="inlineStr">
        <is>
          <t>STOCKHOLMS LÄN</t>
        </is>
      </c>
      <c r="E18" t="inlineStr">
        <is>
          <t>ÖSTERÅKER</t>
        </is>
      </c>
      <c r="G18" t="n">
        <v>16.6</v>
      </c>
      <c r="H18" t="n">
        <v>0</v>
      </c>
      <c r="I18" t="n">
        <v>1</v>
      </c>
      <c r="J18" t="n">
        <v>0</v>
      </c>
      <c r="K18" t="n">
        <v>0</v>
      </c>
      <c r="L18" t="n">
        <v>0</v>
      </c>
      <c r="M18" t="n">
        <v>0</v>
      </c>
      <c r="N18" t="n">
        <v>0</v>
      </c>
      <c r="O18" t="n">
        <v>0</v>
      </c>
      <c r="P18" t="n">
        <v>0</v>
      </c>
      <c r="Q18" t="n">
        <v>1</v>
      </c>
      <c r="R18" s="2" t="inlineStr">
        <is>
          <t>Mindre märgborre</t>
        </is>
      </c>
      <c r="S18">
        <f>HYPERLINK("https://klasma.github.io/Logging_0117/artfynd/A 68105-2019 artfynd.xlsx", "A 68105-2019")</f>
        <v/>
      </c>
      <c r="T18">
        <f>HYPERLINK("https://klasma.github.io/Logging_0117/kartor/A 68105-2019 karta.png", "A 68105-2019")</f>
        <v/>
      </c>
      <c r="V18">
        <f>HYPERLINK("https://klasma.github.io/Logging_0117/klagomål/A 68105-2019 FSC-klagomål.docx", "A 68105-2019")</f>
        <v/>
      </c>
      <c r="W18">
        <f>HYPERLINK("https://klasma.github.io/Logging_0117/klagomålsmail/A 68105-2019 FSC-klagomål mail.docx", "A 68105-2019")</f>
        <v/>
      </c>
      <c r="X18">
        <f>HYPERLINK("https://klasma.github.io/Logging_0117/tillsyn/A 68105-2019 tillsynsbegäran.docx", "A 68105-2019")</f>
        <v/>
      </c>
      <c r="Y18">
        <f>HYPERLINK("https://klasma.github.io/Logging_0117/tillsynsmail/A 68105-2019 tillsynsbegäran mail.docx", "A 68105-2019")</f>
        <v/>
      </c>
    </row>
    <row r="19" ht="15" customHeight="1">
      <c r="A19" t="inlineStr">
        <is>
          <t>A 13942-2021</t>
        </is>
      </c>
      <c r="B19" s="1" t="n">
        <v>44277</v>
      </c>
      <c r="C19" s="1" t="n">
        <v>45710</v>
      </c>
      <c r="D19" t="inlineStr">
        <is>
          <t>STOCKHOLMS LÄN</t>
        </is>
      </c>
      <c r="E19" t="inlineStr">
        <is>
          <t>ÖSTERÅKER</t>
        </is>
      </c>
      <c r="G19" t="n">
        <v>5.2</v>
      </c>
      <c r="H19" t="n">
        <v>0</v>
      </c>
      <c r="I19" t="n">
        <v>1</v>
      </c>
      <c r="J19" t="n">
        <v>0</v>
      </c>
      <c r="K19" t="n">
        <v>0</v>
      </c>
      <c r="L19" t="n">
        <v>0</v>
      </c>
      <c r="M19" t="n">
        <v>0</v>
      </c>
      <c r="N19" t="n">
        <v>0</v>
      </c>
      <c r="O19" t="n">
        <v>0</v>
      </c>
      <c r="P19" t="n">
        <v>0</v>
      </c>
      <c r="Q19" t="n">
        <v>1</v>
      </c>
      <c r="R19" s="2" t="inlineStr">
        <is>
          <t>Skogsbräsma</t>
        </is>
      </c>
      <c r="S19">
        <f>HYPERLINK("https://klasma.github.io/Logging_0117/artfynd/A 13942-2021 artfynd.xlsx", "A 13942-2021")</f>
        <v/>
      </c>
      <c r="T19">
        <f>HYPERLINK("https://klasma.github.io/Logging_0117/kartor/A 13942-2021 karta.png", "A 13942-2021")</f>
        <v/>
      </c>
      <c r="V19">
        <f>HYPERLINK("https://klasma.github.io/Logging_0117/klagomål/A 13942-2021 FSC-klagomål.docx", "A 13942-2021")</f>
        <v/>
      </c>
      <c r="W19">
        <f>HYPERLINK("https://klasma.github.io/Logging_0117/klagomålsmail/A 13942-2021 FSC-klagomål mail.docx", "A 13942-2021")</f>
        <v/>
      </c>
      <c r="X19">
        <f>HYPERLINK("https://klasma.github.io/Logging_0117/tillsyn/A 13942-2021 tillsynsbegäran.docx", "A 13942-2021")</f>
        <v/>
      </c>
      <c r="Y19">
        <f>HYPERLINK("https://klasma.github.io/Logging_0117/tillsynsmail/A 13942-2021 tillsynsbegäran mail.docx", "A 13942-2021")</f>
        <v/>
      </c>
    </row>
    <row r="20" ht="15" customHeight="1">
      <c r="A20" t="inlineStr">
        <is>
          <t>A 67278-2021</t>
        </is>
      </c>
      <c r="B20" s="1" t="n">
        <v>44523</v>
      </c>
      <c r="C20" s="1" t="n">
        <v>45710</v>
      </c>
      <c r="D20" t="inlineStr">
        <is>
          <t>STOCKHOLMS LÄN</t>
        </is>
      </c>
      <c r="E20" t="inlineStr">
        <is>
          <t>ÖSTERÅKER</t>
        </is>
      </c>
      <c r="F20" t="inlineStr">
        <is>
          <t>Kommuner</t>
        </is>
      </c>
      <c r="G20" t="n">
        <v>3</v>
      </c>
      <c r="H20" t="n">
        <v>0</v>
      </c>
      <c r="I20" t="n">
        <v>0</v>
      </c>
      <c r="J20" t="n">
        <v>1</v>
      </c>
      <c r="K20" t="n">
        <v>0</v>
      </c>
      <c r="L20" t="n">
        <v>0</v>
      </c>
      <c r="M20" t="n">
        <v>0</v>
      </c>
      <c r="N20" t="n">
        <v>0</v>
      </c>
      <c r="O20" t="n">
        <v>1</v>
      </c>
      <c r="P20" t="n">
        <v>0</v>
      </c>
      <c r="Q20" t="n">
        <v>1</v>
      </c>
      <c r="R20" s="2" t="inlineStr">
        <is>
          <t>Veckticka</t>
        </is>
      </c>
      <c r="S20">
        <f>HYPERLINK("https://klasma.github.io/Logging_0117/artfynd/A 67278-2021 artfynd.xlsx", "A 67278-2021")</f>
        <v/>
      </c>
      <c r="T20">
        <f>HYPERLINK("https://klasma.github.io/Logging_0117/kartor/A 67278-2021 karta.png", "A 67278-2021")</f>
        <v/>
      </c>
      <c r="V20">
        <f>HYPERLINK("https://klasma.github.io/Logging_0117/klagomål/A 67278-2021 FSC-klagomål.docx", "A 67278-2021")</f>
        <v/>
      </c>
      <c r="W20">
        <f>HYPERLINK("https://klasma.github.io/Logging_0117/klagomålsmail/A 67278-2021 FSC-klagomål mail.docx", "A 67278-2021")</f>
        <v/>
      </c>
      <c r="X20">
        <f>HYPERLINK("https://klasma.github.io/Logging_0117/tillsyn/A 67278-2021 tillsynsbegäran.docx", "A 67278-2021")</f>
        <v/>
      </c>
      <c r="Y20">
        <f>HYPERLINK("https://klasma.github.io/Logging_0117/tillsynsmail/A 67278-2021 tillsynsbegäran mail.docx", "A 67278-2021")</f>
        <v/>
      </c>
    </row>
    <row r="21" ht="15" customHeight="1">
      <c r="A21" t="inlineStr">
        <is>
          <t>A 22172-2022</t>
        </is>
      </c>
      <c r="B21" s="1" t="n">
        <v>44712</v>
      </c>
      <c r="C21" s="1" t="n">
        <v>45710</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45710</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45710</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45710</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45710</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45710</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45710</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45710</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45710</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45710</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45710</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45710</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45710</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45710</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45710</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45710</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45710</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45710</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45710</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45710</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45710</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45710</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45710</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45710</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45710</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45710</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45710</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45710</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45710</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45710</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45710</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45710</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45710</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45710</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45710</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45710</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45710</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45710</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45710</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45710</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45710</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45710</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45710</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45710</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45710</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45710</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45710</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45710</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45710</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45710</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45710</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45710</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45710</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45710</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45710</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45710</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45710</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45710</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45710</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45710</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45710</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45710</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45710</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45710</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45710</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45710</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45710</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45710</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45710</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45710</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45710</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45710</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45710</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45710</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45710</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45710</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45710</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45710</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45710</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45710</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45710</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45710</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45710</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45710</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45710</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45710</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45710</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45710</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45710</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45710</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45710</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45710</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45710</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45710</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45710</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45710</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45710</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45710</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45710</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45710</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45710</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45710</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45710</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45710</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45710</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45710</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45710</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45710</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45710</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45710</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45710</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45710</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45710</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45710</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45710</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45710</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45710</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45710</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45710</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ht="15" customHeight="1">
      <c r="A140" t="inlineStr">
        <is>
          <t>A 57055-2024</t>
        </is>
      </c>
      <c r="B140" s="1" t="n">
        <v>45629</v>
      </c>
      <c r="C140" s="1" t="n">
        <v>45710</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row r="141" ht="15" customHeight="1">
      <c r="A141" t="inlineStr">
        <is>
          <t>A 5286-2025</t>
        </is>
      </c>
      <c r="B141" s="1" t="n">
        <v>45692</v>
      </c>
      <c r="C141" s="1" t="n">
        <v>45710</v>
      </c>
      <c r="D141" t="inlineStr">
        <is>
          <t>STOCKHOLMS LÄN</t>
        </is>
      </c>
      <c r="E141" t="inlineStr">
        <is>
          <t>ÖSTERÅKER</t>
        </is>
      </c>
      <c r="G141" t="n">
        <v>11.2</v>
      </c>
      <c r="H141" t="n">
        <v>0</v>
      </c>
      <c r="I141" t="n">
        <v>0</v>
      </c>
      <c r="J141" t="n">
        <v>0</v>
      </c>
      <c r="K141" t="n">
        <v>0</v>
      </c>
      <c r="L141" t="n">
        <v>0</v>
      </c>
      <c r="M141" t="n">
        <v>0</v>
      </c>
      <c r="N141" t="n">
        <v>0</v>
      </c>
      <c r="O141" t="n">
        <v>0</v>
      </c>
      <c r="P141" t="n">
        <v>0</v>
      </c>
      <c r="Q141" t="n">
        <v>0</v>
      </c>
      <c r="R141" s="2" t="inlineStr"/>
    </row>
    <row r="142">
      <c r="A142" t="inlineStr">
        <is>
          <t>A 5279-2025</t>
        </is>
      </c>
      <c r="B142" s="1" t="n">
        <v>45692</v>
      </c>
      <c r="C142" s="1" t="n">
        <v>45710</v>
      </c>
      <c r="D142" t="inlineStr">
        <is>
          <t>STOCKHOLMS LÄN</t>
        </is>
      </c>
      <c r="E142" t="inlineStr">
        <is>
          <t>ÖSTERÅKER</t>
        </is>
      </c>
      <c r="G142" t="n">
        <v>2.4</v>
      </c>
      <c r="H142" t="n">
        <v>0</v>
      </c>
      <c r="I142" t="n">
        <v>0</v>
      </c>
      <c r="J142" t="n">
        <v>0</v>
      </c>
      <c r="K142" t="n">
        <v>0</v>
      </c>
      <c r="L142" t="n">
        <v>0</v>
      </c>
      <c r="M142" t="n">
        <v>0</v>
      </c>
      <c r="N142" t="n">
        <v>0</v>
      </c>
      <c r="O142" t="n">
        <v>0</v>
      </c>
      <c r="P142" t="n">
        <v>0</v>
      </c>
      <c r="Q142" t="n">
        <v>0</v>
      </c>
      <c r="R1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2025-02-22T16:20:23Z</dcterms:created>
  <dcterms:modified xmlns:dcterms="http://purl.org/dc/terms/" xmlns:xsi="http://www.w3.org/2001/XMLSchema-instance" xsi:type="dcterms:W3CDTF">2025-02-22T16:20:23Z</dcterms:modified>
</cp:coreProperties>
</file>