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46038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46038</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46038</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46038</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46038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46038</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46038</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43308-2024</t>
        </is>
      </c>
      <c r="B12" s="1" t="n">
        <v>45568</v>
      </c>
      <c r="C12" s="1" t="n">
        <v>46038</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34721-2025</t>
        </is>
      </c>
      <c r="B13" s="1" t="n">
        <v>45848</v>
      </c>
      <c r="C13" s="1" t="n">
        <v>46038</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46038</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61363-2022</t>
        </is>
      </c>
      <c r="B15" s="1" t="n">
        <v>44915</v>
      </c>
      <c r="C15" s="1" t="n">
        <v>46038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62578-2025</t>
        </is>
      </c>
      <c r="B16" s="1" t="n">
        <v>46007</v>
      </c>
      <c r="C16" s="1" t="n">
        <v>46038</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46038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36366-2025</t>
        </is>
      </c>
      <c r="B18" s="1" t="n">
        <v>45868</v>
      </c>
      <c r="C18" s="1" t="n">
        <v>46038</v>
      </c>
      <c r="D18" t="inlineStr">
        <is>
          <t>STOCKHOLMS LÄN</t>
        </is>
      </c>
      <c r="E18" t="inlineStr">
        <is>
          <t>ÖSTERÅKER</t>
        </is>
      </c>
      <c r="G18" t="n">
        <v>7.2</v>
      </c>
      <c r="H18" t="n">
        <v>0</v>
      </c>
      <c r="I18" t="n">
        <v>1</v>
      </c>
      <c r="J18" t="n">
        <v>1</v>
      </c>
      <c r="K18" t="n">
        <v>0</v>
      </c>
      <c r="L18" t="n">
        <v>0</v>
      </c>
      <c r="M18" t="n">
        <v>0</v>
      </c>
      <c r="N18" t="n">
        <v>0</v>
      </c>
      <c r="O18" t="n">
        <v>1</v>
      </c>
      <c r="P18" t="n">
        <v>0</v>
      </c>
      <c r="Q18" t="n">
        <v>2</v>
      </c>
      <c r="R18" s="2" t="inlineStr">
        <is>
          <t>Garnlav
Björksplintborre</t>
        </is>
      </c>
      <c r="S18">
        <f>HYPERLINK("https://klasma.github.io/Logging_0117/artfynd/A 36366-2025 artfynd.xlsx", "A 36366-2025")</f>
        <v/>
      </c>
      <c r="T18">
        <f>HYPERLINK("https://klasma.github.io/Logging_0117/kartor/A 36366-2025 karta.png", "A 36366-2025")</f>
        <v/>
      </c>
      <c r="V18">
        <f>HYPERLINK("https://klasma.github.io/Logging_0117/klagomål/A 36366-2025 FSC-klagomål.docx", "A 36366-2025")</f>
        <v/>
      </c>
      <c r="W18">
        <f>HYPERLINK("https://klasma.github.io/Logging_0117/klagomålsmail/A 36366-2025 FSC-klagomål mail.docx", "A 36366-2025")</f>
        <v/>
      </c>
      <c r="X18">
        <f>HYPERLINK("https://klasma.github.io/Logging_0117/tillsyn/A 36366-2025 tillsynsbegäran.docx", "A 36366-2025")</f>
        <v/>
      </c>
      <c r="Y18">
        <f>HYPERLINK("https://klasma.github.io/Logging_0117/tillsynsmail/A 36366-2025 tillsynsbegäran mail.docx", "A 36366-2025")</f>
        <v/>
      </c>
    </row>
    <row r="19" ht="15" customHeight="1">
      <c r="A19" t="inlineStr">
        <is>
          <t>A 22172-2022</t>
        </is>
      </c>
      <c r="B19" s="1" t="n">
        <v>44712</v>
      </c>
      <c r="C19" s="1" t="n">
        <v>46038</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3914-2023</t>
        </is>
      </c>
      <c r="B20" s="1" t="n">
        <v>44952.30934027778</v>
      </c>
      <c r="C20" s="1" t="n">
        <v>46038</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38968-2025</t>
        </is>
      </c>
      <c r="B21" s="1" t="n">
        <v>45887.70863425926</v>
      </c>
      <c r="C21" s="1" t="n">
        <v>46038</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13942-2021</t>
        </is>
      </c>
      <c r="B22" s="1" t="n">
        <v>44277</v>
      </c>
      <c r="C22" s="1" t="n">
        <v>46038</v>
      </c>
      <c r="D22" t="inlineStr">
        <is>
          <t>STOCKHOLMS LÄN</t>
        </is>
      </c>
      <c r="E22" t="inlineStr">
        <is>
          <t>ÖSTERÅKER</t>
        </is>
      </c>
      <c r="G22" t="n">
        <v>5.2</v>
      </c>
      <c r="H22" t="n">
        <v>0</v>
      </c>
      <c r="I22" t="n">
        <v>1</v>
      </c>
      <c r="J22" t="n">
        <v>0</v>
      </c>
      <c r="K22" t="n">
        <v>0</v>
      </c>
      <c r="L22" t="n">
        <v>0</v>
      </c>
      <c r="M22" t="n">
        <v>0</v>
      </c>
      <c r="N22" t="n">
        <v>0</v>
      </c>
      <c r="O22" t="n">
        <v>0</v>
      </c>
      <c r="P22" t="n">
        <v>0</v>
      </c>
      <c r="Q22" t="n">
        <v>1</v>
      </c>
      <c r="R22" s="2" t="inlineStr">
        <is>
          <t>Skogsbräsma</t>
        </is>
      </c>
      <c r="S22">
        <f>HYPERLINK("https://klasma.github.io/Logging_0117/artfynd/A 13942-2021 artfynd.xlsx", "A 13942-2021")</f>
        <v/>
      </c>
      <c r="T22">
        <f>HYPERLINK("https://klasma.github.io/Logging_0117/kartor/A 13942-2021 karta.png", "A 13942-2021")</f>
        <v/>
      </c>
      <c r="V22">
        <f>HYPERLINK("https://klasma.github.io/Logging_0117/klagomål/A 13942-2021 FSC-klagomål.docx", "A 13942-2021")</f>
        <v/>
      </c>
      <c r="W22">
        <f>HYPERLINK("https://klasma.github.io/Logging_0117/klagomålsmail/A 13942-2021 FSC-klagomål mail.docx", "A 13942-2021")</f>
        <v/>
      </c>
      <c r="X22">
        <f>HYPERLINK("https://klasma.github.io/Logging_0117/tillsyn/A 13942-2021 tillsynsbegäran.docx", "A 13942-2021")</f>
        <v/>
      </c>
      <c r="Y22">
        <f>HYPERLINK("https://klasma.github.io/Logging_0117/tillsynsmail/A 13942-2021 tillsynsbegäran mail.docx", "A 13942-2021")</f>
        <v/>
      </c>
    </row>
    <row r="23" ht="15" customHeight="1">
      <c r="A23" t="inlineStr">
        <is>
          <t>A 3919-2023</t>
        </is>
      </c>
      <c r="B23" s="1" t="n">
        <v>44952</v>
      </c>
      <c r="C23" s="1" t="n">
        <v>46038</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27921-2025</t>
        </is>
      </c>
      <c r="B24" s="1" t="n">
        <v>45817.4846875</v>
      </c>
      <c r="C24" s="1" t="n">
        <v>46038</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46038</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2148-2022</t>
        </is>
      </c>
      <c r="B26" s="1" t="n">
        <v>44575</v>
      </c>
      <c r="C26" s="1" t="n">
        <v>46038</v>
      </c>
      <c r="D26" t="inlineStr">
        <is>
          <t>STOCKHOLMS LÄN</t>
        </is>
      </c>
      <c r="E26" t="inlineStr">
        <is>
          <t>ÖSTERÅKER</t>
        </is>
      </c>
      <c r="F26" t="inlineStr">
        <is>
          <t>Övriga Aktiebolag</t>
        </is>
      </c>
      <c r="G26" t="n">
        <v>0.6</v>
      </c>
      <c r="H26" t="n">
        <v>0</v>
      </c>
      <c r="I26" t="n">
        <v>0</v>
      </c>
      <c r="J26" t="n">
        <v>0</v>
      </c>
      <c r="K26" t="n">
        <v>0</v>
      </c>
      <c r="L26" t="n">
        <v>0</v>
      </c>
      <c r="M26" t="n">
        <v>0</v>
      </c>
      <c r="N26" t="n">
        <v>0</v>
      </c>
      <c r="O26" t="n">
        <v>0</v>
      </c>
      <c r="P26" t="n">
        <v>0</v>
      </c>
      <c r="Q26" t="n">
        <v>0</v>
      </c>
      <c r="R26" s="2" t="inlineStr"/>
    </row>
    <row r="27" ht="15" customHeight="1">
      <c r="A27" t="inlineStr">
        <is>
          <t>A 848-2022</t>
        </is>
      </c>
      <c r="B27" s="1" t="n">
        <v>44569</v>
      </c>
      <c r="C27" s="1" t="n">
        <v>46038</v>
      </c>
      <c r="D27" t="inlineStr">
        <is>
          <t>STOCKHOLMS LÄN</t>
        </is>
      </c>
      <c r="E27" t="inlineStr">
        <is>
          <t>ÖSTERÅKER</t>
        </is>
      </c>
      <c r="F27" t="inlineStr">
        <is>
          <t>Övriga Aktiebolag</t>
        </is>
      </c>
      <c r="G27" t="n">
        <v>5</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46038</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46038</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46038</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46038</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46038</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46038</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46038</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46038</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46038</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46038</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46038</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46038</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46038</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46038</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46038</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46038</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61370-2022</t>
        </is>
      </c>
      <c r="B48" s="1" t="n">
        <v>44915</v>
      </c>
      <c r="C48" s="1" t="n">
        <v>46038</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46038</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46038</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61710-2022</t>
        </is>
      </c>
      <c r="B51" s="1" t="n">
        <v>44917</v>
      </c>
      <c r="C51" s="1" t="n">
        <v>46038</v>
      </c>
      <c r="D51" t="inlineStr">
        <is>
          <t>STOCKHOLMS LÄN</t>
        </is>
      </c>
      <c r="E51" t="inlineStr">
        <is>
          <t>ÖSTERÅKER</t>
        </is>
      </c>
      <c r="G51" t="n">
        <v>6.2</v>
      </c>
      <c r="H51" t="n">
        <v>0</v>
      </c>
      <c r="I51" t="n">
        <v>0</v>
      </c>
      <c r="J51" t="n">
        <v>0</v>
      </c>
      <c r="K51" t="n">
        <v>0</v>
      </c>
      <c r="L51" t="n">
        <v>0</v>
      </c>
      <c r="M51" t="n">
        <v>0</v>
      </c>
      <c r="N51" t="n">
        <v>0</v>
      </c>
      <c r="O51" t="n">
        <v>0</v>
      </c>
      <c r="P51" t="n">
        <v>0</v>
      </c>
      <c r="Q51" t="n">
        <v>0</v>
      </c>
      <c r="R51" s="2" t="inlineStr"/>
    </row>
    <row r="52" ht="15" customHeight="1">
      <c r="A52" t="inlineStr">
        <is>
          <t>A 17353-2025</t>
        </is>
      </c>
      <c r="B52" s="1" t="n">
        <v>45756</v>
      </c>
      <c r="C52" s="1" t="n">
        <v>46038</v>
      </c>
      <c r="D52" t="inlineStr">
        <is>
          <t>STOCKHOLMS LÄN</t>
        </is>
      </c>
      <c r="E52" t="inlineStr">
        <is>
          <t>ÖSTERÅKER</t>
        </is>
      </c>
      <c r="F52" t="inlineStr">
        <is>
          <t>Övriga Aktiebolag</t>
        </is>
      </c>
      <c r="G52" t="n">
        <v>5.5</v>
      </c>
      <c r="H52" t="n">
        <v>0</v>
      </c>
      <c r="I52" t="n">
        <v>0</v>
      </c>
      <c r="J52" t="n">
        <v>0</v>
      </c>
      <c r="K52" t="n">
        <v>0</v>
      </c>
      <c r="L52" t="n">
        <v>0</v>
      </c>
      <c r="M52" t="n">
        <v>0</v>
      </c>
      <c r="N52" t="n">
        <v>0</v>
      </c>
      <c r="O52" t="n">
        <v>0</v>
      </c>
      <c r="P52" t="n">
        <v>0</v>
      </c>
      <c r="Q52" t="n">
        <v>0</v>
      </c>
      <c r="R52" s="2" t="inlineStr"/>
    </row>
    <row r="53" ht="15" customHeight="1">
      <c r="A53" t="inlineStr">
        <is>
          <t>A 61360-2022</t>
        </is>
      </c>
      <c r="B53" s="1" t="n">
        <v>44915</v>
      </c>
      <c r="C53" s="1" t="n">
        <v>46038</v>
      </c>
      <c r="D53" t="inlineStr">
        <is>
          <t>STOCKHOLMS LÄN</t>
        </is>
      </c>
      <c r="E53" t="inlineStr">
        <is>
          <t>ÖSTERÅKER</t>
        </is>
      </c>
      <c r="G53" t="n">
        <v>2.3</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46038</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46038</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46038</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46038</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46038</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16728-2022</t>
        </is>
      </c>
      <c r="B59" s="1" t="n">
        <v>44673</v>
      </c>
      <c r="C59" s="1" t="n">
        <v>46038</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14776-2024</t>
        </is>
      </c>
      <c r="B60" s="1" t="n">
        <v>45397</v>
      </c>
      <c r="C60" s="1" t="n">
        <v>46038</v>
      </c>
      <c r="D60" t="inlineStr">
        <is>
          <t>STOCKHOLMS LÄN</t>
        </is>
      </c>
      <c r="E60" t="inlineStr">
        <is>
          <t>ÖSTERÅKER</t>
        </is>
      </c>
      <c r="G60" t="n">
        <v>13.6</v>
      </c>
      <c r="H60" t="n">
        <v>0</v>
      </c>
      <c r="I60" t="n">
        <v>0</v>
      </c>
      <c r="J60" t="n">
        <v>0</v>
      </c>
      <c r="K60" t="n">
        <v>0</v>
      </c>
      <c r="L60" t="n">
        <v>0</v>
      </c>
      <c r="M60" t="n">
        <v>0</v>
      </c>
      <c r="N60" t="n">
        <v>0</v>
      </c>
      <c r="O60" t="n">
        <v>0</v>
      </c>
      <c r="P60" t="n">
        <v>0</v>
      </c>
      <c r="Q60" t="n">
        <v>0</v>
      </c>
      <c r="R60" s="2" t="inlineStr"/>
    </row>
    <row r="61" ht="15" customHeight="1">
      <c r="A61" t="inlineStr">
        <is>
          <t>A 1136-2023</t>
        </is>
      </c>
      <c r="B61" s="1" t="n">
        <v>44935</v>
      </c>
      <c r="C61" s="1" t="n">
        <v>46038</v>
      </c>
      <c r="D61" t="inlineStr">
        <is>
          <t>STOCKHOLMS LÄN</t>
        </is>
      </c>
      <c r="E61" t="inlineStr">
        <is>
          <t>ÖSTERÅKER</t>
        </is>
      </c>
      <c r="G61" t="n">
        <v>0.5</v>
      </c>
      <c r="H61" t="n">
        <v>0</v>
      </c>
      <c r="I61" t="n">
        <v>0</v>
      </c>
      <c r="J61" t="n">
        <v>0</v>
      </c>
      <c r="K61" t="n">
        <v>0</v>
      </c>
      <c r="L61" t="n">
        <v>0</v>
      </c>
      <c r="M61" t="n">
        <v>0</v>
      </c>
      <c r="N61" t="n">
        <v>0</v>
      </c>
      <c r="O61" t="n">
        <v>0</v>
      </c>
      <c r="P61" t="n">
        <v>0</v>
      </c>
      <c r="Q61" t="n">
        <v>0</v>
      </c>
      <c r="R61" s="2" t="inlineStr"/>
    </row>
    <row r="62" ht="15" customHeight="1">
      <c r="A62" t="inlineStr">
        <is>
          <t>A 23144-2024</t>
        </is>
      </c>
      <c r="B62" s="1" t="n">
        <v>45450.63202546296</v>
      </c>
      <c r="C62" s="1" t="n">
        <v>46038</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39394-2023</t>
        </is>
      </c>
      <c r="B63" s="1" t="n">
        <v>45166</v>
      </c>
      <c r="C63" s="1" t="n">
        <v>46038</v>
      </c>
      <c r="D63" t="inlineStr">
        <is>
          <t>STOCKHOLMS LÄN</t>
        </is>
      </c>
      <c r="E63" t="inlineStr">
        <is>
          <t>ÖSTERÅKER</t>
        </is>
      </c>
      <c r="G63" t="n">
        <v>0.4</v>
      </c>
      <c r="H63" t="n">
        <v>0</v>
      </c>
      <c r="I63" t="n">
        <v>0</v>
      </c>
      <c r="J63" t="n">
        <v>0</v>
      </c>
      <c r="K63" t="n">
        <v>0</v>
      </c>
      <c r="L63" t="n">
        <v>0</v>
      </c>
      <c r="M63" t="n">
        <v>0</v>
      </c>
      <c r="N63" t="n">
        <v>0</v>
      </c>
      <c r="O63" t="n">
        <v>0</v>
      </c>
      <c r="P63" t="n">
        <v>0</v>
      </c>
      <c r="Q63" t="n">
        <v>0</v>
      </c>
      <c r="R63" s="2" t="inlineStr"/>
    </row>
    <row r="64" ht="15" customHeight="1">
      <c r="A64" t="inlineStr">
        <is>
          <t>A 13118-2021</t>
        </is>
      </c>
      <c r="B64" s="1" t="n">
        <v>44272</v>
      </c>
      <c r="C64" s="1" t="n">
        <v>46038</v>
      </c>
      <c r="D64" t="inlineStr">
        <is>
          <t>STOCKHOLMS LÄN</t>
        </is>
      </c>
      <c r="E64" t="inlineStr">
        <is>
          <t>ÖSTERÅKER</t>
        </is>
      </c>
      <c r="F64" t="inlineStr">
        <is>
          <t>Kyrkan</t>
        </is>
      </c>
      <c r="G64" t="n">
        <v>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46038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470-2022</t>
        </is>
      </c>
      <c r="B66" s="1" t="n">
        <v>44565</v>
      </c>
      <c r="C66" s="1" t="n">
        <v>46038</v>
      </c>
      <c r="D66" t="inlineStr">
        <is>
          <t>STOCKHOLMS LÄN</t>
        </is>
      </c>
      <c r="E66" t="inlineStr">
        <is>
          <t>ÖSTERÅKER</t>
        </is>
      </c>
      <c r="F66" t="inlineStr">
        <is>
          <t>Övriga Aktiebolag</t>
        </is>
      </c>
      <c r="G66" t="n">
        <v>4.6</v>
      </c>
      <c r="H66" t="n">
        <v>0</v>
      </c>
      <c r="I66" t="n">
        <v>0</v>
      </c>
      <c r="J66" t="n">
        <v>0</v>
      </c>
      <c r="K66" t="n">
        <v>0</v>
      </c>
      <c r="L66" t="n">
        <v>0</v>
      </c>
      <c r="M66" t="n">
        <v>0</v>
      </c>
      <c r="N66" t="n">
        <v>0</v>
      </c>
      <c r="O66" t="n">
        <v>0</v>
      </c>
      <c r="P66" t="n">
        <v>0</v>
      </c>
      <c r="Q66" t="n">
        <v>0</v>
      </c>
      <c r="R66" s="2" t="inlineStr"/>
    </row>
    <row r="67" ht="15" customHeight="1">
      <c r="A67" t="inlineStr">
        <is>
          <t>A 19404-2024</t>
        </is>
      </c>
      <c r="B67" s="1" t="n">
        <v>45428</v>
      </c>
      <c r="C67" s="1" t="n">
        <v>46038</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9865-2025</t>
        </is>
      </c>
      <c r="B68" s="1" t="n">
        <v>45716</v>
      </c>
      <c r="C68" s="1" t="n">
        <v>46038</v>
      </c>
      <c r="D68" t="inlineStr">
        <is>
          <t>STOCKHOLMS LÄN</t>
        </is>
      </c>
      <c r="E68" t="inlineStr">
        <is>
          <t>ÖSTERÅKER</t>
        </is>
      </c>
      <c r="G68" t="n">
        <v>7</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46038</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9842-2025</t>
        </is>
      </c>
      <c r="B70" s="1" t="n">
        <v>45716</v>
      </c>
      <c r="C70" s="1" t="n">
        <v>46038</v>
      </c>
      <c r="D70" t="inlineStr">
        <is>
          <t>STOCKHOLMS LÄN</t>
        </is>
      </c>
      <c r="E70" t="inlineStr">
        <is>
          <t>ÖSTERÅKER</t>
        </is>
      </c>
      <c r="G70" t="n">
        <v>4.8</v>
      </c>
      <c r="H70" t="n">
        <v>0</v>
      </c>
      <c r="I70" t="n">
        <v>0</v>
      </c>
      <c r="J70" t="n">
        <v>0</v>
      </c>
      <c r="K70" t="n">
        <v>0</v>
      </c>
      <c r="L70" t="n">
        <v>0</v>
      </c>
      <c r="M70" t="n">
        <v>0</v>
      </c>
      <c r="N70" t="n">
        <v>0</v>
      </c>
      <c r="O70" t="n">
        <v>0</v>
      </c>
      <c r="P70" t="n">
        <v>0</v>
      </c>
      <c r="Q70" t="n">
        <v>0</v>
      </c>
      <c r="R70" s="2" t="inlineStr"/>
    </row>
    <row r="71" ht="15" customHeight="1">
      <c r="A71" t="inlineStr">
        <is>
          <t>A 56909-2024</t>
        </is>
      </c>
      <c r="B71" s="1" t="n">
        <v>45628.59060185185</v>
      </c>
      <c r="C71" s="1" t="n">
        <v>46038</v>
      </c>
      <c r="D71" t="inlineStr">
        <is>
          <t>STOCKHOLMS LÄN</t>
        </is>
      </c>
      <c r="E71" t="inlineStr">
        <is>
          <t>ÖSTERÅKER</t>
        </is>
      </c>
      <c r="G71" t="n">
        <v>1</v>
      </c>
      <c r="H71" t="n">
        <v>0</v>
      </c>
      <c r="I71" t="n">
        <v>0</v>
      </c>
      <c r="J71" t="n">
        <v>0</v>
      </c>
      <c r="K71" t="n">
        <v>0</v>
      </c>
      <c r="L71" t="n">
        <v>0</v>
      </c>
      <c r="M71" t="n">
        <v>0</v>
      </c>
      <c r="N71" t="n">
        <v>0</v>
      </c>
      <c r="O71" t="n">
        <v>0</v>
      </c>
      <c r="P71" t="n">
        <v>0</v>
      </c>
      <c r="Q71" t="n">
        <v>0</v>
      </c>
      <c r="R71" s="2" t="inlineStr"/>
    </row>
    <row r="72" ht="15" customHeight="1">
      <c r="A72" t="inlineStr">
        <is>
          <t>A 34713-2025</t>
        </is>
      </c>
      <c r="B72" s="1" t="n">
        <v>45848</v>
      </c>
      <c r="C72" s="1" t="n">
        <v>46038</v>
      </c>
      <c r="D72" t="inlineStr">
        <is>
          <t>STOCKHOLMS LÄN</t>
        </is>
      </c>
      <c r="E72" t="inlineStr">
        <is>
          <t>ÖSTERÅKER</t>
        </is>
      </c>
      <c r="G72" t="n">
        <v>0.9</v>
      </c>
      <c r="H72" t="n">
        <v>0</v>
      </c>
      <c r="I72" t="n">
        <v>0</v>
      </c>
      <c r="J72" t="n">
        <v>0</v>
      </c>
      <c r="K72" t="n">
        <v>0</v>
      </c>
      <c r="L72" t="n">
        <v>0</v>
      </c>
      <c r="M72" t="n">
        <v>0</v>
      </c>
      <c r="N72" t="n">
        <v>0</v>
      </c>
      <c r="O72" t="n">
        <v>0</v>
      </c>
      <c r="P72" t="n">
        <v>0</v>
      </c>
      <c r="Q72" t="n">
        <v>0</v>
      </c>
      <c r="R72" s="2" t="inlineStr"/>
    </row>
    <row r="73" ht="15" customHeight="1">
      <c r="A73" t="inlineStr">
        <is>
          <t>A 30949-2024</t>
        </is>
      </c>
      <c r="B73" s="1" t="n">
        <v>45499</v>
      </c>
      <c r="C73" s="1" t="n">
        <v>46038</v>
      </c>
      <c r="D73" t="inlineStr">
        <is>
          <t>STOCKHOLMS LÄN</t>
        </is>
      </c>
      <c r="E73" t="inlineStr">
        <is>
          <t>ÖSTERÅKER</t>
        </is>
      </c>
      <c r="F73" t="inlineStr">
        <is>
          <t>Övriga Aktiebolag</t>
        </is>
      </c>
      <c r="G73" t="n">
        <v>3.2</v>
      </c>
      <c r="H73" t="n">
        <v>0</v>
      </c>
      <c r="I73" t="n">
        <v>0</v>
      </c>
      <c r="J73" t="n">
        <v>0</v>
      </c>
      <c r="K73" t="n">
        <v>0</v>
      </c>
      <c r="L73" t="n">
        <v>0</v>
      </c>
      <c r="M73" t="n">
        <v>0</v>
      </c>
      <c r="N73" t="n">
        <v>0</v>
      </c>
      <c r="O73" t="n">
        <v>0</v>
      </c>
      <c r="P73" t="n">
        <v>0</v>
      </c>
      <c r="Q73" t="n">
        <v>0</v>
      </c>
      <c r="R73" s="2" t="inlineStr"/>
    </row>
    <row r="74" ht="15" customHeight="1">
      <c r="A74" t="inlineStr">
        <is>
          <t>A 845-2024</t>
        </is>
      </c>
      <c r="B74" s="1" t="n">
        <v>45300.91423611111</v>
      </c>
      <c r="C74" s="1" t="n">
        <v>46038</v>
      </c>
      <c r="D74" t="inlineStr">
        <is>
          <t>STOCKHOLMS LÄN</t>
        </is>
      </c>
      <c r="E74" t="inlineStr">
        <is>
          <t>ÖSTERÅKER</t>
        </is>
      </c>
      <c r="G74" t="n">
        <v>10.1</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46038</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31575-2022</t>
        </is>
      </c>
      <c r="B76" s="1" t="n">
        <v>44775.45063657407</v>
      </c>
      <c r="C76" s="1" t="n">
        <v>46038</v>
      </c>
      <c r="D76" t="inlineStr">
        <is>
          <t>STOCKHOLMS LÄN</t>
        </is>
      </c>
      <c r="E76" t="inlineStr">
        <is>
          <t>ÖSTERÅKER</t>
        </is>
      </c>
      <c r="G76" t="n">
        <v>5</v>
      </c>
      <c r="H76" t="n">
        <v>0</v>
      </c>
      <c r="I76" t="n">
        <v>0</v>
      </c>
      <c r="J76" t="n">
        <v>0</v>
      </c>
      <c r="K76" t="n">
        <v>0</v>
      </c>
      <c r="L76" t="n">
        <v>0</v>
      </c>
      <c r="M76" t="n">
        <v>0</v>
      </c>
      <c r="N76" t="n">
        <v>0</v>
      </c>
      <c r="O76" t="n">
        <v>0</v>
      </c>
      <c r="P76" t="n">
        <v>0</v>
      </c>
      <c r="Q76" t="n">
        <v>0</v>
      </c>
      <c r="R76" s="2" t="inlineStr"/>
    </row>
    <row r="77" ht="15" customHeight="1">
      <c r="A77" t="inlineStr">
        <is>
          <t>A 10185-2025</t>
        </is>
      </c>
      <c r="B77" s="1" t="n">
        <v>45719</v>
      </c>
      <c r="C77" s="1" t="n">
        <v>46038</v>
      </c>
      <c r="D77" t="inlineStr">
        <is>
          <t>STOCKHOLMS LÄN</t>
        </is>
      </c>
      <c r="E77" t="inlineStr">
        <is>
          <t>ÖSTERÅKER</t>
        </is>
      </c>
      <c r="G77" t="n">
        <v>4.1</v>
      </c>
      <c r="H77" t="n">
        <v>0</v>
      </c>
      <c r="I77" t="n">
        <v>0</v>
      </c>
      <c r="J77" t="n">
        <v>0</v>
      </c>
      <c r="K77" t="n">
        <v>0</v>
      </c>
      <c r="L77" t="n">
        <v>0</v>
      </c>
      <c r="M77" t="n">
        <v>0</v>
      </c>
      <c r="N77" t="n">
        <v>0</v>
      </c>
      <c r="O77" t="n">
        <v>0</v>
      </c>
      <c r="P77" t="n">
        <v>0</v>
      </c>
      <c r="Q77" t="n">
        <v>0</v>
      </c>
      <c r="R77" s="2" t="inlineStr"/>
    </row>
    <row r="78" ht="15" customHeight="1">
      <c r="A78" t="inlineStr">
        <is>
          <t>A 52220-2025</t>
        </is>
      </c>
      <c r="B78" s="1" t="n">
        <v>45953</v>
      </c>
      <c r="C78" s="1" t="n">
        <v>46038</v>
      </c>
      <c r="D78" t="inlineStr">
        <is>
          <t>STOCKHOLMS LÄN</t>
        </is>
      </c>
      <c r="E78" t="inlineStr">
        <is>
          <t>ÖSTERÅKER</t>
        </is>
      </c>
      <c r="G78" t="n">
        <v>0.8</v>
      </c>
      <c r="H78" t="n">
        <v>0</v>
      </c>
      <c r="I78" t="n">
        <v>0</v>
      </c>
      <c r="J78" t="n">
        <v>0</v>
      </c>
      <c r="K78" t="n">
        <v>0</v>
      </c>
      <c r="L78" t="n">
        <v>0</v>
      </c>
      <c r="M78" t="n">
        <v>0</v>
      </c>
      <c r="N78" t="n">
        <v>0</v>
      </c>
      <c r="O78" t="n">
        <v>0</v>
      </c>
      <c r="P78" t="n">
        <v>0</v>
      </c>
      <c r="Q78" t="n">
        <v>0</v>
      </c>
      <c r="R78" s="2" t="inlineStr"/>
    </row>
    <row r="79" ht="15" customHeight="1">
      <c r="A79" t="inlineStr">
        <is>
          <t>A 67265-2021</t>
        </is>
      </c>
      <c r="B79" s="1" t="n">
        <v>44523.59277777778</v>
      </c>
      <c r="C79" s="1" t="n">
        <v>46038</v>
      </c>
      <c r="D79" t="inlineStr">
        <is>
          <t>STOCKHOLMS LÄN</t>
        </is>
      </c>
      <c r="E79" t="inlineStr">
        <is>
          <t>ÖSTERÅKER</t>
        </is>
      </c>
      <c r="F79" t="inlineStr">
        <is>
          <t>Kommuner</t>
        </is>
      </c>
      <c r="G79" t="n">
        <v>2.6</v>
      </c>
      <c r="H79" t="n">
        <v>0</v>
      </c>
      <c r="I79" t="n">
        <v>0</v>
      </c>
      <c r="J79" t="n">
        <v>0</v>
      </c>
      <c r="K79" t="n">
        <v>0</v>
      </c>
      <c r="L79" t="n">
        <v>0</v>
      </c>
      <c r="M79" t="n">
        <v>0</v>
      </c>
      <c r="N79" t="n">
        <v>0</v>
      </c>
      <c r="O79" t="n">
        <v>0</v>
      </c>
      <c r="P79" t="n">
        <v>0</v>
      </c>
      <c r="Q79" t="n">
        <v>0</v>
      </c>
      <c r="R79" s="2" t="inlineStr"/>
    </row>
    <row r="80" ht="15" customHeight="1">
      <c r="A80" t="inlineStr">
        <is>
          <t>A 18711-2023</t>
        </is>
      </c>
      <c r="B80" s="1" t="n">
        <v>45043.6433912037</v>
      </c>
      <c r="C80" s="1" t="n">
        <v>46038</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24499-2023</t>
        </is>
      </c>
      <c r="B81" s="1" t="n">
        <v>45082</v>
      </c>
      <c r="C81" s="1" t="n">
        <v>46038</v>
      </c>
      <c r="D81" t="inlineStr">
        <is>
          <t>STOCKHOLMS LÄN</t>
        </is>
      </c>
      <c r="E81" t="inlineStr">
        <is>
          <t>ÖSTERÅKER</t>
        </is>
      </c>
      <c r="G81" t="n">
        <v>0.1</v>
      </c>
      <c r="H81" t="n">
        <v>0</v>
      </c>
      <c r="I81" t="n">
        <v>0</v>
      </c>
      <c r="J81" t="n">
        <v>0</v>
      </c>
      <c r="K81" t="n">
        <v>0</v>
      </c>
      <c r="L81" t="n">
        <v>0</v>
      </c>
      <c r="M81" t="n">
        <v>0</v>
      </c>
      <c r="N81" t="n">
        <v>0</v>
      </c>
      <c r="O81" t="n">
        <v>0</v>
      </c>
      <c r="P81" t="n">
        <v>0</v>
      </c>
      <c r="Q81" t="n">
        <v>0</v>
      </c>
      <c r="R81" s="2" t="inlineStr"/>
    </row>
    <row r="82" ht="15" customHeight="1">
      <c r="A82" t="inlineStr">
        <is>
          <t>A 62831-2025</t>
        </is>
      </c>
      <c r="B82" s="1" t="n">
        <v>46008.67471064815</v>
      </c>
      <c r="C82" s="1" t="n">
        <v>46038</v>
      </c>
      <c r="D82" t="inlineStr">
        <is>
          <t>STOCKHOLMS LÄN</t>
        </is>
      </c>
      <c r="E82" t="inlineStr">
        <is>
          <t>ÖSTERÅKER</t>
        </is>
      </c>
      <c r="G82" t="n">
        <v>1.6</v>
      </c>
      <c r="H82" t="n">
        <v>0</v>
      </c>
      <c r="I82" t="n">
        <v>0</v>
      </c>
      <c r="J82" t="n">
        <v>0</v>
      </c>
      <c r="K82" t="n">
        <v>0</v>
      </c>
      <c r="L82" t="n">
        <v>0</v>
      </c>
      <c r="M82" t="n">
        <v>0</v>
      </c>
      <c r="N82" t="n">
        <v>0</v>
      </c>
      <c r="O82" t="n">
        <v>0</v>
      </c>
      <c r="P82" t="n">
        <v>0</v>
      </c>
      <c r="Q82" t="n">
        <v>0</v>
      </c>
      <c r="R82" s="2" t="inlineStr"/>
    </row>
    <row r="83" ht="15" customHeight="1">
      <c r="A83" t="inlineStr">
        <is>
          <t>A 28146-2024</t>
        </is>
      </c>
      <c r="B83" s="1" t="n">
        <v>45476</v>
      </c>
      <c r="C83" s="1" t="n">
        <v>46038</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46038</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46038</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5286-2025</t>
        </is>
      </c>
      <c r="B86" s="1" t="n">
        <v>45692.44144675926</v>
      </c>
      <c r="C86" s="1" t="n">
        <v>46038</v>
      </c>
      <c r="D86" t="inlineStr">
        <is>
          <t>STOCKHOLMS LÄN</t>
        </is>
      </c>
      <c r="E86" t="inlineStr">
        <is>
          <t>ÖSTERÅKER</t>
        </is>
      </c>
      <c r="G86" t="n">
        <v>11.2</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46038</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544-2023</t>
        </is>
      </c>
      <c r="B88" s="1" t="n">
        <v>44924</v>
      </c>
      <c r="C88" s="1" t="n">
        <v>46038</v>
      </c>
      <c r="D88" t="inlineStr">
        <is>
          <t>STOCKHOLMS LÄN</t>
        </is>
      </c>
      <c r="E88" t="inlineStr">
        <is>
          <t>ÖSTERÅKER</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3326-2022</t>
        </is>
      </c>
      <c r="B89" s="1" t="n">
        <v>44583</v>
      </c>
      <c r="C89" s="1" t="n">
        <v>46038</v>
      </c>
      <c r="D89" t="inlineStr">
        <is>
          <t>STOCKHOLMS LÄN</t>
        </is>
      </c>
      <c r="E89" t="inlineStr">
        <is>
          <t>ÖSTERÅKER</t>
        </is>
      </c>
      <c r="F89" t="inlineStr">
        <is>
          <t>Övriga Aktiebolag</t>
        </is>
      </c>
      <c r="G89" t="n">
        <v>2.7</v>
      </c>
      <c r="H89" t="n">
        <v>0</v>
      </c>
      <c r="I89" t="n">
        <v>0</v>
      </c>
      <c r="J89" t="n">
        <v>0</v>
      </c>
      <c r="K89" t="n">
        <v>0</v>
      </c>
      <c r="L89" t="n">
        <v>0</v>
      </c>
      <c r="M89" t="n">
        <v>0</v>
      </c>
      <c r="N89" t="n">
        <v>0</v>
      </c>
      <c r="O89" t="n">
        <v>0</v>
      </c>
      <c r="P89" t="n">
        <v>0</v>
      </c>
      <c r="Q89" t="n">
        <v>0</v>
      </c>
      <c r="R89" s="2" t="inlineStr"/>
    </row>
    <row r="90" ht="15" customHeight="1">
      <c r="A90" t="inlineStr">
        <is>
          <t>A 13366-2024</t>
        </is>
      </c>
      <c r="B90" s="1" t="n">
        <v>45387</v>
      </c>
      <c r="C90" s="1" t="n">
        <v>46038</v>
      </c>
      <c r="D90" t="inlineStr">
        <is>
          <t>STOCKHOLMS LÄN</t>
        </is>
      </c>
      <c r="E90" t="inlineStr">
        <is>
          <t>ÖSTERÅKER</t>
        </is>
      </c>
      <c r="G90" t="n">
        <v>13.7</v>
      </c>
      <c r="H90" t="n">
        <v>0</v>
      </c>
      <c r="I90" t="n">
        <v>0</v>
      </c>
      <c r="J90" t="n">
        <v>0</v>
      </c>
      <c r="K90" t="n">
        <v>0</v>
      </c>
      <c r="L90" t="n">
        <v>0</v>
      </c>
      <c r="M90" t="n">
        <v>0</v>
      </c>
      <c r="N90" t="n">
        <v>0</v>
      </c>
      <c r="O90" t="n">
        <v>0</v>
      </c>
      <c r="P90" t="n">
        <v>0</v>
      </c>
      <c r="Q90" t="n">
        <v>0</v>
      </c>
      <c r="R90" s="2" t="inlineStr"/>
    </row>
    <row r="91" ht="15" customHeight="1">
      <c r="A91" t="inlineStr">
        <is>
          <t>A 57055-2024</t>
        </is>
      </c>
      <c r="B91" s="1" t="n">
        <v>45629.34627314815</v>
      </c>
      <c r="C91" s="1" t="n">
        <v>46038</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46038</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46688-2022</t>
        </is>
      </c>
      <c r="B93" s="1" t="n">
        <v>44851</v>
      </c>
      <c r="C93" s="1" t="n">
        <v>46038</v>
      </c>
      <c r="D93" t="inlineStr">
        <is>
          <t>STOCKHOLMS LÄN</t>
        </is>
      </c>
      <c r="E93" t="inlineStr">
        <is>
          <t>ÖSTERÅKER</t>
        </is>
      </c>
      <c r="G93" t="n">
        <v>2</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46038</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62839-2025</t>
        </is>
      </c>
      <c r="B95" s="1" t="n">
        <v>46008</v>
      </c>
      <c r="C95" s="1" t="n">
        <v>46038</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ht="15" customHeight="1">
      <c r="A96" t="inlineStr">
        <is>
          <t>A 17196-2022</t>
        </is>
      </c>
      <c r="B96" s="1" t="n">
        <v>44677</v>
      </c>
      <c r="C96" s="1" t="n">
        <v>46038</v>
      </c>
      <c r="D96" t="inlineStr">
        <is>
          <t>STOCKHOLMS LÄN</t>
        </is>
      </c>
      <c r="E96" t="inlineStr">
        <is>
          <t>ÖSTERÅKER</t>
        </is>
      </c>
      <c r="G96" t="n">
        <v>5.9</v>
      </c>
      <c r="H96" t="n">
        <v>0</v>
      </c>
      <c r="I96" t="n">
        <v>0</v>
      </c>
      <c r="J96" t="n">
        <v>0</v>
      </c>
      <c r="K96" t="n">
        <v>0</v>
      </c>
      <c r="L96" t="n">
        <v>0</v>
      </c>
      <c r="M96" t="n">
        <v>0</v>
      </c>
      <c r="N96" t="n">
        <v>0</v>
      </c>
      <c r="O96" t="n">
        <v>0</v>
      </c>
      <c r="P96" t="n">
        <v>0</v>
      </c>
      <c r="Q96" t="n">
        <v>0</v>
      </c>
      <c r="R96" s="2" t="inlineStr"/>
    </row>
    <row r="97" ht="15" customHeight="1">
      <c r="A97" t="inlineStr">
        <is>
          <t>A 60482-2025</t>
        </is>
      </c>
      <c r="B97" s="1" t="n">
        <v>45995.59832175926</v>
      </c>
      <c r="C97" s="1" t="n">
        <v>46038</v>
      </c>
      <c r="D97" t="inlineStr">
        <is>
          <t>STOCKHOLMS LÄN</t>
        </is>
      </c>
      <c r="E97" t="inlineStr">
        <is>
          <t>ÖSTERÅKER</t>
        </is>
      </c>
      <c r="G97" t="n">
        <v>1.4</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46038</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62108-2022</t>
        </is>
      </c>
      <c r="B99" s="1" t="n">
        <v>44920</v>
      </c>
      <c r="C99" s="1" t="n">
        <v>46038</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37244-2024</t>
        </is>
      </c>
      <c r="B100" s="1" t="n">
        <v>45540</v>
      </c>
      <c r="C100" s="1" t="n">
        <v>46038</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21796-2025</t>
        </is>
      </c>
      <c r="B101" s="1" t="n">
        <v>45783.68135416666</v>
      </c>
      <c r="C101" s="1" t="n">
        <v>46038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21786-2025</t>
        </is>
      </c>
      <c r="B102" s="1" t="n">
        <v>45783.67215277778</v>
      </c>
      <c r="C102" s="1" t="n">
        <v>46038</v>
      </c>
      <c r="D102" t="inlineStr">
        <is>
          <t>STOCKHOLMS LÄN</t>
        </is>
      </c>
      <c r="E102" t="inlineStr">
        <is>
          <t>ÖSTERÅKER</t>
        </is>
      </c>
      <c r="G102" t="n">
        <v>3.8</v>
      </c>
      <c r="H102" t="n">
        <v>0</v>
      </c>
      <c r="I102" t="n">
        <v>0</v>
      </c>
      <c r="J102" t="n">
        <v>0</v>
      </c>
      <c r="K102" t="n">
        <v>0</v>
      </c>
      <c r="L102" t="n">
        <v>0</v>
      </c>
      <c r="M102" t="n">
        <v>0</v>
      </c>
      <c r="N102" t="n">
        <v>0</v>
      </c>
      <c r="O102" t="n">
        <v>0</v>
      </c>
      <c r="P102" t="n">
        <v>0</v>
      </c>
      <c r="Q102" t="n">
        <v>0</v>
      </c>
      <c r="R102" s="2" t="inlineStr"/>
    </row>
    <row r="103" ht="15" customHeight="1">
      <c r="A103" t="inlineStr">
        <is>
          <t>A 27137-2025</t>
        </is>
      </c>
      <c r="B103" s="1" t="n">
        <v>45811.95890046296</v>
      </c>
      <c r="C103" s="1" t="n">
        <v>46038</v>
      </c>
      <c r="D103" t="inlineStr">
        <is>
          <t>STOCKHOLMS LÄN</t>
        </is>
      </c>
      <c r="E103" t="inlineStr">
        <is>
          <t>ÖSTERÅKER</t>
        </is>
      </c>
      <c r="G103" t="n">
        <v>3.8</v>
      </c>
      <c r="H103" t="n">
        <v>0</v>
      </c>
      <c r="I103" t="n">
        <v>0</v>
      </c>
      <c r="J103" t="n">
        <v>0</v>
      </c>
      <c r="K103" t="n">
        <v>0</v>
      </c>
      <c r="L103" t="n">
        <v>0</v>
      </c>
      <c r="M103" t="n">
        <v>0</v>
      </c>
      <c r="N103" t="n">
        <v>0</v>
      </c>
      <c r="O103" t="n">
        <v>0</v>
      </c>
      <c r="P103" t="n">
        <v>0</v>
      </c>
      <c r="Q103" t="n">
        <v>0</v>
      </c>
      <c r="R103" s="2" t="inlineStr"/>
    </row>
    <row r="104" ht="15" customHeight="1">
      <c r="A104" t="inlineStr">
        <is>
          <t>A 27948-2025</t>
        </is>
      </c>
      <c r="B104" s="1" t="n">
        <v>45817.52460648148</v>
      </c>
      <c r="C104" s="1" t="n">
        <v>46038</v>
      </c>
      <c r="D104" t="inlineStr">
        <is>
          <t>STOCKHOLMS LÄN</t>
        </is>
      </c>
      <c r="E104" t="inlineStr">
        <is>
          <t>ÖSTERÅKER</t>
        </is>
      </c>
      <c r="G104" t="n">
        <v>5.6</v>
      </c>
      <c r="H104" t="n">
        <v>0</v>
      </c>
      <c r="I104" t="n">
        <v>0</v>
      </c>
      <c r="J104" t="n">
        <v>0</v>
      </c>
      <c r="K104" t="n">
        <v>0</v>
      </c>
      <c r="L104" t="n">
        <v>0</v>
      </c>
      <c r="M104" t="n">
        <v>0</v>
      </c>
      <c r="N104" t="n">
        <v>0</v>
      </c>
      <c r="O104" t="n">
        <v>0</v>
      </c>
      <c r="P104" t="n">
        <v>0</v>
      </c>
      <c r="Q104" t="n">
        <v>0</v>
      </c>
      <c r="R104" s="2" t="inlineStr"/>
    </row>
    <row r="105" ht="15" customHeight="1">
      <c r="A105" t="inlineStr">
        <is>
          <t>A 464-2022</t>
        </is>
      </c>
      <c r="B105" s="1" t="n">
        <v>44565</v>
      </c>
      <c r="C105" s="1" t="n">
        <v>46038</v>
      </c>
      <c r="D105" t="inlineStr">
        <is>
          <t>STOCKHOLMS LÄN</t>
        </is>
      </c>
      <c r="E105" t="inlineStr">
        <is>
          <t>ÖSTERÅKER</t>
        </is>
      </c>
      <c r="F105" t="inlineStr">
        <is>
          <t>Övriga Aktiebolag</t>
        </is>
      </c>
      <c r="G105" t="n">
        <v>7.6</v>
      </c>
      <c r="H105" t="n">
        <v>0</v>
      </c>
      <c r="I105" t="n">
        <v>0</v>
      </c>
      <c r="J105" t="n">
        <v>0</v>
      </c>
      <c r="K105" t="n">
        <v>0</v>
      </c>
      <c r="L105" t="n">
        <v>0</v>
      </c>
      <c r="M105" t="n">
        <v>0</v>
      </c>
      <c r="N105" t="n">
        <v>0</v>
      </c>
      <c r="O105" t="n">
        <v>0</v>
      </c>
      <c r="P105" t="n">
        <v>0</v>
      </c>
      <c r="Q105" t="n">
        <v>0</v>
      </c>
      <c r="R105" s="2" t="inlineStr"/>
    </row>
    <row r="106" ht="15" customHeight="1">
      <c r="A106" t="inlineStr">
        <is>
          <t>A 31456-2025</t>
        </is>
      </c>
      <c r="B106" s="1" t="n">
        <v>45833.5402662037</v>
      </c>
      <c r="C106" s="1" t="n">
        <v>46038</v>
      </c>
      <c r="D106" t="inlineStr">
        <is>
          <t>STOCKHOLMS LÄN</t>
        </is>
      </c>
      <c r="E106" t="inlineStr">
        <is>
          <t>ÖSTERÅKER</t>
        </is>
      </c>
      <c r="G106" t="n">
        <v>4.3</v>
      </c>
      <c r="H106" t="n">
        <v>0</v>
      </c>
      <c r="I106" t="n">
        <v>0</v>
      </c>
      <c r="J106" t="n">
        <v>0</v>
      </c>
      <c r="K106" t="n">
        <v>0</v>
      </c>
      <c r="L106" t="n">
        <v>0</v>
      </c>
      <c r="M106" t="n">
        <v>0</v>
      </c>
      <c r="N106" t="n">
        <v>0</v>
      </c>
      <c r="O106" t="n">
        <v>0</v>
      </c>
      <c r="P106" t="n">
        <v>0</v>
      </c>
      <c r="Q106" t="n">
        <v>0</v>
      </c>
      <c r="R106" s="2" t="inlineStr"/>
    </row>
    <row r="107" ht="15" customHeight="1">
      <c r="A107" t="inlineStr">
        <is>
          <t>A 34038-2025</t>
        </is>
      </c>
      <c r="B107" s="1" t="n">
        <v>45842</v>
      </c>
      <c r="C107" s="1" t="n">
        <v>46038</v>
      </c>
      <c r="D107" t="inlineStr">
        <is>
          <t>STOCKHOLMS LÄN</t>
        </is>
      </c>
      <c r="E107" t="inlineStr">
        <is>
          <t>ÖSTERÅKER</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34079-2025</t>
        </is>
      </c>
      <c r="B108" s="1" t="n">
        <v>45842</v>
      </c>
      <c r="C108" s="1" t="n">
        <v>46038</v>
      </c>
      <c r="D108" t="inlineStr">
        <is>
          <t>STOCKHOLMS LÄN</t>
        </is>
      </c>
      <c r="E108" t="inlineStr">
        <is>
          <t>ÖSTERÅKER</t>
        </is>
      </c>
      <c r="F108" t="inlineStr">
        <is>
          <t>Övriga Aktiebolag</t>
        </is>
      </c>
      <c r="G108" t="n">
        <v>4.1</v>
      </c>
      <c r="H108" t="n">
        <v>0</v>
      </c>
      <c r="I108" t="n">
        <v>0</v>
      </c>
      <c r="J108" t="n">
        <v>0</v>
      </c>
      <c r="K108" t="n">
        <v>0</v>
      </c>
      <c r="L108" t="n">
        <v>0</v>
      </c>
      <c r="M108" t="n">
        <v>0</v>
      </c>
      <c r="N108" t="n">
        <v>0</v>
      </c>
      <c r="O108" t="n">
        <v>0</v>
      </c>
      <c r="P108" t="n">
        <v>0</v>
      </c>
      <c r="Q108" t="n">
        <v>0</v>
      </c>
      <c r="R108" s="2" t="inlineStr"/>
    </row>
    <row r="109" ht="15" customHeight="1">
      <c r="A109" t="inlineStr">
        <is>
          <t>A 34034-2025</t>
        </is>
      </c>
      <c r="B109" s="1" t="n">
        <v>45842</v>
      </c>
      <c r="C109" s="1" t="n">
        <v>46038</v>
      </c>
      <c r="D109" t="inlineStr">
        <is>
          <t>STOCKHOLMS LÄN</t>
        </is>
      </c>
      <c r="E109" t="inlineStr">
        <is>
          <t>ÖSTERÅKER</t>
        </is>
      </c>
      <c r="F109" t="inlineStr">
        <is>
          <t>Övriga Aktiebolag</t>
        </is>
      </c>
      <c r="G109" t="n">
        <v>3.9</v>
      </c>
      <c r="H109" t="n">
        <v>0</v>
      </c>
      <c r="I109" t="n">
        <v>0</v>
      </c>
      <c r="J109" t="n">
        <v>0</v>
      </c>
      <c r="K109" t="n">
        <v>0</v>
      </c>
      <c r="L109" t="n">
        <v>0</v>
      </c>
      <c r="M109" t="n">
        <v>0</v>
      </c>
      <c r="N109" t="n">
        <v>0</v>
      </c>
      <c r="O109" t="n">
        <v>0</v>
      </c>
      <c r="P109" t="n">
        <v>0</v>
      </c>
      <c r="Q109" t="n">
        <v>0</v>
      </c>
      <c r="R109" s="2" t="inlineStr"/>
    </row>
    <row r="110" ht="15" customHeight="1">
      <c r="A110" t="inlineStr">
        <is>
          <t>A 35656-2025</t>
        </is>
      </c>
      <c r="B110" s="1" t="n">
        <v>45859</v>
      </c>
      <c r="C110" s="1" t="n">
        <v>46038</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35819-2025</t>
        </is>
      </c>
      <c r="B111" s="1" t="n">
        <v>45861</v>
      </c>
      <c r="C111" s="1" t="n">
        <v>46038</v>
      </c>
      <c r="D111" t="inlineStr">
        <is>
          <t>STOCKHOLMS LÄN</t>
        </is>
      </c>
      <c r="E111" t="inlineStr">
        <is>
          <t>ÖSTERÅKER</t>
        </is>
      </c>
      <c r="F111" t="inlineStr">
        <is>
          <t>Övriga Aktiebolag</t>
        </is>
      </c>
      <c r="G111" t="n">
        <v>8</v>
      </c>
      <c r="H111" t="n">
        <v>0</v>
      </c>
      <c r="I111" t="n">
        <v>0</v>
      </c>
      <c r="J111" t="n">
        <v>0</v>
      </c>
      <c r="K111" t="n">
        <v>0</v>
      </c>
      <c r="L111" t="n">
        <v>0</v>
      </c>
      <c r="M111" t="n">
        <v>0</v>
      </c>
      <c r="N111" t="n">
        <v>0</v>
      </c>
      <c r="O111" t="n">
        <v>0</v>
      </c>
      <c r="P111" t="n">
        <v>0</v>
      </c>
      <c r="Q111" t="n">
        <v>0</v>
      </c>
      <c r="R111" s="2" t="inlineStr"/>
    </row>
    <row r="112" ht="15" customHeight="1">
      <c r="A112" t="inlineStr">
        <is>
          <t>A 36611-2025</t>
        </is>
      </c>
      <c r="B112" s="1" t="n">
        <v>45870</v>
      </c>
      <c r="C112" s="1" t="n">
        <v>46038</v>
      </c>
      <c r="D112" t="inlineStr">
        <is>
          <t>STOCKHOLMS LÄN</t>
        </is>
      </c>
      <c r="E112" t="inlineStr">
        <is>
          <t>ÖSTERÅKER</t>
        </is>
      </c>
      <c r="F112" t="inlineStr">
        <is>
          <t>Övriga Aktiebolag</t>
        </is>
      </c>
      <c r="G112" t="n">
        <v>2.6</v>
      </c>
      <c r="H112" t="n">
        <v>0</v>
      </c>
      <c r="I112" t="n">
        <v>0</v>
      </c>
      <c r="J112" t="n">
        <v>0</v>
      </c>
      <c r="K112" t="n">
        <v>0</v>
      </c>
      <c r="L112" t="n">
        <v>0</v>
      </c>
      <c r="M112" t="n">
        <v>0</v>
      </c>
      <c r="N112" t="n">
        <v>0</v>
      </c>
      <c r="O112" t="n">
        <v>0</v>
      </c>
      <c r="P112" t="n">
        <v>0</v>
      </c>
      <c r="Q112" t="n">
        <v>0</v>
      </c>
      <c r="R112" s="2" t="inlineStr"/>
    </row>
    <row r="113" ht="15" customHeight="1">
      <c r="A113" t="inlineStr">
        <is>
          <t>A 36614-2025</t>
        </is>
      </c>
      <c r="B113" s="1" t="n">
        <v>45870</v>
      </c>
      <c r="C113" s="1" t="n">
        <v>46038</v>
      </c>
      <c r="D113" t="inlineStr">
        <is>
          <t>STOCKHOLMS LÄN</t>
        </is>
      </c>
      <c r="E113" t="inlineStr">
        <is>
          <t>ÖSTERÅKER</t>
        </is>
      </c>
      <c r="G113" t="n">
        <v>1.7</v>
      </c>
      <c r="H113" t="n">
        <v>0</v>
      </c>
      <c r="I113" t="n">
        <v>0</v>
      </c>
      <c r="J113" t="n">
        <v>0</v>
      </c>
      <c r="K113" t="n">
        <v>0</v>
      </c>
      <c r="L113" t="n">
        <v>0</v>
      </c>
      <c r="M113" t="n">
        <v>0</v>
      </c>
      <c r="N113" t="n">
        <v>0</v>
      </c>
      <c r="O113" t="n">
        <v>0</v>
      </c>
      <c r="P113" t="n">
        <v>0</v>
      </c>
      <c r="Q113" t="n">
        <v>0</v>
      </c>
      <c r="R113" s="2" t="inlineStr"/>
    </row>
    <row r="114">
      <c r="A114" t="inlineStr">
        <is>
          <t>A 36612-2025</t>
        </is>
      </c>
      <c r="B114" s="1" t="n">
        <v>45870</v>
      </c>
      <c r="C114" s="1" t="n">
        <v>46038</v>
      </c>
      <c r="D114" t="inlineStr">
        <is>
          <t>STOCKHOLMS LÄN</t>
        </is>
      </c>
      <c r="E114" t="inlineStr">
        <is>
          <t>ÖSTERÅKER</t>
        </is>
      </c>
      <c r="F114" t="inlineStr">
        <is>
          <t>Övriga Aktiebolag</t>
        </is>
      </c>
      <c r="G114" t="n">
        <v>2.1</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2026-01-16T10:57:10Z</dcterms:created>
  <dcterms:modified xmlns:dcterms="http://purl.org/dc/terms/" xmlns:xsi="http://www.w3.org/2001/XMLSchema-instance" xsi:type="dcterms:W3CDTF">2026-01-16T10:57:10Z</dcterms:modified>
</cp:coreProperties>
</file>