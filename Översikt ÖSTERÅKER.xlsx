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46651-2024</t>
        </is>
      </c>
      <c r="B2" t="inlineStr">
        <is>
          <t>avverkningsanmälan</t>
        </is>
      </c>
      <c r="C2" t="inlineStr">
        <is>
          <t>Föryngringsavverkning</t>
        </is>
      </c>
      <c r="D2" s="1" t="n">
        <v>45583</v>
      </c>
      <c r="E2" s="1" t="n">
        <v>46216</v>
      </c>
      <c r="F2" t="inlineStr">
        <is>
          <t>STOCKHOLMS LÄN</t>
        </is>
      </c>
      <c r="G2" t="inlineStr">
        <is>
          <t>ÖSTERÅKER</t>
        </is>
      </c>
      <c r="I2" t="n">
        <v>8.1</v>
      </c>
      <c r="J2" t="n">
        <v>5</v>
      </c>
      <c r="K2" t="n">
        <v>15</v>
      </c>
      <c r="L2" t="n">
        <v>6</v>
      </c>
      <c r="M2" t="n">
        <v>4</v>
      </c>
      <c r="N2" t="n">
        <v>1</v>
      </c>
      <c r="O2" t="n">
        <v>0</v>
      </c>
      <c r="P2" t="n">
        <v>0</v>
      </c>
      <c r="Q2" t="n">
        <v>11</v>
      </c>
      <c r="R2" t="n">
        <v>5</v>
      </c>
      <c r="S2" t="n">
        <v>29</v>
      </c>
      <c r="T2" t="n">
        <v>98</v>
      </c>
      <c r="U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
        <f>HYPERLINK("https://klasma.github.io/Logging_0117/artfynd/A 46651-2024 artfynd.xlsx", "A 46651-2024")</f>
        <v/>
      </c>
      <c r="W2">
        <f>HYPERLINK("https://klasma.github.io/Logging_0117/kartor/A 46651-2024 karta.png", "A 46651-2024")</f>
        <v/>
      </c>
      <c r="X2">
        <f>HYPERLINK("https://klasma.github.io/Logging_0117/knärot/A 46651-2024 karta knärot.png", "A 46651-2024")</f>
        <v/>
      </c>
      <c r="Y2">
        <f>HYPERLINK("https://klasma.github.io/Logging_0117/klagomål/A 46651-2024 FSC-klagomål.docx", "A 46651-2024")</f>
        <v/>
      </c>
      <c r="Z2">
        <f>HYPERLINK("https://klasma.github.io/Logging_0117/klagomålsmail/A 46651-2024 FSC-klagomål mail.docx", "A 46651-2024")</f>
        <v/>
      </c>
      <c r="AA2">
        <f>HYPERLINK("https://klasma.github.io/Logging_0117/tillsyn/A 46651-2024 tillsynsbegäran.docx", "A 46651-2024")</f>
        <v/>
      </c>
      <c r="AB2">
        <f>HYPERLINK("https://klasma.github.io/Logging_0117/tillsynsmail/A 46651-2024 tillsynsbegäran mail.docx", "A 46651-2024")</f>
        <v/>
      </c>
      <c r="AC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46216</v>
      </c>
      <c r="F3" t="inlineStr">
        <is>
          <t>STOCKHOLMS LÄN</t>
        </is>
      </c>
      <c r="G3" t="inlineStr">
        <is>
          <t>ÖSTERÅKER</t>
        </is>
      </c>
      <c r="I3" t="n">
        <v>5.7</v>
      </c>
      <c r="J3" t="n">
        <v>5</v>
      </c>
      <c r="K3" t="n">
        <v>4</v>
      </c>
      <c r="L3" t="n">
        <v>5</v>
      </c>
      <c r="M3" t="n">
        <v>1</v>
      </c>
      <c r="N3" t="n">
        <v>0</v>
      </c>
      <c r="O3" t="n">
        <v>0</v>
      </c>
      <c r="P3" t="n">
        <v>0</v>
      </c>
      <c r="Q3" t="n">
        <v>6</v>
      </c>
      <c r="R3" t="n">
        <v>1</v>
      </c>
      <c r="S3" t="n">
        <v>14</v>
      </c>
      <c r="T3" t="n">
        <v>17</v>
      </c>
      <c r="U3" s="2" t="inlineStr">
        <is>
          <t>Garnlav
Sårläka
Tallticka
Talltita
Ullticka
Älg
Björksplintborre
Mörk husmossa
Thomsons trägnagare
Tibast
Blåsippa
Spillkråka
Sångsvan
Nattviol</t>
        </is>
      </c>
      <c r="V3">
        <f>HYPERLINK("https://klasma.github.io/Logging_0117/artfynd/A 31459-2025 artfynd.xlsx", "A 31459-2025")</f>
        <v/>
      </c>
      <c r="W3">
        <f>HYPERLINK("https://klasma.github.io/Logging_0117/kartor/A 31459-2025 karta.png", "A 31459-2025")</f>
        <v/>
      </c>
      <c r="Y3">
        <f>HYPERLINK("https://klasma.github.io/Logging_0117/klagomål/A 31459-2025 FSC-klagomål.docx", "A 31459-2025")</f>
        <v/>
      </c>
      <c r="Z3">
        <f>HYPERLINK("https://klasma.github.io/Logging_0117/klagomålsmail/A 31459-2025 FSC-klagomål mail.docx", "A 31459-2025")</f>
        <v/>
      </c>
      <c r="AA3">
        <f>HYPERLINK("https://klasma.github.io/Logging_0117/tillsyn/A 31459-2025 tillsynsbegäran.docx", "A 31459-2025")</f>
        <v/>
      </c>
      <c r="AB3">
        <f>HYPERLINK("https://klasma.github.io/Logging_0117/tillsynsmail/A 31459-2025 tillsynsbegäran mail.docx", "A 31459-2025")</f>
        <v/>
      </c>
      <c r="AC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46216</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s="2" t="inlineStr">
        <is>
          <t>Grönfink
Stare
Brunlångöra
Grönsångare
Nordfladdermus
Tallticka
Tofsmes
Dvärgpipistrell
Grönsiska
Kråka
Kungsfågel
Större brunfladdermus
Svartvit flugsnappare
Trädlärka</t>
        </is>
      </c>
      <c r="V4">
        <f>HYPERLINK("https://klasma.github.io/Logging_0117/artfynd/A 3919-2023 artfynd.xlsx", "A 3919-2023")</f>
        <v/>
      </c>
      <c r="W4">
        <f>HYPERLINK("https://klasma.github.io/Logging_0117/kartor/A 3919-2023 karta.png", "A 3919-2023")</f>
        <v/>
      </c>
      <c r="Y4">
        <f>HYPERLINK("https://klasma.github.io/Logging_0117/klagomål/A 3919-2023 FSC-klagomål.docx", "A 3919-2023")</f>
        <v/>
      </c>
      <c r="Z4">
        <f>HYPERLINK("https://klasma.github.io/Logging_0117/klagomålsmail/A 3919-2023 FSC-klagomål mail.docx", "A 3919-2023")</f>
        <v/>
      </c>
      <c r="AA4">
        <f>HYPERLINK("https://klasma.github.io/Logging_0117/tillsyn/A 3919-2023 tillsynsbegäran.docx", "A 3919-2023")</f>
        <v/>
      </c>
      <c r="AB4">
        <f>HYPERLINK("https://klasma.github.io/Logging_0117/tillsynsmail/A 3919-2023 tillsynsbegäran mail.docx", "A 3919-2023")</f>
        <v/>
      </c>
      <c r="AC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46216</v>
      </c>
      <c r="F5" t="inlineStr">
        <is>
          <t>STOCKHOLMS LÄN</t>
        </is>
      </c>
      <c r="G5" t="inlineStr">
        <is>
          <t>ÖSTERÅKER</t>
        </is>
      </c>
      <c r="I5" t="n">
        <v>3</v>
      </c>
      <c r="J5" t="n">
        <v>4</v>
      </c>
      <c r="K5" t="n">
        <v>4</v>
      </c>
      <c r="L5" t="n">
        <v>3</v>
      </c>
      <c r="M5" t="n">
        <v>1</v>
      </c>
      <c r="N5" t="n">
        <v>0</v>
      </c>
      <c r="O5" t="n">
        <v>0</v>
      </c>
      <c r="P5" t="n">
        <v>0</v>
      </c>
      <c r="Q5" t="n">
        <v>4</v>
      </c>
      <c r="R5" t="n">
        <v>1</v>
      </c>
      <c r="S5" t="n">
        <v>10</v>
      </c>
      <c r="T5" t="n">
        <v>21</v>
      </c>
      <c r="U5" s="2" t="inlineStr">
        <is>
          <t>Knärot
Mindre hackspett
Ullticka
Vedskivlav
Björksplintborre
Jättesvampmal
Stubbspretmossa
Vedticka
Kungsfågel
Revlummer</t>
        </is>
      </c>
      <c r="V5">
        <f>HYPERLINK("https://klasma.github.io/Logging_0117/artfynd/A 25888-2026 artfynd.xlsx", "A 25888-2026")</f>
        <v/>
      </c>
      <c r="W5">
        <f>HYPERLINK("https://klasma.github.io/Logging_0117/kartor/A 25888-2026 karta.png", "A 25888-2026")</f>
        <v/>
      </c>
      <c r="X5">
        <f>HYPERLINK("https://klasma.github.io/Logging_0117/knärot/A 25888-2026 karta knärot.png", "A 25888-2026")</f>
        <v/>
      </c>
      <c r="Y5">
        <f>HYPERLINK("https://klasma.github.io/Logging_0117/klagomål/A 25888-2026 FSC-klagomål.docx", "A 25888-2026")</f>
        <v/>
      </c>
      <c r="Z5">
        <f>HYPERLINK("https://klasma.github.io/Logging_0117/klagomålsmail/A 25888-2026 FSC-klagomål mail.docx", "A 25888-2026")</f>
        <v/>
      </c>
      <c r="AA5">
        <f>HYPERLINK("https://klasma.github.io/Logging_0117/tillsyn/A 25888-2026 tillsynsbegäran.docx", "A 25888-2026")</f>
        <v/>
      </c>
      <c r="AB5">
        <f>HYPERLINK("https://klasma.github.io/Logging_0117/tillsynsmail/A 25888-2026 tillsynsbegäran mail.docx", "A 25888-2026")</f>
        <v/>
      </c>
      <c r="AC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46216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s="2" t="inlineStr">
        <is>
          <t>Motaggsvamp
Tallticka
Ullticka
Blodticka
Bronshjon
Jättesvampmal
Mindre märgborre
Vågbandad barkbock
Spillkråka</t>
        </is>
      </c>
      <c r="V6">
        <f>HYPERLINK("https://klasma.github.io/Logging_0117/artfynd/A 31015-2024 artfynd.xlsx", "A 31015-2024")</f>
        <v/>
      </c>
      <c r="W6">
        <f>HYPERLINK("https://klasma.github.io/Logging_0117/kartor/A 31015-2024 karta.png", "A 31015-2024")</f>
        <v/>
      </c>
      <c r="Y6">
        <f>HYPERLINK("https://klasma.github.io/Logging_0117/klagomål/A 31015-2024 FSC-klagomål.docx", "A 31015-2024")</f>
        <v/>
      </c>
      <c r="Z6">
        <f>HYPERLINK("https://klasma.github.io/Logging_0117/klagomålsmail/A 31015-2024 FSC-klagomål mail.docx", "A 31015-2024")</f>
        <v/>
      </c>
      <c r="AA6">
        <f>HYPERLINK("https://klasma.github.io/Logging_0117/tillsyn/A 31015-2024 tillsynsbegäran.docx", "A 31015-2024")</f>
        <v/>
      </c>
      <c r="AB6">
        <f>HYPERLINK("https://klasma.github.io/Logging_0117/tillsynsmail/A 31015-2024 tillsynsbegäran mail.docx", "A 31015-2024")</f>
        <v/>
      </c>
      <c r="AC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46216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s="2" t="inlineStr">
        <is>
          <t>Grönfink
Stare
Tallbit
Grönsiska
Kråka
Kungsfågel
Svartvit flugsnappare</t>
        </is>
      </c>
      <c r="V7">
        <f>HYPERLINK("https://klasma.github.io/Logging_0117/artfynd/A 153-2025 artfynd.xlsx", "A 153-2025")</f>
        <v/>
      </c>
      <c r="W7">
        <f>HYPERLINK("https://klasma.github.io/Logging_0117/kartor/A 153-2025 karta.png", "A 153-2025")</f>
        <v/>
      </c>
      <c r="Y7">
        <f>HYPERLINK("https://klasma.github.io/Logging_0117/klagomål/A 153-2025 FSC-klagomål.docx", "A 153-2025")</f>
        <v/>
      </c>
      <c r="Z7">
        <f>HYPERLINK("https://klasma.github.io/Logging_0117/klagomålsmail/A 153-2025 FSC-klagomål mail.docx", "A 153-2025")</f>
        <v/>
      </c>
      <c r="AA7">
        <f>HYPERLINK("https://klasma.github.io/Logging_0117/tillsyn/A 153-2025 tillsynsbegäran.docx", "A 153-2025")</f>
        <v/>
      </c>
      <c r="AB7">
        <f>HYPERLINK("https://klasma.github.io/Logging_0117/tillsynsmail/A 153-2025 tillsynsbegäran mail.docx", "A 153-2025")</f>
        <v/>
      </c>
      <c r="AC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46216</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s="2" t="inlineStr">
        <is>
          <t>Ekticka
Lunglav
Oxtungssvamp
Veckticka
Hasselticka
Stubbspretmossa
Blåsippa</t>
        </is>
      </c>
      <c r="V8">
        <f>HYPERLINK("https://klasma.github.io/Logging_0117/artfynd/S 7486-2021 artfynd.xlsx", "S 7486-2021")</f>
        <v/>
      </c>
      <c r="W8">
        <f>HYPERLINK("https://klasma.github.io/Logging_0117/kartor/S 7486-2021 karta.png", "S 7486-2021")</f>
        <v/>
      </c>
      <c r="Y8">
        <f>HYPERLINK("https://klasma.github.io/Logging_0117/klagomål/S 7486-2021 FSC-klagomål.docx", "S 7486-2021")</f>
        <v/>
      </c>
      <c r="Z8">
        <f>HYPERLINK("https://klasma.github.io/Logging_0117/klagomålsmail/S 7486-2021 FSC-klagomål mail.docx", "S 7486-2021")</f>
        <v/>
      </c>
      <c r="AA8">
        <f>HYPERLINK("https://klasma.github.io/Logging_0117/tillsyn/S 7486-2021 tillsynsbegäran.docx", "S 7486-2021")</f>
        <v/>
      </c>
      <c r="AB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46216</v>
      </c>
      <c r="F9" t="inlineStr">
        <is>
          <t>STOCKHOLMS LÄN</t>
        </is>
      </c>
      <c r="G9" t="inlineStr">
        <is>
          <t>ÖSTERÅKER</t>
        </is>
      </c>
      <c r="I9" t="n">
        <v>3.7</v>
      </c>
      <c r="J9" t="n">
        <v>5</v>
      </c>
      <c r="K9" t="n">
        <v>0</v>
      </c>
      <c r="L9" t="n">
        <v>3</v>
      </c>
      <c r="M9" t="n">
        <v>0</v>
      </c>
      <c r="N9" t="n">
        <v>0</v>
      </c>
      <c r="O9" t="n">
        <v>0</v>
      </c>
      <c r="P9" t="n">
        <v>0</v>
      </c>
      <c r="Q9" t="n">
        <v>3</v>
      </c>
      <c r="R9" t="n">
        <v>0</v>
      </c>
      <c r="S9" t="n">
        <v>6</v>
      </c>
      <c r="T9" t="n">
        <v>76</v>
      </c>
      <c r="U9" s="2" t="inlineStr">
        <is>
          <t>Brunlångöra
Gullpudra
Nordfladdermus
Dvärgpipistrell
Större brunfladdermus
Vattenfladdermus</t>
        </is>
      </c>
      <c r="V9">
        <f>HYPERLINK("https://klasma.github.io/Logging_0117/artfynd/A 22172-2022 artfynd.xlsx", "A 22172-2022")</f>
        <v/>
      </c>
      <c r="W9">
        <f>HYPERLINK("https://klasma.github.io/Logging_0117/kartor/A 22172-2022 karta.png", "A 22172-2022")</f>
        <v/>
      </c>
      <c r="Y9">
        <f>HYPERLINK("https://klasma.github.io/Logging_0117/klagomål/A 22172-2022 FSC-klagomål.docx", "A 22172-2022")</f>
        <v/>
      </c>
      <c r="Z9">
        <f>HYPERLINK("https://klasma.github.io/Logging_0117/klagomålsmail/A 22172-2022 FSC-klagomål mail.docx", "A 22172-2022")</f>
        <v/>
      </c>
      <c r="AA9">
        <f>HYPERLINK("https://klasma.github.io/Logging_0117/tillsyn/A 22172-2022 tillsynsbegäran.docx", "A 22172-2022")</f>
        <v/>
      </c>
      <c r="AB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46216</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s="2" t="inlineStr">
        <is>
          <t>Järnsparv
Gröngöling
Kråka
Kungsfågel</t>
        </is>
      </c>
      <c r="V10">
        <f>HYPERLINK("https://klasma.github.io/Logging_0117/artfynd/A 3914-2023 artfynd.xlsx", "A 3914-2023")</f>
        <v/>
      </c>
      <c r="W10">
        <f>HYPERLINK("https://klasma.github.io/Logging_0117/kartor/A 3914-2023 karta.png", "A 3914-2023")</f>
        <v/>
      </c>
      <c r="Y10">
        <f>HYPERLINK("https://klasma.github.io/Logging_0117/klagomål/A 3914-2023 FSC-klagomål.docx", "A 3914-2023")</f>
        <v/>
      </c>
      <c r="Z10">
        <f>HYPERLINK("https://klasma.github.io/Logging_0117/klagomålsmail/A 3914-2023 FSC-klagomål mail.docx", "A 3914-2023")</f>
        <v/>
      </c>
      <c r="AA10">
        <f>HYPERLINK("https://klasma.github.io/Logging_0117/tillsyn/A 3914-2023 tillsynsbegäran.docx", "A 3914-2023")</f>
        <v/>
      </c>
      <c r="AB10">
        <f>HYPERLINK("https://klasma.github.io/Logging_0117/tillsynsmail/A 3914-2023 tillsynsbegäran mail.docx", "A 3914-2023")</f>
        <v/>
      </c>
      <c r="AC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46216</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s="2" t="inlineStr">
        <is>
          <t>Aspgelélav
Garnlav
Tallticka
Tjäder</t>
        </is>
      </c>
      <c r="V11">
        <f>HYPERLINK("https://klasma.github.io/Logging_0117/artfynd/A 31523-2022 artfynd.xlsx", "A 31523-2022")</f>
        <v/>
      </c>
      <c r="W11">
        <f>HYPERLINK("https://klasma.github.io/Logging_0117/kartor/A 31523-2022 karta.png", "A 31523-2022")</f>
        <v/>
      </c>
      <c r="Y11">
        <f>HYPERLINK("https://klasma.github.io/Logging_0117/klagomål/A 31523-2022 FSC-klagomål.docx", "A 31523-2022")</f>
        <v/>
      </c>
      <c r="Z11">
        <f>HYPERLINK("https://klasma.github.io/Logging_0117/klagomålsmail/A 31523-2022 FSC-klagomål mail.docx", "A 31523-2022")</f>
        <v/>
      </c>
      <c r="AA11">
        <f>HYPERLINK("https://klasma.github.io/Logging_0117/tillsyn/A 31523-2022 tillsynsbegäran.docx", "A 31523-2022")</f>
        <v/>
      </c>
      <c r="AB11">
        <f>HYPERLINK("https://klasma.github.io/Logging_0117/tillsynsmail/A 31523-2022 tillsynsbegäran mail.docx", "A 31523-2022")</f>
        <v/>
      </c>
      <c r="AC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46216</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s="2" t="inlineStr">
        <is>
          <t>Tallticka
Talltita
Vedskivlav
Grovticka</t>
        </is>
      </c>
      <c r="V12">
        <f>HYPERLINK("https://klasma.github.io/Logging_0117/artfynd/A 37244-2024 artfynd.xlsx", "A 37244-2024")</f>
        <v/>
      </c>
      <c r="W12">
        <f>HYPERLINK("https://klasma.github.io/Logging_0117/kartor/A 37244-2024 karta.png", "A 37244-2024")</f>
        <v/>
      </c>
      <c r="Y12">
        <f>HYPERLINK("https://klasma.github.io/Logging_0117/klagomål/A 37244-2024 FSC-klagomål.docx", "A 37244-2024")</f>
        <v/>
      </c>
      <c r="Z12">
        <f>HYPERLINK("https://klasma.github.io/Logging_0117/klagomålsmail/A 37244-2024 FSC-klagomål mail.docx", "A 37244-2024")</f>
        <v/>
      </c>
      <c r="AA12">
        <f>HYPERLINK("https://klasma.github.io/Logging_0117/tillsyn/A 37244-2024 tillsynsbegäran.docx", "A 37244-2024")</f>
        <v/>
      </c>
      <c r="AB12">
        <f>HYPERLINK("https://klasma.github.io/Logging_0117/tillsynsmail/A 37244-2024 tillsynsbegäran mail.docx", "A 37244-2024")</f>
        <v/>
      </c>
      <c r="AC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46216</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s="2" t="inlineStr">
        <is>
          <t>Tornseglare
Ladusvala
Törnskata</t>
        </is>
      </c>
      <c r="V13">
        <f>HYPERLINK("https://klasma.github.io/Logging_0117/artfynd/A 27948-2025 artfynd.xlsx", "A 27948-2025")</f>
        <v/>
      </c>
      <c r="W13">
        <f>HYPERLINK("https://klasma.github.io/Logging_0117/kartor/A 27948-2025 karta.png", "A 27948-2025")</f>
        <v/>
      </c>
      <c r="Y13">
        <f>HYPERLINK("https://klasma.github.io/Logging_0117/klagomål/A 27948-2025 FSC-klagomål.docx", "A 27948-2025")</f>
        <v/>
      </c>
      <c r="Z13">
        <f>HYPERLINK("https://klasma.github.io/Logging_0117/klagomålsmail/A 27948-2025 FSC-klagomål mail.docx", "A 27948-2025")</f>
        <v/>
      </c>
      <c r="AA13">
        <f>HYPERLINK("https://klasma.github.io/Logging_0117/tillsyn/A 27948-2025 tillsynsbegäran.docx", "A 27948-2025")</f>
        <v/>
      </c>
      <c r="AB13">
        <f>HYPERLINK("https://klasma.github.io/Logging_0117/tillsynsmail/A 27948-2025 tillsynsbegäran mail.docx", "A 27948-2025")</f>
        <v/>
      </c>
      <c r="AC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46216</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s="2" t="inlineStr">
        <is>
          <t>Taggfingersvamp
Fällmossa
Blåsippa</t>
        </is>
      </c>
      <c r="V14">
        <f>HYPERLINK("https://klasma.github.io/Logging_0117/artfynd/A 12620-2022 artfynd.xlsx", "A 12620-2022")</f>
        <v/>
      </c>
      <c r="W14">
        <f>HYPERLINK("https://klasma.github.io/Logging_0117/kartor/A 12620-2022 karta.png", "A 12620-2022")</f>
        <v/>
      </c>
      <c r="Y14">
        <f>HYPERLINK("https://klasma.github.io/Logging_0117/klagomål/A 12620-2022 FSC-klagomål.docx", "A 12620-2022")</f>
        <v/>
      </c>
      <c r="Z14">
        <f>HYPERLINK("https://klasma.github.io/Logging_0117/klagomålsmail/A 12620-2022 FSC-klagomål mail.docx", "A 12620-2022")</f>
        <v/>
      </c>
      <c r="AA14">
        <f>HYPERLINK("https://klasma.github.io/Logging_0117/tillsyn/A 12620-2022 tillsynsbegäran.docx", "A 12620-2022")</f>
        <v/>
      </c>
      <c r="AB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46216</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s="2" t="inlineStr">
        <is>
          <t>Fällmossa
Mindre märgborre
Vedticka</t>
        </is>
      </c>
      <c r="V15">
        <f>HYPERLINK("https://klasma.github.io/Logging_0117/artfynd/A 62578-2025 artfynd.xlsx", "A 62578-2025")</f>
        <v/>
      </c>
      <c r="W15">
        <f>HYPERLINK("https://klasma.github.io/Logging_0117/kartor/A 62578-2025 karta.png", "A 62578-2025")</f>
        <v/>
      </c>
      <c r="Y15">
        <f>HYPERLINK("https://klasma.github.io/Logging_0117/klagomål/A 62578-2025 FSC-klagomål.docx", "A 62578-2025")</f>
        <v/>
      </c>
      <c r="Z15">
        <f>HYPERLINK("https://klasma.github.io/Logging_0117/klagomålsmail/A 62578-2025 FSC-klagomål mail.docx", "A 62578-2025")</f>
        <v/>
      </c>
      <c r="AA15">
        <f>HYPERLINK("https://klasma.github.io/Logging_0117/tillsyn/A 62578-2025 tillsynsbegäran.docx", "A 62578-2025")</f>
        <v/>
      </c>
      <c r="AB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46216</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s="2" t="inlineStr">
        <is>
          <t>Motaggsvamp
Skuggblåslav
Tjäder</t>
        </is>
      </c>
      <c r="V16">
        <f>HYPERLINK("https://klasma.github.io/Logging_0117/artfynd/A 61363-2022 artfynd.xlsx", "A 61363-2022")</f>
        <v/>
      </c>
      <c r="W16">
        <f>HYPERLINK("https://klasma.github.io/Logging_0117/kartor/A 61363-2022 karta.png", "A 61363-2022")</f>
        <v/>
      </c>
      <c r="Y16">
        <f>HYPERLINK("https://klasma.github.io/Logging_0117/klagomål/A 61363-2022 FSC-klagomål.docx", "A 61363-2022")</f>
        <v/>
      </c>
      <c r="Z16">
        <f>HYPERLINK("https://klasma.github.io/Logging_0117/klagomålsmail/A 61363-2022 FSC-klagomål mail.docx", "A 61363-2022")</f>
        <v/>
      </c>
      <c r="AA16">
        <f>HYPERLINK("https://klasma.github.io/Logging_0117/tillsyn/A 61363-2022 tillsynsbegäran.docx", "A 61363-2022")</f>
        <v/>
      </c>
      <c r="AB16">
        <f>HYPERLINK("https://klasma.github.io/Logging_0117/tillsynsmail/A 61363-2022 tillsynsbegäran mail.docx", "A 61363-2022")</f>
        <v/>
      </c>
      <c r="AC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46216</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s="2" t="inlineStr">
        <is>
          <t>Tallticka
Spillkråka
Kungsfågel</t>
        </is>
      </c>
      <c r="V17">
        <f>HYPERLINK("https://klasma.github.io/Logging_0117/artfynd/A 54703-2024 artfynd.xlsx", "A 54703-2024")</f>
        <v/>
      </c>
      <c r="W17">
        <f>HYPERLINK("https://klasma.github.io/Logging_0117/kartor/A 54703-2024 karta.png", "A 54703-2024")</f>
        <v/>
      </c>
      <c r="Y17">
        <f>HYPERLINK("https://klasma.github.io/Logging_0117/klagomål/A 54703-2024 FSC-klagomål.docx", "A 54703-2024")</f>
        <v/>
      </c>
      <c r="Z17">
        <f>HYPERLINK("https://klasma.github.io/Logging_0117/klagomålsmail/A 54703-2024 FSC-klagomål mail.docx", "A 54703-2024")</f>
        <v/>
      </c>
      <c r="AA17">
        <f>HYPERLINK("https://klasma.github.io/Logging_0117/tillsyn/A 54703-2024 tillsynsbegäran.docx", "A 54703-2024")</f>
        <v/>
      </c>
      <c r="AB17">
        <f>HYPERLINK("https://klasma.github.io/Logging_0117/tillsynsmail/A 54703-2024 tillsynsbegäran mail.docx", "A 54703-2024")</f>
        <v/>
      </c>
      <c r="AC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46216</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s="2" t="inlineStr">
        <is>
          <t>Igelkott
Backdvärgmal</t>
        </is>
      </c>
      <c r="V18">
        <f>HYPERLINK("https://klasma.github.io/Logging_0117/artfynd/A 67244-2021 artfynd.xlsx", "A 67244-2021")</f>
        <v/>
      </c>
      <c r="W18">
        <f>HYPERLINK("https://klasma.github.io/Logging_0117/kartor/A 67244-2021 karta.png", "A 67244-2021")</f>
        <v/>
      </c>
      <c r="Y18">
        <f>HYPERLINK("https://klasma.github.io/Logging_0117/klagomål/A 67244-2021 FSC-klagomål.docx", "A 67244-2021")</f>
        <v/>
      </c>
      <c r="Z18">
        <f>HYPERLINK("https://klasma.github.io/Logging_0117/klagomålsmail/A 67244-2021 FSC-klagomål mail.docx", "A 67244-2021")</f>
        <v/>
      </c>
      <c r="AA18">
        <f>HYPERLINK("https://klasma.github.io/Logging_0117/tillsyn/A 67244-2021 tillsynsbegäran.docx", "A 67244-2021")</f>
        <v/>
      </c>
      <c r="AB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46216</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s="2" t="inlineStr">
        <is>
          <t>Fläcknycklar
Nattviol</t>
        </is>
      </c>
      <c r="V19">
        <f>HYPERLINK("https://klasma.github.io/Logging_0117/artfynd/A 61275-2021 artfynd.xlsx", "A 61275-2021")</f>
        <v/>
      </c>
      <c r="W19">
        <f>HYPERLINK("https://klasma.github.io/Logging_0117/kartor/A 61275-2021 karta.png", "A 61275-2021")</f>
        <v/>
      </c>
      <c r="Y19">
        <f>HYPERLINK("https://klasma.github.io/Logging_0117/klagomål/A 61275-2021 FSC-klagomål.docx", "A 61275-2021")</f>
        <v/>
      </c>
      <c r="Z19">
        <f>HYPERLINK("https://klasma.github.io/Logging_0117/klagomålsmail/A 61275-2021 FSC-klagomål mail.docx", "A 61275-2021")</f>
        <v/>
      </c>
      <c r="AA19">
        <f>HYPERLINK("https://klasma.github.io/Logging_0117/tillsyn/A 61275-2021 tillsynsbegäran.docx", "A 61275-2021")</f>
        <v/>
      </c>
      <c r="AB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46216</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s="2" t="inlineStr">
        <is>
          <t>Dropptaggsvamp
Tallticka</t>
        </is>
      </c>
      <c r="V20">
        <f>HYPERLINK("https://klasma.github.io/Logging_0117/artfynd/A 43308-2024 artfynd.xlsx", "A 43308-2024")</f>
        <v/>
      </c>
      <c r="W20">
        <f>HYPERLINK("https://klasma.github.io/Logging_0117/kartor/A 43308-2024 karta.png", "A 43308-2024")</f>
        <v/>
      </c>
      <c r="Y20">
        <f>HYPERLINK("https://klasma.github.io/Logging_0117/klagomål/A 43308-2024 FSC-klagomål.docx", "A 43308-2024")</f>
        <v/>
      </c>
      <c r="Z20">
        <f>HYPERLINK("https://klasma.github.io/Logging_0117/klagomålsmail/A 43308-2024 FSC-klagomål mail.docx", "A 43308-2024")</f>
        <v/>
      </c>
      <c r="AA20">
        <f>HYPERLINK("https://klasma.github.io/Logging_0117/tillsyn/A 43308-2024 tillsynsbegäran.docx", "A 43308-2024")</f>
        <v/>
      </c>
      <c r="AB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46216</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s="2" t="inlineStr">
        <is>
          <t>Tallticka
Blåmossa</t>
        </is>
      </c>
      <c r="V21">
        <f>HYPERLINK("https://klasma.github.io/Logging_0117/artfynd/A 30949-2024 artfynd.xlsx", "A 30949-2024")</f>
        <v/>
      </c>
      <c r="W21">
        <f>HYPERLINK("https://klasma.github.io/Logging_0117/kartor/A 30949-2024 karta.png", "A 30949-2024")</f>
        <v/>
      </c>
      <c r="Y21">
        <f>HYPERLINK("https://klasma.github.io/Logging_0117/klagomål/A 30949-2024 FSC-klagomål.docx", "A 30949-2024")</f>
        <v/>
      </c>
      <c r="Z21">
        <f>HYPERLINK("https://klasma.github.io/Logging_0117/klagomålsmail/A 30949-2024 FSC-klagomål mail.docx", "A 30949-2024")</f>
        <v/>
      </c>
      <c r="AA21">
        <f>HYPERLINK("https://klasma.github.io/Logging_0117/tillsyn/A 30949-2024 tillsynsbegäran.docx", "A 30949-2024")</f>
        <v/>
      </c>
      <c r="AB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46216</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s="2" t="inlineStr">
        <is>
          <t>Aspgelélav
Dvärgtufs</t>
        </is>
      </c>
      <c r="V22">
        <f>HYPERLINK("https://klasma.github.io/Logging_0117/artfynd/A 31575-2022 artfynd.xlsx", "A 31575-2022")</f>
        <v/>
      </c>
      <c r="W22">
        <f>HYPERLINK("https://klasma.github.io/Logging_0117/kartor/A 31575-2022 karta.png", "A 31575-2022")</f>
        <v/>
      </c>
      <c r="Y22">
        <f>HYPERLINK("https://klasma.github.io/Logging_0117/klagomål/A 31575-2022 FSC-klagomål.docx", "A 31575-2022")</f>
        <v/>
      </c>
      <c r="Z22">
        <f>HYPERLINK("https://klasma.github.io/Logging_0117/klagomålsmail/A 31575-2022 FSC-klagomål mail.docx", "A 31575-2022")</f>
        <v/>
      </c>
      <c r="AA22">
        <f>HYPERLINK("https://klasma.github.io/Logging_0117/tillsyn/A 31575-2022 tillsynsbegäran.docx", "A 31575-2022")</f>
        <v/>
      </c>
      <c r="AB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46216</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s="2" t="inlineStr">
        <is>
          <t>Gulvit blekspik</t>
        </is>
      </c>
      <c r="V23">
        <f>HYPERLINK("https://klasma.github.io/Logging_0117/artfynd/A 61323-2022 artfynd.xlsx", "A 61323-2022")</f>
        <v/>
      </c>
      <c r="W23">
        <f>HYPERLINK("https://klasma.github.io/Logging_0117/kartor/A 61323-2022 karta.png", "A 61323-2022")</f>
        <v/>
      </c>
      <c r="Y23">
        <f>HYPERLINK("https://klasma.github.io/Logging_0117/klagomål/A 61323-2022 FSC-klagomål.docx", "A 61323-2022")</f>
        <v/>
      </c>
      <c r="Z23">
        <f>HYPERLINK("https://klasma.github.io/Logging_0117/klagomålsmail/A 61323-2022 FSC-klagomål mail.docx", "A 61323-2022")</f>
        <v/>
      </c>
      <c r="AA23">
        <f>HYPERLINK("https://klasma.github.io/Logging_0117/tillsyn/A 61323-2022 tillsynsbegäran.docx", "A 61323-2022")</f>
        <v/>
      </c>
      <c r="AB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46216</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s="2" t="inlineStr">
        <is>
          <t>Revlummer</t>
        </is>
      </c>
      <c r="V24">
        <f>HYPERLINK("https://klasma.github.io/Logging_0117/artfynd/A 31716-2025 artfynd.xlsx", "A 31716-2025")</f>
        <v/>
      </c>
      <c r="W24">
        <f>HYPERLINK("https://klasma.github.io/Logging_0117/kartor/A 31716-2025 karta.png", "A 31716-2025")</f>
        <v/>
      </c>
      <c r="Y24">
        <f>HYPERLINK("https://klasma.github.io/Logging_0117/klagomål/A 31716-2025 FSC-klagomål.docx", "A 31716-2025")</f>
        <v/>
      </c>
      <c r="Z24">
        <f>HYPERLINK("https://klasma.github.io/Logging_0117/klagomålsmail/A 31716-2025 FSC-klagomål mail.docx", "A 31716-2025")</f>
        <v/>
      </c>
      <c r="AA24">
        <f>HYPERLINK("https://klasma.github.io/Logging_0117/tillsyn/A 31716-2025 tillsynsbegäran.docx", "A 31716-2025")</f>
        <v/>
      </c>
      <c r="AB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46216</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s="2" t="inlineStr">
        <is>
          <t>Vedticka</t>
        </is>
      </c>
      <c r="V25">
        <f>HYPERLINK("https://klasma.github.io/Logging_0117/artfynd/A 62831-2025 artfynd.xlsx", "A 62831-2025")</f>
        <v/>
      </c>
      <c r="W25">
        <f>HYPERLINK("https://klasma.github.io/Logging_0117/kartor/A 62831-2025 karta.png", "A 62831-2025")</f>
        <v/>
      </c>
      <c r="Y25">
        <f>HYPERLINK("https://klasma.github.io/Logging_0117/klagomål/A 62831-2025 FSC-klagomål.docx", "A 62831-2025")</f>
        <v/>
      </c>
      <c r="Z25">
        <f>HYPERLINK("https://klasma.github.io/Logging_0117/klagomålsmail/A 62831-2025 FSC-klagomål mail.docx", "A 62831-2025")</f>
        <v/>
      </c>
      <c r="AA25">
        <f>HYPERLINK("https://klasma.github.io/Logging_0117/tillsyn/A 62831-2025 tillsynsbegäran.docx", "A 62831-2025")</f>
        <v/>
      </c>
      <c r="AB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46216</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s="2" t="inlineStr">
        <is>
          <t>Mindre hackspett</t>
        </is>
      </c>
      <c r="V26">
        <f>HYPERLINK("https://klasma.github.io/Logging_0117/artfynd/A 67265-2021 artfynd.xlsx", "A 67265-2021")</f>
        <v/>
      </c>
      <c r="W26">
        <f>HYPERLINK("https://klasma.github.io/Logging_0117/kartor/A 67265-2021 karta.png", "A 67265-2021")</f>
        <v/>
      </c>
      <c r="Y26">
        <f>HYPERLINK("https://klasma.github.io/Logging_0117/klagomål/A 67265-2021 FSC-klagomål.docx", "A 67265-2021")</f>
        <v/>
      </c>
      <c r="Z26">
        <f>HYPERLINK("https://klasma.github.io/Logging_0117/klagomålsmail/A 67265-2021 FSC-klagomål mail.docx", "A 67265-2021")</f>
        <v/>
      </c>
      <c r="AA26">
        <f>HYPERLINK("https://klasma.github.io/Logging_0117/tillsyn/A 67265-2021 tillsynsbegäran.docx", "A 67265-2021")</f>
        <v/>
      </c>
      <c r="AB26">
        <f>HYPERLINK("https://klasma.github.io/Logging_0117/tillsynsmail/A 67265-2021 tillsynsbegäran mail.docx", "A 67265-2021")</f>
        <v/>
      </c>
      <c r="AC26">
        <f>HYPERLINK("https://klasma.github.io/Logging_0117/fåglar/A 67265-2021 prioriterade fågelarter.docx", "A 67265-2021")</f>
        <v/>
      </c>
    </row>
    <row r="27" ht="15" customHeight="1">
      <c r="A27" t="inlineStr">
        <is>
          <t>A 62839-2025</t>
        </is>
      </c>
      <c r="B27" t="inlineStr">
        <is>
          <t>avverkningsanmälan</t>
        </is>
      </c>
      <c r="C27" t="inlineStr">
        <is>
          <t>Föryngringsavverkning</t>
        </is>
      </c>
      <c r="D27" s="1" t="n">
        <v>46008</v>
      </c>
      <c r="E27" s="1" t="n">
        <v>46216</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s="2" t="inlineStr">
        <is>
          <t>Gullpudra</t>
        </is>
      </c>
      <c r="V27">
        <f>HYPERLINK("https://klasma.github.io/Logging_0117/artfynd/A 62839-2025 artfynd.xlsx", "A 62839-2025")</f>
        <v/>
      </c>
      <c r="W27">
        <f>HYPERLINK("https://klasma.github.io/Logging_0117/kartor/A 62839-2025 karta.png", "A 62839-2025")</f>
        <v/>
      </c>
      <c r="Y27">
        <f>HYPERLINK("https://klasma.github.io/Logging_0117/klagomål/A 62839-2025 FSC-klagomål.docx", "A 62839-2025")</f>
        <v/>
      </c>
      <c r="Z27">
        <f>HYPERLINK("https://klasma.github.io/Logging_0117/klagomålsmail/A 62839-2025 FSC-klagomål mail.docx", "A 62839-2025")</f>
        <v/>
      </c>
      <c r="AA27">
        <f>HYPERLINK("https://klasma.github.io/Logging_0117/tillsyn/A 62839-2025 tillsynsbegäran.docx", "A 62839-2025")</f>
        <v/>
      </c>
      <c r="AB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46216</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s="2" t="inlineStr">
        <is>
          <t>Ask</t>
        </is>
      </c>
      <c r="V28">
        <f>HYPERLINK("https://klasma.github.io/Logging_0117/artfynd/S 5861-2022 artfynd.xlsx", "S 5861-2022")</f>
        <v/>
      </c>
      <c r="W28">
        <f>HYPERLINK("https://klasma.github.io/Logging_0117/kartor/S 5861-2022 karta.png", "S 5861-2022")</f>
        <v/>
      </c>
      <c r="Y28">
        <f>HYPERLINK("https://klasma.github.io/Logging_0117/klagomål/S 5861-2022 FSC-klagomål.docx", "S 5861-2022")</f>
        <v/>
      </c>
      <c r="Z28">
        <f>HYPERLINK("https://klasma.github.io/Logging_0117/klagomålsmail/S 5861-2022 FSC-klagomål mail.docx", "S 5861-2022")</f>
        <v/>
      </c>
      <c r="AA28">
        <f>HYPERLINK("https://klasma.github.io/Logging_0117/tillsyn/S 5861-2022 tillsynsbegäran.docx", "S 5861-2022")</f>
        <v/>
      </c>
      <c r="AB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46216</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s="2" t="inlineStr">
        <is>
          <t>Ädellav</t>
        </is>
      </c>
      <c r="V29">
        <f>HYPERLINK("https://klasma.github.io/Logging_0117/artfynd/S 15-2025 artfynd.xlsx", "S 15-2025")</f>
        <v/>
      </c>
      <c r="W29">
        <f>HYPERLINK("https://klasma.github.io/Logging_0117/kartor/S 15-2025 karta.png", "S 15-2025")</f>
        <v/>
      </c>
      <c r="Y29">
        <f>HYPERLINK("https://klasma.github.io/Logging_0117/klagomål/S 15-2025 FSC-klagomål.docx", "S 15-2025")</f>
        <v/>
      </c>
      <c r="Z29">
        <f>HYPERLINK("https://klasma.github.io/Logging_0117/klagomålsmail/S 15-2025 FSC-klagomål mail.docx", "S 15-2025")</f>
        <v/>
      </c>
      <c r="AA29">
        <f>HYPERLINK("https://klasma.github.io/Logging_0117/tillsyn/S 15-2025 tillsynsbegäran.docx", "S 15-2025")</f>
        <v/>
      </c>
      <c r="AB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46216</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s="2" t="inlineStr"/>
    </row>
    <row r="31" ht="15" customHeight="1">
      <c r="A31" t="inlineStr">
        <is>
          <t>A 1910-2022</t>
        </is>
      </c>
      <c r="B31" t="inlineStr">
        <is>
          <t>avverkningsanmälan</t>
        </is>
      </c>
      <c r="C31" t="inlineStr">
        <is>
          <t>Föryngringsavverkning</t>
        </is>
      </c>
      <c r="D31" s="1" t="n">
        <v>44575</v>
      </c>
      <c r="E31" s="1" t="n">
        <v>46216</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s="2" t="inlineStr"/>
    </row>
    <row r="32" ht="15" customHeight="1">
      <c r="A32" t="inlineStr">
        <is>
          <t>A 72508-2021</t>
        </is>
      </c>
      <c r="B32" t="inlineStr">
        <is>
          <t>avverkningsanmälan</t>
        </is>
      </c>
      <c r="C32" t="inlineStr">
        <is>
          <t>Föryngringsavverkning</t>
        </is>
      </c>
      <c r="D32" s="1" t="n">
        <v>44544</v>
      </c>
      <c r="E32" s="1" t="n">
        <v>46216</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s="2" t="inlineStr"/>
    </row>
    <row r="33" ht="15" customHeight="1">
      <c r="A33" t="inlineStr">
        <is>
          <t>A 15131-2022</t>
        </is>
      </c>
      <c r="B33" t="inlineStr">
        <is>
          <t>avverkningsanmälan</t>
        </is>
      </c>
      <c r="C33" t="inlineStr">
        <is>
          <t>Föryngringsavverkning</t>
        </is>
      </c>
      <c r="D33" s="1" t="n">
        <v>44658</v>
      </c>
      <c r="E33" s="1" t="n">
        <v>46216</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s="2" t="inlineStr"/>
    </row>
    <row r="34" ht="15" customHeight="1">
      <c r="A34" t="inlineStr">
        <is>
          <t>A 19934-2022</t>
        </is>
      </c>
      <c r="B34" t="inlineStr">
        <is>
          <t>avverkningsanmälan</t>
        </is>
      </c>
      <c r="C34" t="inlineStr">
        <is>
          <t>Föryngringsavverkning</t>
        </is>
      </c>
      <c r="D34" s="1" t="n">
        <v>44697</v>
      </c>
      <c r="E34" s="1" t="n">
        <v>46216</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s="2" t="inlineStr"/>
    </row>
    <row r="35" ht="15" customHeight="1">
      <c r="A35" t="inlineStr">
        <is>
          <t>A 19944-2022</t>
        </is>
      </c>
      <c r="B35" t="inlineStr">
        <is>
          <t>avverkningsanmälan</t>
        </is>
      </c>
      <c r="C35" t="inlineStr">
        <is>
          <t>Föryngringsavverkning</t>
        </is>
      </c>
      <c r="D35" s="1" t="n">
        <v>44697</v>
      </c>
      <c r="E35" s="1" t="n">
        <v>46216</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s="2" t="inlineStr"/>
    </row>
    <row r="36" ht="15" customHeight="1">
      <c r="A36" t="inlineStr">
        <is>
          <t>A 865-2022</t>
        </is>
      </c>
      <c r="B36" t="inlineStr">
        <is>
          <t>avverkningsanmälan</t>
        </is>
      </c>
      <c r="C36" t="inlineStr">
        <is>
          <t>Föryngringsavverkning</t>
        </is>
      </c>
      <c r="D36" s="1" t="n">
        <v>44569</v>
      </c>
      <c r="E36" s="1" t="n">
        <v>46216</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s="2" t="inlineStr"/>
    </row>
    <row r="37" ht="15" customHeight="1">
      <c r="A37" t="inlineStr">
        <is>
          <t>A 838-2022</t>
        </is>
      </c>
      <c r="B37" t="inlineStr">
        <is>
          <t>avverkningsanmälan</t>
        </is>
      </c>
      <c r="C37" t="inlineStr">
        <is>
          <t>Föryngringsavverkning</t>
        </is>
      </c>
      <c r="D37" s="1" t="n">
        <v>44569</v>
      </c>
      <c r="E37" s="1" t="n">
        <v>46216</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s="2" t="inlineStr"/>
    </row>
    <row r="38" ht="15" customHeight="1">
      <c r="A38" t="inlineStr">
        <is>
          <t>A 28405-2022</t>
        </is>
      </c>
      <c r="B38" t="inlineStr">
        <is>
          <t>avverkningsanmälan</t>
        </is>
      </c>
      <c r="C38" t="inlineStr">
        <is>
          <t>Föryngringsavverkning</t>
        </is>
      </c>
      <c r="D38" s="1" t="n">
        <v>44747</v>
      </c>
      <c r="E38" s="1" t="n">
        <v>46216</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s="2" t="inlineStr"/>
    </row>
    <row r="39" ht="15" customHeight="1">
      <c r="A39" t="inlineStr">
        <is>
          <t>A 17173-2022</t>
        </is>
      </c>
      <c r="B39" t="inlineStr">
        <is>
          <t>avverkningsanmälan</t>
        </is>
      </c>
      <c r="C39" t="inlineStr">
        <is>
          <t>Föryngringsavverkning</t>
        </is>
      </c>
      <c r="D39" s="1" t="n">
        <v>44677</v>
      </c>
      <c r="E39" s="1" t="n">
        <v>46216</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s="2" t="inlineStr"/>
    </row>
    <row r="40" ht="15" customHeight="1">
      <c r="A40" t="inlineStr">
        <is>
          <t>A 10082-2022</t>
        </is>
      </c>
      <c r="B40" t="inlineStr">
        <is>
          <t>avverkningsanmälan</t>
        </is>
      </c>
      <c r="C40" t="inlineStr">
        <is>
          <t>Föryngringsavverkning</t>
        </is>
      </c>
      <c r="D40" s="1" t="n">
        <v>44621</v>
      </c>
      <c r="E40" s="1" t="n">
        <v>46216</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s="2" t="inlineStr"/>
    </row>
    <row r="41" ht="15" customHeight="1">
      <c r="A41" t="inlineStr">
        <is>
          <t>A 28964-2022</t>
        </is>
      </c>
      <c r="B41" t="inlineStr">
        <is>
          <t>avverkningsanmälan</t>
        </is>
      </c>
      <c r="C41" t="inlineStr">
        <is>
          <t>Föryngringsavverkning</t>
        </is>
      </c>
      <c r="D41" s="1" t="n">
        <v>44749</v>
      </c>
      <c r="E41" s="1" t="n">
        <v>46216</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s="2" t="inlineStr"/>
    </row>
    <row r="42" ht="15" customHeight="1">
      <c r="A42" t="inlineStr">
        <is>
          <t>A 18091-2022</t>
        </is>
      </c>
      <c r="B42" t="inlineStr">
        <is>
          <t>avverkningsanmälan</t>
        </is>
      </c>
      <c r="C42" t="inlineStr">
        <is>
          <t>Föryngringsavverkning</t>
        </is>
      </c>
      <c r="D42" s="1" t="n">
        <v>44684</v>
      </c>
      <c r="E42" s="1" t="n">
        <v>46216</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s="2" t="inlineStr"/>
    </row>
    <row r="43" ht="15" customHeight="1">
      <c r="A43" t="inlineStr">
        <is>
          <t>A 28399-2022</t>
        </is>
      </c>
      <c r="B43" t="inlineStr">
        <is>
          <t>avverkningsanmälan</t>
        </is>
      </c>
      <c r="C43" t="inlineStr">
        <is>
          <t>Föryngringsavverkning</t>
        </is>
      </c>
      <c r="D43" s="1" t="n">
        <v>44747</v>
      </c>
      <c r="E43" s="1" t="n">
        <v>46216</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s="2" t="inlineStr"/>
    </row>
    <row r="44" ht="15" customHeight="1">
      <c r="A44" t="inlineStr">
        <is>
          <t>A 61370-2022</t>
        </is>
      </c>
      <c r="B44" t="inlineStr">
        <is>
          <t>avverkningsanmälan</t>
        </is>
      </c>
      <c r="C44" t="inlineStr">
        <is>
          <t>Föryngringsavverkning</t>
        </is>
      </c>
      <c r="D44" s="1" t="n">
        <v>44915</v>
      </c>
      <c r="E44" s="1" t="n">
        <v>46216</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s="2" t="inlineStr"/>
    </row>
    <row r="45" ht="15" customHeight="1">
      <c r="A45" t="inlineStr">
        <is>
          <t>A 1603-2023</t>
        </is>
      </c>
      <c r="B45" t="inlineStr">
        <is>
          <t>avverkningsanmälan</t>
        </is>
      </c>
      <c r="C45" t="inlineStr">
        <is>
          <t>Föryngringsavverkning</t>
        </is>
      </c>
      <c r="D45" s="1" t="n">
        <v>44937</v>
      </c>
      <c r="E45" s="1" t="n">
        <v>46216</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s="2" t="inlineStr"/>
    </row>
    <row r="46" ht="15" customHeight="1">
      <c r="A46" t="inlineStr">
        <is>
          <t>A 1605-2023</t>
        </is>
      </c>
      <c r="B46" t="inlineStr">
        <is>
          <t>avverkningsanmälan</t>
        </is>
      </c>
      <c r="C46" t="inlineStr">
        <is>
          <t>Föryngringsavverkning</t>
        </is>
      </c>
      <c r="D46" s="1" t="n">
        <v>44937</v>
      </c>
      <c r="E46" s="1" t="n">
        <v>46216</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s="2" t="inlineStr"/>
    </row>
    <row r="47" ht="15" customHeight="1">
      <c r="A47" t="inlineStr">
        <is>
          <t>A 37037-2023</t>
        </is>
      </c>
      <c r="B47" t="inlineStr">
        <is>
          <t>avverkningsanmälan</t>
        </is>
      </c>
      <c r="C47" t="inlineStr">
        <is>
          <t>Föryngringsavverkning</t>
        </is>
      </c>
      <c r="D47" s="1" t="n">
        <v>45155</v>
      </c>
      <c r="E47" s="1" t="n">
        <v>46216</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s="2" t="inlineStr"/>
    </row>
    <row r="48" ht="15" customHeight="1">
      <c r="A48" t="inlineStr">
        <is>
          <t>A 3828-2023</t>
        </is>
      </c>
      <c r="B48" t="inlineStr">
        <is>
          <t>avverkningsanmälan</t>
        </is>
      </c>
      <c r="C48" t="inlineStr">
        <is>
          <t>Föryngringsavverkning</t>
        </is>
      </c>
      <c r="D48" s="1" t="n">
        <v>44951</v>
      </c>
      <c r="E48" s="1" t="n">
        <v>46216</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s="2" t="inlineStr"/>
    </row>
    <row r="49" ht="15" customHeight="1">
      <c r="A49" t="inlineStr">
        <is>
          <t>A 33158-2024</t>
        </is>
      </c>
      <c r="B49" t="inlineStr">
        <is>
          <t>avverkningsanmälan</t>
        </is>
      </c>
      <c r="C49" t="inlineStr">
        <is>
          <t>Avverkning för annat ändamål</t>
        </is>
      </c>
      <c r="D49" s="1" t="n">
        <v>45518</v>
      </c>
      <c r="E49" s="1" t="n">
        <v>46216</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s="2" t="inlineStr"/>
    </row>
    <row r="50" ht="15" customHeight="1">
      <c r="A50" t="inlineStr">
        <is>
          <t>A 27137-2025</t>
        </is>
      </c>
      <c r="B50" t="inlineStr">
        <is>
          <t>avverkningsanmälan</t>
        </is>
      </c>
      <c r="C50" t="inlineStr">
        <is>
          <t>Föryngringsavverkning</t>
        </is>
      </c>
      <c r="D50" s="1" t="n">
        <v>45811</v>
      </c>
      <c r="E50" s="1" t="n">
        <v>46216</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s="2" t="inlineStr"/>
    </row>
    <row r="51" ht="15" customHeight="1">
      <c r="A51" t="inlineStr">
        <is>
          <t>A 17353-2025</t>
        </is>
      </c>
      <c r="B51" t="inlineStr">
        <is>
          <t>avverkningsanmälan</t>
        </is>
      </c>
      <c r="C51" t="inlineStr">
        <is>
          <t>Föryngringsavverkning</t>
        </is>
      </c>
      <c r="D51" s="1" t="n">
        <v>45756</v>
      </c>
      <c r="E51" s="1" t="n">
        <v>46216</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s="2" t="inlineStr"/>
    </row>
    <row r="52" ht="15" customHeight="1">
      <c r="A52" t="inlineStr">
        <is>
          <t>A 61360-2022</t>
        </is>
      </c>
      <c r="B52" t="inlineStr">
        <is>
          <t>avverkningsanmälan</t>
        </is>
      </c>
      <c r="C52" t="inlineStr">
        <is>
          <t>Föryngringsavverkning</t>
        </is>
      </c>
      <c r="D52" s="1" t="n">
        <v>44915</v>
      </c>
      <c r="E52" s="1" t="n">
        <v>46216</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s="2" t="inlineStr"/>
    </row>
    <row r="53" ht="15" customHeight="1">
      <c r="A53" t="inlineStr">
        <is>
          <t>A 34034-2025</t>
        </is>
      </c>
      <c r="B53" t="inlineStr">
        <is>
          <t>avverkningsanmälan</t>
        </is>
      </c>
      <c r="C53" t="inlineStr">
        <is>
          <t>Föryngringsavverkning</t>
        </is>
      </c>
      <c r="D53" s="1" t="n">
        <v>45842</v>
      </c>
      <c r="E53" s="1" t="n">
        <v>46216</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s="2" t="inlineStr"/>
    </row>
    <row r="54" ht="15" customHeight="1">
      <c r="A54" t="inlineStr">
        <is>
          <t>A 16728-2022</t>
        </is>
      </c>
      <c r="B54" t="inlineStr">
        <is>
          <t>avverkningsanmälan</t>
        </is>
      </c>
      <c r="C54" t="inlineStr">
        <is>
          <t>Föryngringsavverkning</t>
        </is>
      </c>
      <c r="D54" s="1" t="n">
        <v>44673</v>
      </c>
      <c r="E54" s="1" t="n">
        <v>46216</v>
      </c>
      <c r="F54" t="inlineStr">
        <is>
          <t>STOCKHOLMS LÄN</t>
        </is>
      </c>
      <c r="G54" t="inlineStr">
        <is>
          <t>ÖSTERÅKER</t>
        </is>
      </c>
      <c r="I54" t="n">
        <v>0.9</v>
      </c>
      <c r="J54" t="n">
        <v>0</v>
      </c>
      <c r="K54" t="n">
        <v>0</v>
      </c>
      <c r="L54" t="n">
        <v>0</v>
      </c>
      <c r="M54" t="n">
        <v>0</v>
      </c>
      <c r="N54" t="n">
        <v>0</v>
      </c>
      <c r="O54" t="n">
        <v>0</v>
      </c>
      <c r="P54" t="n">
        <v>0</v>
      </c>
      <c r="Q54" t="n">
        <v>0</v>
      </c>
      <c r="R54" t="n">
        <v>0</v>
      </c>
      <c r="S54" t="n">
        <v>0</v>
      </c>
      <c r="T54" t="n">
        <v>0</v>
      </c>
      <c r="U54" s="2" t="inlineStr"/>
    </row>
    <row r="55" ht="15" customHeight="1">
      <c r="A55" t="inlineStr">
        <is>
          <t>A 1136-2023</t>
        </is>
      </c>
      <c r="B55" t="inlineStr">
        <is>
          <t>avverkningsanmälan</t>
        </is>
      </c>
      <c r="C55" t="inlineStr">
        <is>
          <t>Avverkning för annat ändamål</t>
        </is>
      </c>
      <c r="D55" s="1" t="n">
        <v>44935</v>
      </c>
      <c r="E55" s="1" t="n">
        <v>46216</v>
      </c>
      <c r="F55" t="inlineStr">
        <is>
          <t>STOCKHOLMS LÄN</t>
        </is>
      </c>
      <c r="G55" t="inlineStr">
        <is>
          <t>ÖSTERÅKER</t>
        </is>
      </c>
      <c r="I55" t="n">
        <v>0.5</v>
      </c>
      <c r="J55" t="n">
        <v>0</v>
      </c>
      <c r="K55" t="n">
        <v>0</v>
      </c>
      <c r="L55" t="n">
        <v>0</v>
      </c>
      <c r="M55" t="n">
        <v>0</v>
      </c>
      <c r="N55" t="n">
        <v>0</v>
      </c>
      <c r="O55" t="n">
        <v>0</v>
      </c>
      <c r="P55" t="n">
        <v>0</v>
      </c>
      <c r="Q55" t="n">
        <v>0</v>
      </c>
      <c r="R55" t="n">
        <v>0</v>
      </c>
      <c r="S55" t="n">
        <v>0</v>
      </c>
      <c r="T55" t="n">
        <v>0</v>
      </c>
      <c r="U55" s="2" t="inlineStr"/>
    </row>
    <row r="56" ht="15" customHeight="1">
      <c r="A56" t="inlineStr">
        <is>
          <t>A 61710-2022</t>
        </is>
      </c>
      <c r="B56" t="inlineStr">
        <is>
          <t>avverkningsanmälan</t>
        </is>
      </c>
      <c r="C56" t="inlineStr">
        <is>
          <t>Föryngringsavverkning</t>
        </is>
      </c>
      <c r="D56" s="1" t="n">
        <v>44917</v>
      </c>
      <c r="E56" s="1" t="n">
        <v>46216</v>
      </c>
      <c r="F56" t="inlineStr">
        <is>
          <t>STOCKHOLMS LÄN</t>
        </is>
      </c>
      <c r="G56" t="inlineStr">
        <is>
          <t>ÖSTERÅKER</t>
        </is>
      </c>
      <c r="I56" t="n">
        <v>6.2</v>
      </c>
      <c r="J56" t="n">
        <v>0</v>
      </c>
      <c r="K56" t="n">
        <v>0</v>
      </c>
      <c r="L56" t="n">
        <v>0</v>
      </c>
      <c r="M56" t="n">
        <v>0</v>
      </c>
      <c r="N56" t="n">
        <v>0</v>
      </c>
      <c r="O56" t="n">
        <v>0</v>
      </c>
      <c r="P56" t="n">
        <v>0</v>
      </c>
      <c r="Q56" t="n">
        <v>0</v>
      </c>
      <c r="R56" t="n">
        <v>0</v>
      </c>
      <c r="S56" t="n">
        <v>0</v>
      </c>
      <c r="T56" t="n">
        <v>0</v>
      </c>
      <c r="U56" s="2" t="inlineStr"/>
    </row>
    <row r="57" ht="15" customHeight="1">
      <c r="A57" t="inlineStr">
        <is>
          <t>A 35819-2025</t>
        </is>
      </c>
      <c r="B57" t="inlineStr">
        <is>
          <t>avverkningsanmälan</t>
        </is>
      </c>
      <c r="C57" t="inlineStr">
        <is>
          <t>Föryngringsavverkning</t>
        </is>
      </c>
      <c r="D57" s="1" t="n">
        <v>45861</v>
      </c>
      <c r="E57" s="1" t="n">
        <v>46216</v>
      </c>
      <c r="F57" t="inlineStr">
        <is>
          <t>STOCKHOLMS LÄN</t>
        </is>
      </c>
      <c r="G57" t="inlineStr">
        <is>
          <t>ÖSTERÅKER</t>
        </is>
      </c>
      <c r="H57" t="inlineStr">
        <is>
          <t>Övriga Aktiebolag</t>
        </is>
      </c>
      <c r="I57" t="n">
        <v>8</v>
      </c>
      <c r="J57" t="n">
        <v>0</v>
      </c>
      <c r="K57" t="n">
        <v>0</v>
      </c>
      <c r="L57" t="n">
        <v>0</v>
      </c>
      <c r="M57" t="n">
        <v>0</v>
      </c>
      <c r="N57" t="n">
        <v>0</v>
      </c>
      <c r="O57" t="n">
        <v>0</v>
      </c>
      <c r="P57" t="n">
        <v>0</v>
      </c>
      <c r="Q57" t="n">
        <v>0</v>
      </c>
      <c r="R57" t="n">
        <v>0</v>
      </c>
      <c r="S57" t="n">
        <v>0</v>
      </c>
      <c r="T57" t="n">
        <v>0</v>
      </c>
      <c r="U57" s="2" t="inlineStr"/>
    </row>
    <row r="58" ht="15" customHeight="1">
      <c r="A58" t="inlineStr">
        <is>
          <t>A 22528-2024</t>
        </is>
      </c>
      <c r="B58" t="inlineStr">
        <is>
          <t>avverkningsanmälan</t>
        </is>
      </c>
      <c r="C58" t="inlineStr">
        <is>
          <t>Föryngringsavverkning</t>
        </is>
      </c>
      <c r="D58" s="1" t="n">
        <v>45447</v>
      </c>
      <c r="E58" s="1" t="n">
        <v>46216</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s="2" t="inlineStr"/>
    </row>
    <row r="59" ht="15" customHeight="1">
      <c r="A59" t="inlineStr">
        <is>
          <t>A 28143-2024</t>
        </is>
      </c>
      <c r="B59" t="inlineStr">
        <is>
          <t>avverkningsanmälan</t>
        </is>
      </c>
      <c r="C59" t="inlineStr">
        <is>
          <t>Föryngringsavverkning</t>
        </is>
      </c>
      <c r="D59" s="1" t="n">
        <v>45476</v>
      </c>
      <c r="E59" s="1" t="n">
        <v>46216</v>
      </c>
      <c r="F59" t="inlineStr">
        <is>
          <t>STOCKHOLMS LÄN</t>
        </is>
      </c>
      <c r="G59" t="inlineStr">
        <is>
          <t>ÖSTERÅKER</t>
        </is>
      </c>
      <c r="H59" t="inlineStr">
        <is>
          <t>Övriga Aktiebolag</t>
        </is>
      </c>
      <c r="I59" t="n">
        <v>2.2</v>
      </c>
      <c r="J59" t="n">
        <v>0</v>
      </c>
      <c r="K59" t="n">
        <v>0</v>
      </c>
      <c r="L59" t="n">
        <v>0</v>
      </c>
      <c r="M59" t="n">
        <v>0</v>
      </c>
      <c r="N59" t="n">
        <v>0</v>
      </c>
      <c r="O59" t="n">
        <v>0</v>
      </c>
      <c r="P59" t="n">
        <v>0</v>
      </c>
      <c r="Q59" t="n">
        <v>0</v>
      </c>
      <c r="R59" t="n">
        <v>0</v>
      </c>
      <c r="S59" t="n">
        <v>0</v>
      </c>
      <c r="T59" t="n">
        <v>0</v>
      </c>
      <c r="U59" s="2" t="inlineStr"/>
    </row>
    <row r="60" ht="15" customHeight="1">
      <c r="A60" t="inlineStr">
        <is>
          <t>A 52220-2025</t>
        </is>
      </c>
      <c r="B60" t="inlineStr">
        <is>
          <t>avverkningsanmälan</t>
        </is>
      </c>
      <c r="C60" t="inlineStr">
        <is>
          <t>Avverkning för annat ändamål</t>
        </is>
      </c>
      <c r="D60" s="1" t="n">
        <v>45953</v>
      </c>
      <c r="E60" s="1" t="n">
        <v>46216</v>
      </c>
      <c r="F60" t="inlineStr">
        <is>
          <t>STOCKHOLMS LÄN</t>
        </is>
      </c>
      <c r="G60" t="inlineStr">
        <is>
          <t>ÖSTERÅKER</t>
        </is>
      </c>
      <c r="I60" t="n">
        <v>0.8</v>
      </c>
      <c r="J60" t="n">
        <v>0</v>
      </c>
      <c r="K60" t="n">
        <v>0</v>
      </c>
      <c r="L60" t="n">
        <v>0</v>
      </c>
      <c r="M60" t="n">
        <v>0</v>
      </c>
      <c r="N60" t="n">
        <v>0</v>
      </c>
      <c r="O60" t="n">
        <v>0</v>
      </c>
      <c r="P60" t="n">
        <v>0</v>
      </c>
      <c r="Q60" t="n">
        <v>0</v>
      </c>
      <c r="R60" t="n">
        <v>0</v>
      </c>
      <c r="S60" t="n">
        <v>0</v>
      </c>
      <c r="T60" t="n">
        <v>0</v>
      </c>
      <c r="U60" s="2" t="inlineStr"/>
    </row>
    <row r="61" ht="15" customHeight="1">
      <c r="A61" t="inlineStr">
        <is>
          <t>A 5038-2026</t>
        </is>
      </c>
      <c r="B61" t="inlineStr">
        <is>
          <t>avverkningsanmälan</t>
        </is>
      </c>
      <c r="C61" t="inlineStr">
        <is>
          <t>Föryngringsavverkning</t>
        </is>
      </c>
      <c r="D61" s="1" t="n">
        <v>46049</v>
      </c>
      <c r="E61" s="1" t="n">
        <v>46216</v>
      </c>
      <c r="F61" t="inlineStr">
        <is>
          <t>STOCKHOLMS LÄN</t>
        </is>
      </c>
      <c r="G61" t="inlineStr">
        <is>
          <t>ÖSTERÅKER</t>
        </is>
      </c>
      <c r="I61" t="n">
        <v>2.1</v>
      </c>
      <c r="J61" t="n">
        <v>0</v>
      </c>
      <c r="K61" t="n">
        <v>0</v>
      </c>
      <c r="L61" t="n">
        <v>0</v>
      </c>
      <c r="M61" t="n">
        <v>0</v>
      </c>
      <c r="N61" t="n">
        <v>0</v>
      </c>
      <c r="O61" t="n">
        <v>0</v>
      </c>
      <c r="P61" t="n">
        <v>0</v>
      </c>
      <c r="Q61" t="n">
        <v>0</v>
      </c>
      <c r="R61" t="n">
        <v>0</v>
      </c>
      <c r="S61" t="n">
        <v>0</v>
      </c>
      <c r="T61" t="n">
        <v>0</v>
      </c>
      <c r="U61" s="2" t="inlineStr"/>
    </row>
    <row r="62" ht="15" customHeight="1">
      <c r="A62" t="inlineStr">
        <is>
          <t>A 14776-2024</t>
        </is>
      </c>
      <c r="B62" t="inlineStr">
        <is>
          <t>avverkningsanmälan</t>
        </is>
      </c>
      <c r="C62" t="inlineStr">
        <is>
          <t>Föryngringsavverkning</t>
        </is>
      </c>
      <c r="D62" s="1" t="n">
        <v>45397</v>
      </c>
      <c r="E62" s="1" t="n">
        <v>46216</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s="2" t="inlineStr"/>
    </row>
    <row r="63" ht="15" customHeight="1">
      <c r="A63" t="inlineStr">
        <is>
          <t>A 39394-2023</t>
        </is>
      </c>
      <c r="B63" t="inlineStr">
        <is>
          <t>avverkningsanmälan</t>
        </is>
      </c>
      <c r="C63" t="inlineStr">
        <is>
          <t>Föryngringsavverkning</t>
        </is>
      </c>
      <c r="D63" s="1" t="n">
        <v>45166</v>
      </c>
      <c r="E63" s="1" t="n">
        <v>46216</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16803-2022</t>
        </is>
      </c>
      <c r="B64" t="inlineStr">
        <is>
          <t>avverkningsanmälan</t>
        </is>
      </c>
      <c r="C64" t="inlineStr">
        <is>
          <t>Föryngringsavverkning</t>
        </is>
      </c>
      <c r="D64" s="1" t="n">
        <v>44673</v>
      </c>
      <c r="E64" s="1" t="n">
        <v>46216</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s="2" t="inlineStr"/>
    </row>
    <row r="65" ht="15" customHeight="1">
      <c r="A65" t="inlineStr">
        <is>
          <t>A 470-2022</t>
        </is>
      </c>
      <c r="B65" t="inlineStr">
        <is>
          <t>avverkningsanmälan</t>
        </is>
      </c>
      <c r="C65" t="inlineStr">
        <is>
          <t>Föryngringsavverkning</t>
        </is>
      </c>
      <c r="D65" s="1" t="n">
        <v>44565</v>
      </c>
      <c r="E65" s="1" t="n">
        <v>46216</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s="2" t="inlineStr"/>
    </row>
    <row r="66" ht="15" customHeight="1">
      <c r="A66" t="inlineStr">
        <is>
          <t>A 12345-2026</t>
        </is>
      </c>
      <c r="B66" t="inlineStr">
        <is>
          <t>avverkningsanmälan</t>
        </is>
      </c>
      <c r="C66" t="inlineStr">
        <is>
          <t>Föryngringsavverkning</t>
        </is>
      </c>
      <c r="D66" s="1" t="n">
        <v>46087</v>
      </c>
      <c r="E66" s="1" t="n">
        <v>46216</v>
      </c>
      <c r="F66" t="inlineStr">
        <is>
          <t>STOCKHOLMS LÄN</t>
        </is>
      </c>
      <c r="G66" t="inlineStr">
        <is>
          <t>ÖSTERÅKER</t>
        </is>
      </c>
      <c r="H66" t="inlineStr">
        <is>
          <t>Övriga Aktiebolag</t>
        </is>
      </c>
      <c r="I66" t="n">
        <v>1.6</v>
      </c>
      <c r="J66" t="n">
        <v>0</v>
      </c>
      <c r="K66" t="n">
        <v>0</v>
      </c>
      <c r="L66" t="n">
        <v>0</v>
      </c>
      <c r="M66" t="n">
        <v>0</v>
      </c>
      <c r="N66" t="n">
        <v>0</v>
      </c>
      <c r="O66" t="n">
        <v>0</v>
      </c>
      <c r="P66" t="n">
        <v>0</v>
      </c>
      <c r="Q66" t="n">
        <v>0</v>
      </c>
      <c r="R66" t="n">
        <v>0</v>
      </c>
      <c r="S66" t="n">
        <v>0</v>
      </c>
      <c r="T66" t="n">
        <v>0</v>
      </c>
      <c r="U66" s="2" t="inlineStr"/>
    </row>
    <row r="67" ht="15" customHeight="1">
      <c r="A67" t="inlineStr">
        <is>
          <t>A 6655-2023</t>
        </is>
      </c>
      <c r="B67" t="inlineStr">
        <is>
          <t>avverkningsanmälan</t>
        </is>
      </c>
      <c r="C67" t="inlineStr">
        <is>
          <t>Föryngringsavverkning</t>
        </is>
      </c>
      <c r="D67" s="1" t="n">
        <v>44966</v>
      </c>
      <c r="E67" s="1" t="n">
        <v>46216</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s="2" t="inlineStr"/>
    </row>
    <row r="68" ht="15" customHeight="1">
      <c r="A68" t="inlineStr">
        <is>
          <t>A 56909-2024</t>
        </is>
      </c>
      <c r="B68" t="inlineStr">
        <is>
          <t>avverkningsanmälan</t>
        </is>
      </c>
      <c r="C68" t="inlineStr">
        <is>
          <t>Avverkning för att bevara och utveckla /försöksver</t>
        </is>
      </c>
      <c r="D68" s="1" t="n">
        <v>45628</v>
      </c>
      <c r="E68" s="1" t="n">
        <v>46216</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845-2024</t>
        </is>
      </c>
      <c r="B69" t="inlineStr">
        <is>
          <t>avverkningsanmälan</t>
        </is>
      </c>
      <c r="C69" t="inlineStr">
        <is>
          <t>Föryngringsavverkning</t>
        </is>
      </c>
      <c r="D69" s="1" t="n">
        <v>45300</v>
      </c>
      <c r="E69" s="1" t="n">
        <v>46216</v>
      </c>
      <c r="F69" t="inlineStr">
        <is>
          <t>STOCKHOLMS LÄN</t>
        </is>
      </c>
      <c r="G69" t="inlineStr">
        <is>
          <t>ÖSTERÅKER</t>
        </is>
      </c>
      <c r="I69" t="n">
        <v>10.1</v>
      </c>
      <c r="J69" t="n">
        <v>0</v>
      </c>
      <c r="K69" t="n">
        <v>0</v>
      </c>
      <c r="L69" t="n">
        <v>0</v>
      </c>
      <c r="M69" t="n">
        <v>0</v>
      </c>
      <c r="N69" t="n">
        <v>0</v>
      </c>
      <c r="O69" t="n">
        <v>0</v>
      </c>
      <c r="P69" t="n">
        <v>0</v>
      </c>
      <c r="Q69" t="n">
        <v>0</v>
      </c>
      <c r="R69" t="n">
        <v>0</v>
      </c>
      <c r="S69" t="n">
        <v>0</v>
      </c>
      <c r="T69" t="n">
        <v>0</v>
      </c>
      <c r="U69" s="2" t="inlineStr"/>
    </row>
    <row r="70" ht="15" customHeight="1">
      <c r="A70" t="inlineStr">
        <is>
          <t>A 34713-2025</t>
        </is>
      </c>
      <c r="B70" t="inlineStr">
        <is>
          <t>avverkningsanmälan</t>
        </is>
      </c>
      <c r="C70" t="inlineStr">
        <is>
          <t>Föryngringsavverkning</t>
        </is>
      </c>
      <c r="D70" s="1" t="n">
        <v>45848</v>
      </c>
      <c r="E70" s="1" t="n">
        <v>46216</v>
      </c>
      <c r="F70" t="inlineStr">
        <is>
          <t>STOCKHOLMS LÄN</t>
        </is>
      </c>
      <c r="G70" t="inlineStr">
        <is>
          <t>ÖSTERÅKER</t>
        </is>
      </c>
      <c r="I70" t="n">
        <v>0.9</v>
      </c>
      <c r="J70" t="n">
        <v>0</v>
      </c>
      <c r="K70" t="n">
        <v>0</v>
      </c>
      <c r="L70" t="n">
        <v>0</v>
      </c>
      <c r="M70" t="n">
        <v>0</v>
      </c>
      <c r="N70" t="n">
        <v>0</v>
      </c>
      <c r="O70" t="n">
        <v>0</v>
      </c>
      <c r="P70" t="n">
        <v>0</v>
      </c>
      <c r="Q70" t="n">
        <v>0</v>
      </c>
      <c r="R70" t="n">
        <v>0</v>
      </c>
      <c r="S70" t="n">
        <v>0</v>
      </c>
      <c r="T70" t="n">
        <v>0</v>
      </c>
      <c r="U70" s="2" t="inlineStr"/>
    </row>
    <row r="71" ht="15" customHeight="1">
      <c r="A71" t="inlineStr">
        <is>
          <t>A 60482-2025</t>
        </is>
      </c>
      <c r="B71" t="inlineStr">
        <is>
          <t>avverkningsanmälan</t>
        </is>
      </c>
      <c r="C71" t="inlineStr">
        <is>
          <t>Föryngringsavverkning</t>
        </is>
      </c>
      <c r="D71" s="1" t="n">
        <v>45995</v>
      </c>
      <c r="E71" s="1" t="n">
        <v>46216</v>
      </c>
      <c r="F71" t="inlineStr">
        <is>
          <t>STOCKHOLMS LÄN</t>
        </is>
      </c>
      <c r="G71" t="inlineStr">
        <is>
          <t>ÖSTERÅKER</t>
        </is>
      </c>
      <c r="I71" t="n">
        <v>1.4</v>
      </c>
      <c r="J71" t="n">
        <v>0</v>
      </c>
      <c r="K71" t="n">
        <v>0</v>
      </c>
      <c r="L71" t="n">
        <v>0</v>
      </c>
      <c r="M71" t="n">
        <v>0</v>
      </c>
      <c r="N71" t="n">
        <v>0</v>
      </c>
      <c r="O71" t="n">
        <v>0</v>
      </c>
      <c r="P71" t="n">
        <v>0</v>
      </c>
      <c r="Q71" t="n">
        <v>0</v>
      </c>
      <c r="R71" t="n">
        <v>0</v>
      </c>
      <c r="S71" t="n">
        <v>0</v>
      </c>
      <c r="T71" t="n">
        <v>0</v>
      </c>
      <c r="U71" s="2" t="inlineStr"/>
    </row>
    <row r="72" ht="15" customHeight="1">
      <c r="A72" t="inlineStr">
        <is>
          <t>A 31134-2023</t>
        </is>
      </c>
      <c r="B72" t="inlineStr">
        <is>
          <t>avverkningsanmälan</t>
        </is>
      </c>
      <c r="C72" t="inlineStr">
        <is>
          <t>Föryngringsavverkning</t>
        </is>
      </c>
      <c r="D72" s="1" t="n">
        <v>45113</v>
      </c>
      <c r="E72" s="1" t="n">
        <v>46216</v>
      </c>
      <c r="F72" t="inlineStr">
        <is>
          <t>STOCKHOLMS LÄN</t>
        </is>
      </c>
      <c r="G72" t="inlineStr">
        <is>
          <t>ÖSTERÅKER</t>
        </is>
      </c>
      <c r="I72" t="n">
        <v>2.1</v>
      </c>
      <c r="J72" t="n">
        <v>0</v>
      </c>
      <c r="K72" t="n">
        <v>0</v>
      </c>
      <c r="L72" t="n">
        <v>0</v>
      </c>
      <c r="M72" t="n">
        <v>0</v>
      </c>
      <c r="N72" t="n">
        <v>0</v>
      </c>
      <c r="O72" t="n">
        <v>0</v>
      </c>
      <c r="P72" t="n">
        <v>0</v>
      </c>
      <c r="Q72" t="n">
        <v>0</v>
      </c>
      <c r="R72" t="n">
        <v>0</v>
      </c>
      <c r="S72" t="n">
        <v>0</v>
      </c>
      <c r="T72" t="n">
        <v>0</v>
      </c>
      <c r="U72" s="2" t="inlineStr"/>
    </row>
    <row r="73" ht="15" customHeight="1">
      <c r="A73" t="inlineStr">
        <is>
          <t>A 21796-2025</t>
        </is>
      </c>
      <c r="B73" t="inlineStr">
        <is>
          <t>avverkningsanmälan</t>
        </is>
      </c>
      <c r="C73" t="inlineStr">
        <is>
          <t>Föryngringsavverkning</t>
        </is>
      </c>
      <c r="D73" s="1" t="n">
        <v>45783</v>
      </c>
      <c r="E73" s="1" t="n">
        <v>46216</v>
      </c>
      <c r="F73" t="inlineStr">
        <is>
          <t>STOCKHOLMS LÄN</t>
        </is>
      </c>
      <c r="G73" t="inlineStr">
        <is>
          <t>ÖSTERÅKER</t>
        </is>
      </c>
      <c r="I73" t="n">
        <v>2.5</v>
      </c>
      <c r="J73" t="n">
        <v>0</v>
      </c>
      <c r="K73" t="n">
        <v>0</v>
      </c>
      <c r="L73" t="n">
        <v>0</v>
      </c>
      <c r="M73" t="n">
        <v>0</v>
      </c>
      <c r="N73" t="n">
        <v>0</v>
      </c>
      <c r="O73" t="n">
        <v>0</v>
      </c>
      <c r="P73" t="n">
        <v>0</v>
      </c>
      <c r="Q73" t="n">
        <v>0</v>
      </c>
      <c r="R73" t="n">
        <v>0</v>
      </c>
      <c r="S73" t="n">
        <v>0</v>
      </c>
      <c r="T73" t="n">
        <v>0</v>
      </c>
      <c r="U73" s="2" t="inlineStr"/>
    </row>
    <row r="74" ht="15" customHeight="1">
      <c r="A74" t="inlineStr">
        <is>
          <t>A 10185-2025</t>
        </is>
      </c>
      <c r="B74" t="inlineStr">
        <is>
          <t>avverkningsanmälan</t>
        </is>
      </c>
      <c r="C74" t="inlineStr">
        <is>
          <t>Föryngringsavverkning</t>
        </is>
      </c>
      <c r="D74" s="1" t="n">
        <v>45719</v>
      </c>
      <c r="E74" s="1" t="n">
        <v>46216</v>
      </c>
      <c r="F74" t="inlineStr">
        <is>
          <t>STOCKHOLMS LÄN</t>
        </is>
      </c>
      <c r="G74" t="inlineStr">
        <is>
          <t>ÖSTERÅKER</t>
        </is>
      </c>
      <c r="I74" t="n">
        <v>4.1</v>
      </c>
      <c r="J74" t="n">
        <v>0</v>
      </c>
      <c r="K74" t="n">
        <v>0</v>
      </c>
      <c r="L74" t="n">
        <v>0</v>
      </c>
      <c r="M74" t="n">
        <v>0</v>
      </c>
      <c r="N74" t="n">
        <v>0</v>
      </c>
      <c r="O74" t="n">
        <v>0</v>
      </c>
      <c r="P74" t="n">
        <v>0</v>
      </c>
      <c r="Q74" t="n">
        <v>0</v>
      </c>
      <c r="R74" t="n">
        <v>0</v>
      </c>
      <c r="S74" t="n">
        <v>0</v>
      </c>
      <c r="T74" t="n">
        <v>0</v>
      </c>
      <c r="U74" s="2" t="inlineStr"/>
    </row>
    <row r="75" ht="15" customHeight="1">
      <c r="A75" t="inlineStr">
        <is>
          <t>A 18711-2023</t>
        </is>
      </c>
      <c r="B75" t="inlineStr">
        <is>
          <t>avverkningsanmälan</t>
        </is>
      </c>
      <c r="C75" t="inlineStr">
        <is>
          <t>Föryngringsavverkning</t>
        </is>
      </c>
      <c r="D75" s="1" t="n">
        <v>45043</v>
      </c>
      <c r="E75" s="1" t="n">
        <v>46216</v>
      </c>
      <c r="F75" t="inlineStr">
        <is>
          <t>STOCKHOLMS LÄN</t>
        </is>
      </c>
      <c r="G75" t="inlineStr">
        <is>
          <t>ÖSTERÅKER</t>
        </is>
      </c>
      <c r="I75" t="n">
        <v>3</v>
      </c>
      <c r="J75" t="n">
        <v>0</v>
      </c>
      <c r="K75" t="n">
        <v>0</v>
      </c>
      <c r="L75" t="n">
        <v>0</v>
      </c>
      <c r="M75" t="n">
        <v>0</v>
      </c>
      <c r="N75" t="n">
        <v>0</v>
      </c>
      <c r="O75" t="n">
        <v>0</v>
      </c>
      <c r="P75" t="n">
        <v>0</v>
      </c>
      <c r="Q75" t="n">
        <v>0</v>
      </c>
      <c r="R75" t="n">
        <v>0</v>
      </c>
      <c r="S75" t="n">
        <v>0</v>
      </c>
      <c r="T75" t="n">
        <v>0</v>
      </c>
      <c r="U75" s="2" t="inlineStr"/>
    </row>
    <row r="76" ht="15" customHeight="1">
      <c r="A76" t="inlineStr">
        <is>
          <t>A 23144-2024</t>
        </is>
      </c>
      <c r="B76" t="inlineStr">
        <is>
          <t>avverkningsanmälan</t>
        </is>
      </c>
      <c r="C76" t="inlineStr">
        <is>
          <t>Föryngringsavverkning</t>
        </is>
      </c>
      <c r="D76" s="1" t="n">
        <v>45450</v>
      </c>
      <c r="E76" s="1" t="n">
        <v>46216</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s="2" t="inlineStr"/>
    </row>
    <row r="77" ht="15" customHeight="1">
      <c r="A77" t="inlineStr">
        <is>
          <t>A 26249-2026</t>
        </is>
      </c>
      <c r="B77" t="inlineStr">
        <is>
          <t>avverkningsanmälan</t>
        </is>
      </c>
      <c r="C77" t="inlineStr">
        <is>
          <t>Avverkning för annat ändamål</t>
        </is>
      </c>
      <c r="D77" s="1" t="n">
        <v>46182</v>
      </c>
      <c r="E77" s="1" t="n">
        <v>46216</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s="2" t="inlineStr"/>
    </row>
    <row r="78" ht="15" customHeight="1">
      <c r="A78" t="inlineStr">
        <is>
          <t>A 24499-2023</t>
        </is>
      </c>
      <c r="B78" t="inlineStr">
        <is>
          <t>avverkningsanmälan</t>
        </is>
      </c>
      <c r="C78" t="inlineStr">
        <is>
          <t>Föryngringsavverkning</t>
        </is>
      </c>
      <c r="D78" s="1" t="n">
        <v>45082</v>
      </c>
      <c r="E78" s="1" t="n">
        <v>46216</v>
      </c>
      <c r="F78" t="inlineStr">
        <is>
          <t>STOCKHOLMS LÄN</t>
        </is>
      </c>
      <c r="G78" t="inlineStr">
        <is>
          <t>ÖSTERÅKER</t>
        </is>
      </c>
      <c r="I78" t="n">
        <v>0.1</v>
      </c>
      <c r="J78" t="n">
        <v>0</v>
      </c>
      <c r="K78" t="n">
        <v>0</v>
      </c>
      <c r="L78" t="n">
        <v>0</v>
      </c>
      <c r="M78" t="n">
        <v>0</v>
      </c>
      <c r="N78" t="n">
        <v>0</v>
      </c>
      <c r="O78" t="n">
        <v>0</v>
      </c>
      <c r="P78" t="n">
        <v>0</v>
      </c>
      <c r="Q78" t="n">
        <v>0</v>
      </c>
      <c r="R78" t="n">
        <v>0</v>
      </c>
      <c r="S78" t="n">
        <v>0</v>
      </c>
      <c r="T78" t="n">
        <v>0</v>
      </c>
      <c r="U78" s="2" t="inlineStr"/>
    </row>
    <row r="79" ht="15" customHeight="1">
      <c r="A79" t="inlineStr">
        <is>
          <t>A 17263-2022</t>
        </is>
      </c>
      <c r="B79" t="inlineStr">
        <is>
          <t>avverkningsanmälan</t>
        </is>
      </c>
      <c r="C79" t="inlineStr">
        <is>
          <t>Föryngringsavverkning</t>
        </is>
      </c>
      <c r="D79" s="1" t="n">
        <v>44678</v>
      </c>
      <c r="E79" s="1" t="n">
        <v>46216</v>
      </c>
      <c r="F79" t="inlineStr">
        <is>
          <t>STOCKHOLMS LÄN</t>
        </is>
      </c>
      <c r="G79" t="inlineStr">
        <is>
          <t>ÖSTERÅKER</t>
        </is>
      </c>
      <c r="I79" t="n">
        <v>2.4</v>
      </c>
      <c r="J79" t="n">
        <v>0</v>
      </c>
      <c r="K79" t="n">
        <v>0</v>
      </c>
      <c r="L79" t="n">
        <v>0</v>
      </c>
      <c r="M79" t="n">
        <v>0</v>
      </c>
      <c r="N79" t="n">
        <v>0</v>
      </c>
      <c r="O79" t="n">
        <v>0</v>
      </c>
      <c r="P79" t="n">
        <v>0</v>
      </c>
      <c r="Q79" t="n">
        <v>0</v>
      </c>
      <c r="R79" t="n">
        <v>0</v>
      </c>
      <c r="S79" t="n">
        <v>0</v>
      </c>
      <c r="T79" t="n">
        <v>0</v>
      </c>
      <c r="U79" s="2" t="inlineStr"/>
    </row>
    <row r="80" ht="15" customHeight="1">
      <c r="A80" t="inlineStr">
        <is>
          <t>A 28146-2024</t>
        </is>
      </c>
      <c r="B80" t="inlineStr">
        <is>
          <t>avverkningsanmälan</t>
        </is>
      </c>
      <c r="C80" t="inlineStr">
        <is>
          <t>Föryngringsavverkning</t>
        </is>
      </c>
      <c r="D80" s="1" t="n">
        <v>45476</v>
      </c>
      <c r="E80" s="1" t="n">
        <v>46216</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s="2" t="inlineStr"/>
    </row>
    <row r="81" ht="15" customHeight="1">
      <c r="A81" t="inlineStr">
        <is>
          <t>A 57048-2024</t>
        </is>
      </c>
      <c r="B81" t="inlineStr">
        <is>
          <t>avverkningsanmälan</t>
        </is>
      </c>
      <c r="C81" t="inlineStr">
        <is>
          <t>Föryngringsavverkning</t>
        </is>
      </c>
      <c r="D81" s="1" t="n">
        <v>45629</v>
      </c>
      <c r="E81" s="1" t="n">
        <v>46216</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s="2" t="inlineStr"/>
    </row>
    <row r="82" ht="15" customHeight="1">
      <c r="A82" t="inlineStr">
        <is>
          <t>A 5286-2025</t>
        </is>
      </c>
      <c r="B82" t="inlineStr">
        <is>
          <t>avverkningsanmälan</t>
        </is>
      </c>
      <c r="C82" t="inlineStr">
        <is>
          <t>Föryngringsavverkning</t>
        </is>
      </c>
      <c r="D82" s="1" t="n">
        <v>45692</v>
      </c>
      <c r="E82" s="1" t="n">
        <v>46216</v>
      </c>
      <c r="F82" t="inlineStr">
        <is>
          <t>STOCKHOLMS LÄN</t>
        </is>
      </c>
      <c r="G82" t="inlineStr">
        <is>
          <t>ÖSTERÅKER</t>
        </is>
      </c>
      <c r="I82" t="n">
        <v>11.2</v>
      </c>
      <c r="J82" t="n">
        <v>0</v>
      </c>
      <c r="K82" t="n">
        <v>0</v>
      </c>
      <c r="L82" t="n">
        <v>0</v>
      </c>
      <c r="M82" t="n">
        <v>0</v>
      </c>
      <c r="N82" t="n">
        <v>0</v>
      </c>
      <c r="O82" t="n">
        <v>0</v>
      </c>
      <c r="P82" t="n">
        <v>0</v>
      </c>
      <c r="Q82" t="n">
        <v>0</v>
      </c>
      <c r="R82" t="n">
        <v>0</v>
      </c>
      <c r="S82" t="n">
        <v>0</v>
      </c>
      <c r="T82" t="n">
        <v>0</v>
      </c>
      <c r="U82" s="2" t="inlineStr"/>
    </row>
    <row r="83" ht="15" customHeight="1">
      <c r="A83" t="inlineStr">
        <is>
          <t>A 3817-2023</t>
        </is>
      </c>
      <c r="B83" t="inlineStr">
        <is>
          <t>avverkningsanmälan</t>
        </is>
      </c>
      <c r="C83" t="inlineStr">
        <is>
          <t>Föryngringsavverkning</t>
        </is>
      </c>
      <c r="D83" s="1" t="n">
        <v>44951</v>
      </c>
      <c r="E83" s="1" t="n">
        <v>46216</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s="2" t="inlineStr"/>
    </row>
    <row r="84" ht="15" customHeight="1">
      <c r="A84" t="inlineStr">
        <is>
          <t>A 544-2023</t>
        </is>
      </c>
      <c r="B84" t="inlineStr">
        <is>
          <t>avverkningsanmälan</t>
        </is>
      </c>
      <c r="C84" t="inlineStr">
        <is>
          <t>Avverkning för annat ändamål</t>
        </is>
      </c>
      <c r="D84" s="1" t="n">
        <v>44924</v>
      </c>
      <c r="E84" s="1" t="n">
        <v>46216</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s="2" t="inlineStr"/>
    </row>
    <row r="85" ht="15" customHeight="1">
      <c r="A85" t="inlineStr">
        <is>
          <t>A 3326-2022</t>
        </is>
      </c>
      <c r="B85" t="inlineStr">
        <is>
          <t>avverkningsanmälan</t>
        </is>
      </c>
      <c r="C85" t="inlineStr">
        <is>
          <t>Föryngringsavverkning</t>
        </is>
      </c>
      <c r="D85" s="1" t="n">
        <v>44583</v>
      </c>
      <c r="E85" s="1" t="n">
        <v>46216</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s="2" t="inlineStr"/>
    </row>
    <row r="86" ht="15" customHeight="1">
      <c r="A86" t="inlineStr">
        <is>
          <t>A 13366-2024</t>
        </is>
      </c>
      <c r="B86" t="inlineStr">
        <is>
          <t>avverkningsanmälan</t>
        </is>
      </c>
      <c r="C86" t="inlineStr">
        <is>
          <t>Föryngringsavverkning</t>
        </is>
      </c>
      <c r="D86" s="1" t="n">
        <v>45387</v>
      </c>
      <c r="E86" s="1" t="n">
        <v>46216</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s="2" t="inlineStr"/>
    </row>
    <row r="87" ht="15" customHeight="1">
      <c r="A87" t="inlineStr">
        <is>
          <t>A 34038-2025</t>
        </is>
      </c>
      <c r="B87" t="inlineStr">
        <is>
          <t>avverkningsanmälan</t>
        </is>
      </c>
      <c r="C87" t="inlineStr">
        <is>
          <t>Föryngringsavverkning</t>
        </is>
      </c>
      <c r="D87" s="1" t="n">
        <v>45842</v>
      </c>
      <c r="E87" s="1" t="n">
        <v>46216</v>
      </c>
      <c r="F87" t="inlineStr">
        <is>
          <t>STOCKHOLMS LÄN</t>
        </is>
      </c>
      <c r="G87" t="inlineStr">
        <is>
          <t>ÖSTERÅKER</t>
        </is>
      </c>
      <c r="H87" t="inlineStr">
        <is>
          <t>Övriga Aktiebolag</t>
        </is>
      </c>
      <c r="I87" t="n">
        <v>4.7</v>
      </c>
      <c r="J87" t="n">
        <v>0</v>
      </c>
      <c r="K87" t="n">
        <v>0</v>
      </c>
      <c r="L87" t="n">
        <v>0</v>
      </c>
      <c r="M87" t="n">
        <v>0</v>
      </c>
      <c r="N87" t="n">
        <v>0</v>
      </c>
      <c r="O87" t="n">
        <v>0</v>
      </c>
      <c r="P87" t="n">
        <v>0</v>
      </c>
      <c r="Q87" t="n">
        <v>0</v>
      </c>
      <c r="R87" t="n">
        <v>0</v>
      </c>
      <c r="S87" t="n">
        <v>0</v>
      </c>
      <c r="T87" t="n">
        <v>0</v>
      </c>
      <c r="U87" s="2" t="inlineStr"/>
    </row>
    <row r="88" ht="15" customHeight="1">
      <c r="A88" t="inlineStr">
        <is>
          <t>A 57055-2024</t>
        </is>
      </c>
      <c r="B88" t="inlineStr">
        <is>
          <t>avverkningsanmälan</t>
        </is>
      </c>
      <c r="C88" t="inlineStr">
        <is>
          <t>Föryngringsavverkning</t>
        </is>
      </c>
      <c r="D88" s="1" t="n">
        <v>45629</v>
      </c>
      <c r="E88" s="1" t="n">
        <v>46216</v>
      </c>
      <c r="F88" t="inlineStr">
        <is>
          <t>STOCKHOLMS LÄN</t>
        </is>
      </c>
      <c r="G88" t="inlineStr">
        <is>
          <t>ÖSTERÅKER</t>
        </is>
      </c>
      <c r="I88" t="n">
        <v>0.5</v>
      </c>
      <c r="J88" t="n">
        <v>0</v>
      </c>
      <c r="K88" t="n">
        <v>0</v>
      </c>
      <c r="L88" t="n">
        <v>0</v>
      </c>
      <c r="M88" t="n">
        <v>0</v>
      </c>
      <c r="N88" t="n">
        <v>0</v>
      </c>
      <c r="O88" t="n">
        <v>0</v>
      </c>
      <c r="P88" t="n">
        <v>0</v>
      </c>
      <c r="Q88" t="n">
        <v>0</v>
      </c>
      <c r="R88" t="n">
        <v>0</v>
      </c>
      <c r="S88" t="n">
        <v>0</v>
      </c>
      <c r="T88" t="n">
        <v>0</v>
      </c>
      <c r="U88" s="2" t="inlineStr"/>
    </row>
    <row r="89" ht="15" customHeight="1">
      <c r="A89" t="inlineStr">
        <is>
          <t>A 59379-2022</t>
        </is>
      </c>
      <c r="B89" t="inlineStr">
        <is>
          <t>avverkningsanmälan</t>
        </is>
      </c>
      <c r="C89" t="inlineStr">
        <is>
          <t>Föryngringsavverkning</t>
        </is>
      </c>
      <c r="D89" s="1" t="n">
        <v>44905</v>
      </c>
      <c r="E89" s="1" t="n">
        <v>46216</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s="2" t="inlineStr"/>
    </row>
    <row r="90" ht="15" customHeight="1">
      <c r="A90" t="inlineStr">
        <is>
          <t>A 46688-2022</t>
        </is>
      </c>
      <c r="B90" t="inlineStr">
        <is>
          <t>avverkningsanmälan</t>
        </is>
      </c>
      <c r="C90" t="inlineStr">
        <is>
          <t>Föryngringsavverkning</t>
        </is>
      </c>
      <c r="D90" s="1" t="n">
        <v>44851</v>
      </c>
      <c r="E90" s="1" t="n">
        <v>46216</v>
      </c>
      <c r="F90" t="inlineStr">
        <is>
          <t>STOCKHOLMS LÄN</t>
        </is>
      </c>
      <c r="G90" t="inlineStr">
        <is>
          <t>ÖSTERÅKER</t>
        </is>
      </c>
      <c r="I90" t="n">
        <v>2</v>
      </c>
      <c r="J90" t="n">
        <v>0</v>
      </c>
      <c r="K90" t="n">
        <v>0</v>
      </c>
      <c r="L90" t="n">
        <v>0</v>
      </c>
      <c r="M90" t="n">
        <v>0</v>
      </c>
      <c r="N90" t="n">
        <v>0</v>
      </c>
      <c r="O90" t="n">
        <v>0</v>
      </c>
      <c r="P90" t="n">
        <v>0</v>
      </c>
      <c r="Q90" t="n">
        <v>0</v>
      </c>
      <c r="R90" t="n">
        <v>0</v>
      </c>
      <c r="S90" t="n">
        <v>0</v>
      </c>
      <c r="T90" t="n">
        <v>0</v>
      </c>
      <c r="U90" s="2" t="inlineStr"/>
    </row>
    <row r="91" ht="15" customHeight="1">
      <c r="A91" t="inlineStr">
        <is>
          <t>A 16738-2022</t>
        </is>
      </c>
      <c r="B91" t="inlineStr">
        <is>
          <t>avverkningsanmälan</t>
        </is>
      </c>
      <c r="C91" t="inlineStr">
        <is>
          <t>Avverkning för annat ändamål</t>
        </is>
      </c>
      <c r="D91" s="1" t="n">
        <v>44673</v>
      </c>
      <c r="E91" s="1" t="n">
        <v>46216</v>
      </c>
      <c r="F91" t="inlineStr">
        <is>
          <t>STOCKHOLMS LÄN</t>
        </is>
      </c>
      <c r="G91" t="inlineStr">
        <is>
          <t>ÖSTERÅKER</t>
        </is>
      </c>
      <c r="I91" t="n">
        <v>1.1</v>
      </c>
      <c r="J91" t="n">
        <v>0</v>
      </c>
      <c r="K91" t="n">
        <v>0</v>
      </c>
      <c r="L91" t="n">
        <v>0</v>
      </c>
      <c r="M91" t="n">
        <v>0</v>
      </c>
      <c r="N91" t="n">
        <v>0</v>
      </c>
      <c r="O91" t="n">
        <v>0</v>
      </c>
      <c r="P91" t="n">
        <v>0</v>
      </c>
      <c r="Q91" t="n">
        <v>0</v>
      </c>
      <c r="R91" t="n">
        <v>0</v>
      </c>
      <c r="S91" t="n">
        <v>0</v>
      </c>
      <c r="T91" t="n">
        <v>0</v>
      </c>
      <c r="U91" s="2" t="inlineStr"/>
    </row>
    <row r="92" ht="15" customHeight="1">
      <c r="A92" t="inlineStr">
        <is>
          <t>A 29443-2026</t>
        </is>
      </c>
      <c r="B92" t="inlineStr">
        <is>
          <t>avverkningsanmälan</t>
        </is>
      </c>
      <c r="C92" t="inlineStr">
        <is>
          <t>Föryngringsavverkning</t>
        </is>
      </c>
      <c r="D92" s="1" t="n">
        <v>46203</v>
      </c>
      <c r="E92" s="1" t="n">
        <v>46216</v>
      </c>
      <c r="F92" t="inlineStr">
        <is>
          <t>STOCKHOLMS LÄN</t>
        </is>
      </c>
      <c r="G92" t="inlineStr">
        <is>
          <t>ÖSTERÅKER</t>
        </is>
      </c>
      <c r="I92" t="n">
        <v>13.8</v>
      </c>
      <c r="J92" t="n">
        <v>0</v>
      </c>
      <c r="K92" t="n">
        <v>0</v>
      </c>
      <c r="L92" t="n">
        <v>0</v>
      </c>
      <c r="M92" t="n">
        <v>0</v>
      </c>
      <c r="N92" t="n">
        <v>0</v>
      </c>
      <c r="O92" t="n">
        <v>0</v>
      </c>
      <c r="P92" t="n">
        <v>0</v>
      </c>
      <c r="Q92" t="n">
        <v>0</v>
      </c>
      <c r="R92" t="n">
        <v>0</v>
      </c>
      <c r="S92" t="n">
        <v>0</v>
      </c>
      <c r="T92" t="n">
        <v>0</v>
      </c>
      <c r="U92" s="2" t="inlineStr"/>
    </row>
    <row r="93" ht="15" customHeight="1">
      <c r="A93" t="inlineStr">
        <is>
          <t>A 17196-2022</t>
        </is>
      </c>
      <c r="B93" t="inlineStr">
        <is>
          <t>avverkningsanmälan</t>
        </is>
      </c>
      <c r="C93" t="inlineStr">
        <is>
          <t>Föryngringsavverkning</t>
        </is>
      </c>
      <c r="D93" s="1" t="n">
        <v>44677</v>
      </c>
      <c r="E93" s="1" t="n">
        <v>46216</v>
      </c>
      <c r="F93" t="inlineStr">
        <is>
          <t>STOCKHOLMS LÄN</t>
        </is>
      </c>
      <c r="G93" t="inlineStr">
        <is>
          <t>ÖSTERÅKER</t>
        </is>
      </c>
      <c r="I93" t="n">
        <v>5.9</v>
      </c>
      <c r="J93" t="n">
        <v>0</v>
      </c>
      <c r="K93" t="n">
        <v>0</v>
      </c>
      <c r="L93" t="n">
        <v>0</v>
      </c>
      <c r="M93" t="n">
        <v>0</v>
      </c>
      <c r="N93" t="n">
        <v>0</v>
      </c>
      <c r="O93" t="n">
        <v>0</v>
      </c>
      <c r="P93" t="n">
        <v>0</v>
      </c>
      <c r="Q93" t="n">
        <v>0</v>
      </c>
      <c r="R93" t="n">
        <v>0</v>
      </c>
      <c r="S93" t="n">
        <v>0</v>
      </c>
      <c r="T93" t="n">
        <v>0</v>
      </c>
      <c r="U93" s="2" t="inlineStr"/>
    </row>
    <row r="94" ht="15" customHeight="1">
      <c r="A94" t="inlineStr">
        <is>
          <t>A 3917-2023</t>
        </is>
      </c>
      <c r="B94" t="inlineStr">
        <is>
          <t>avverkningsanmälan</t>
        </is>
      </c>
      <c r="C94" t="inlineStr">
        <is>
          <t>Föryngringsavverkning</t>
        </is>
      </c>
      <c r="D94" s="1" t="n">
        <v>44952</v>
      </c>
      <c r="E94" s="1" t="n">
        <v>46216</v>
      </c>
      <c r="F94" t="inlineStr">
        <is>
          <t>STOCKHOLMS LÄN</t>
        </is>
      </c>
      <c r="G94" t="inlineStr">
        <is>
          <t>ÖSTERÅKER</t>
        </is>
      </c>
      <c r="H94" t="inlineStr">
        <is>
          <t>Kommuner</t>
        </is>
      </c>
      <c r="I94" t="n">
        <v>2.8</v>
      </c>
      <c r="J94" t="n">
        <v>0</v>
      </c>
      <c r="K94" t="n">
        <v>0</v>
      </c>
      <c r="L94" t="n">
        <v>0</v>
      </c>
      <c r="M94" t="n">
        <v>0</v>
      </c>
      <c r="N94" t="n">
        <v>0</v>
      </c>
      <c r="O94" t="n">
        <v>0</v>
      </c>
      <c r="P94" t="n">
        <v>0</v>
      </c>
      <c r="Q94" t="n">
        <v>0</v>
      </c>
      <c r="R94" t="n">
        <v>0</v>
      </c>
      <c r="S94" t="n">
        <v>0</v>
      </c>
      <c r="T94" t="n">
        <v>0</v>
      </c>
      <c r="U94" s="2" t="inlineStr"/>
    </row>
    <row r="95" ht="15" customHeight="1">
      <c r="A95" t="inlineStr">
        <is>
          <t>A 62108-2022</t>
        </is>
      </c>
      <c r="B95" t="inlineStr">
        <is>
          <t>avverkningsanmälan</t>
        </is>
      </c>
      <c r="C95" t="inlineStr">
        <is>
          <t>Föryngringsavverkning</t>
        </is>
      </c>
      <c r="D95" s="1" t="n">
        <v>44920</v>
      </c>
      <c r="E95" s="1" t="n">
        <v>46216</v>
      </c>
      <c r="F95" t="inlineStr">
        <is>
          <t>STOCKHOLMS LÄN</t>
        </is>
      </c>
      <c r="G95" t="inlineStr">
        <is>
          <t>ÖSTERÅKER</t>
        </is>
      </c>
      <c r="I95" t="n">
        <v>1.5</v>
      </c>
      <c r="J95" t="n">
        <v>0</v>
      </c>
      <c r="K95" t="n">
        <v>0</v>
      </c>
      <c r="L95" t="n">
        <v>0</v>
      </c>
      <c r="M95" t="n">
        <v>0</v>
      </c>
      <c r="N95" t="n">
        <v>0</v>
      </c>
      <c r="O95" t="n">
        <v>0</v>
      </c>
      <c r="P95" t="n">
        <v>0</v>
      </c>
      <c r="Q95" t="n">
        <v>0</v>
      </c>
      <c r="R95" t="n">
        <v>0</v>
      </c>
      <c r="S95" t="n">
        <v>0</v>
      </c>
      <c r="T95" t="n">
        <v>0</v>
      </c>
      <c r="U95" s="2" t="inlineStr"/>
    </row>
    <row r="96" ht="15" customHeight="1">
      <c r="A96" t="inlineStr">
        <is>
          <t>A 23198-2026</t>
        </is>
      </c>
      <c r="B96" t="inlineStr">
        <is>
          <t>avverkningsanmälan</t>
        </is>
      </c>
      <c r="C96" t="inlineStr">
        <is>
          <t>Avverkning för annat ändamål</t>
        </is>
      </c>
      <c r="D96" s="1" t="n">
        <v>46161</v>
      </c>
      <c r="E96" s="1" t="n">
        <v>46216</v>
      </c>
      <c r="F96" t="inlineStr">
        <is>
          <t>STOCKHOLMS LÄN</t>
        </is>
      </c>
      <c r="G96" t="inlineStr">
        <is>
          <t>ÖSTERÅKER</t>
        </is>
      </c>
      <c r="I96" t="n">
        <v>0.6</v>
      </c>
      <c r="J96" t="n">
        <v>0</v>
      </c>
      <c r="K96" t="n">
        <v>0</v>
      </c>
      <c r="L96" t="n">
        <v>0</v>
      </c>
      <c r="M96" t="n">
        <v>0</v>
      </c>
      <c r="N96" t="n">
        <v>0</v>
      </c>
      <c r="O96" t="n">
        <v>0</v>
      </c>
      <c r="P96" t="n">
        <v>0</v>
      </c>
      <c r="Q96" t="n">
        <v>0</v>
      </c>
      <c r="R96" t="n">
        <v>0</v>
      </c>
      <c r="S96" t="n">
        <v>0</v>
      </c>
      <c r="T96" t="n">
        <v>0</v>
      </c>
      <c r="U96" s="2" t="inlineStr"/>
    </row>
    <row r="97" ht="15" customHeight="1">
      <c r="A97" t="inlineStr">
        <is>
          <t>A 9865-2025</t>
        </is>
      </c>
      <c r="B97" t="inlineStr">
        <is>
          <t>avverkningsanmälan</t>
        </is>
      </c>
      <c r="C97" t="inlineStr">
        <is>
          <t>Föryngringsavverkning</t>
        </is>
      </c>
      <c r="D97" s="1" t="n">
        <v>45716</v>
      </c>
      <c r="E97" s="1" t="n">
        <v>46216</v>
      </c>
      <c r="F97" t="inlineStr">
        <is>
          <t>STOCKHOLMS LÄN</t>
        </is>
      </c>
      <c r="G97" t="inlineStr">
        <is>
          <t>ÖSTERÅKER</t>
        </is>
      </c>
      <c r="I97" t="n">
        <v>7</v>
      </c>
      <c r="J97" t="n">
        <v>0</v>
      </c>
      <c r="K97" t="n">
        <v>0</v>
      </c>
      <c r="L97" t="n">
        <v>0</v>
      </c>
      <c r="M97" t="n">
        <v>0</v>
      </c>
      <c r="N97" t="n">
        <v>0</v>
      </c>
      <c r="O97" t="n">
        <v>0</v>
      </c>
      <c r="P97" t="n">
        <v>0</v>
      </c>
      <c r="Q97" t="n">
        <v>0</v>
      </c>
      <c r="R97" t="n">
        <v>0</v>
      </c>
      <c r="S97" t="n">
        <v>0</v>
      </c>
      <c r="T97" t="n">
        <v>0</v>
      </c>
      <c r="U97" s="2" t="inlineStr"/>
    </row>
    <row r="98" ht="15" customHeight="1">
      <c r="A98" t="inlineStr">
        <is>
          <t>A 30599-2026</t>
        </is>
      </c>
      <c r="B98" t="inlineStr">
        <is>
          <t>avverkningsanmälan</t>
        </is>
      </c>
      <c r="C98" t="inlineStr">
        <is>
          <t>Föryngringsavverkning</t>
        </is>
      </c>
      <c r="D98" s="1" t="n">
        <v>46210</v>
      </c>
      <c r="E98" s="1" t="n">
        <v>46216</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s="2" t="inlineStr"/>
    </row>
    <row r="99" ht="15" customHeight="1">
      <c r="A99" t="inlineStr">
        <is>
          <t>S 104-2024</t>
        </is>
      </c>
      <c r="B99" t="inlineStr">
        <is>
          <t>samrådsanmälan</t>
        </is>
      </c>
      <c r="C99" t="inlineStr">
        <is>
          <t>Annan skogsbruksåtgärd</t>
        </is>
      </c>
      <c r="D99" s="1" t="n">
        <v>45302</v>
      </c>
      <c r="E99" s="1" t="n">
        <v>46216</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s="2" t="inlineStr"/>
    </row>
    <row r="100">
      <c r="A100" t="inlineStr">
        <is>
          <t>S 156-2024</t>
        </is>
      </c>
      <c r="B100" t="inlineStr">
        <is>
          <t>samrådsanmälan</t>
        </is>
      </c>
      <c r="C100" t="inlineStr">
        <is>
          <t>Annan skogsbruksåtgärd</t>
        </is>
      </c>
      <c r="D100" s="1" t="n">
        <v>45309</v>
      </c>
      <c r="E100" s="1" t="n">
        <v>46216</v>
      </c>
      <c r="F100" t="inlineStr">
        <is>
          <t>STOCKHOLMS LÄN</t>
        </is>
      </c>
      <c r="G100" t="inlineStr">
        <is>
          <t>ÖSTERÅKER</t>
        </is>
      </c>
      <c r="I100" t="n">
        <v>7.2</v>
      </c>
      <c r="J100" t="n">
        <v>0</v>
      </c>
      <c r="K100" t="n">
        <v>0</v>
      </c>
      <c r="L100" t="n">
        <v>0</v>
      </c>
      <c r="M100" t="n">
        <v>0</v>
      </c>
      <c r="N100" t="n">
        <v>0</v>
      </c>
      <c r="O100" t="n">
        <v>0</v>
      </c>
      <c r="P100" t="n">
        <v>0</v>
      </c>
      <c r="Q100" t="n">
        <v>0</v>
      </c>
      <c r="R100" t="n">
        <v>0</v>
      </c>
      <c r="S100" t="n">
        <v>0</v>
      </c>
      <c r="T100" t="n">
        <v>0</v>
      </c>
      <c r="U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2026-07-13T14:53:37Z</dcterms:created>
  <dcterms:modified xmlns:dcterms="http://purl.org/dc/terms/" xmlns:xsi="http://www.w3.org/2001/XMLSchema-instance" xsi:type="dcterms:W3CDTF">2026-07-13T14:53:37Z</dcterms:modified>
</cp:coreProperties>
</file>