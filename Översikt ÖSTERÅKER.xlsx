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45350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45350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  <c r="Z3">
        <f>HYPERLINK("https://klasma.github.io/Logging_0117/fåglar/A 61724-2022 prioriterade fågelarter.docx",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45350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6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Blackticka
Vågticka
Spillkråka
Tallticka
Ullticka
Björksplintborre
Lönnlav
Rostfläck
Stor aspticka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  <c r="Z4">
        <f>HYPERLINK("https://klasma.github.io/Logging_0117/fåglar/A 52356-2023 prioriterade fågelarter.docx",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45350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45350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45350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45350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61363-2022</t>
        </is>
      </c>
      <c r="B9" s="1" t="n">
        <v>44915</v>
      </c>
      <c r="C9" s="1" t="n">
        <v>45350</v>
      </c>
      <c r="D9" t="inlineStr">
        <is>
          <t>STOCKHOLMS LÄN</t>
        </is>
      </c>
      <c r="E9" t="inlineStr">
        <is>
          <t>ÖSTERÅKER</t>
        </is>
      </c>
      <c r="G9" t="n">
        <v>5.3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Skuggblåslav</t>
        </is>
      </c>
      <c r="S9">
        <f>HYPERLINK("https://klasma.github.io/Logging_0117/artfynd/A 61363-2022 artfynd.xlsx", "A 61363-2022")</f>
        <v/>
      </c>
      <c r="T9">
        <f>HYPERLINK("https://klasma.github.io/Logging_0117/kartor/A 61363-2022 karta.png", "A 61363-2022")</f>
        <v/>
      </c>
      <c r="V9">
        <f>HYPERLINK("https://klasma.github.io/Logging_0117/klagomål/A 61363-2022 FSC-klagomål.docx", "A 61363-2022")</f>
        <v/>
      </c>
      <c r="W9">
        <f>HYPERLINK("https://klasma.github.io/Logging_0117/klagomålsmail/A 61363-2022 FSC-klagomål mail.docx", "A 61363-2022")</f>
        <v/>
      </c>
      <c r="X9">
        <f>HYPERLINK("https://klasma.github.io/Logging_0117/tillsyn/A 61363-2022 tillsynsbegäran.docx", "A 61363-2022")</f>
        <v/>
      </c>
      <c r="Y9">
        <f>HYPERLINK("https://klasma.github.io/Logging_0117/tillsynsmail/A 61363-2022 tillsynsbegäran mail.docx", "A 61363-2022")</f>
        <v/>
      </c>
    </row>
    <row r="10" ht="15" customHeight="1">
      <c r="A10" t="inlineStr">
        <is>
          <t>A 63522-2018</t>
        </is>
      </c>
      <c r="B10" s="1" t="n">
        <v>43416</v>
      </c>
      <c r="C10" s="1" t="n">
        <v>45350</v>
      </c>
      <c r="D10" t="inlineStr">
        <is>
          <t>STOCKHOLMS LÄN</t>
        </is>
      </c>
      <c r="E10" t="inlineStr">
        <is>
          <t>ÖSTERÅKER</t>
        </is>
      </c>
      <c r="F10" t="inlineStr">
        <is>
          <t>Kyrkan</t>
        </is>
      </c>
      <c r="G10" t="n">
        <v>21.1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HYPERLINK("https://klasma.github.io/Logging_0117/artfynd/A 63522-2018 artfynd.xlsx", "A 63522-2018")</f>
        <v/>
      </c>
      <c r="T10">
        <f>HYPERLINK("https://klasma.github.io/Logging_0117/kartor/A 63522-2018 karta.png", "A 63522-2018")</f>
        <v/>
      </c>
      <c r="V10">
        <f>HYPERLINK("https://klasma.github.io/Logging_0117/klagomål/A 63522-2018 FSC-klagomål.docx", "A 63522-2018")</f>
        <v/>
      </c>
      <c r="W10">
        <f>HYPERLINK("https://klasma.github.io/Logging_0117/klagomålsmail/A 63522-2018 FSC-klagomål mail.docx", "A 63522-2018")</f>
        <v/>
      </c>
      <c r="X10">
        <f>HYPERLINK("https://klasma.github.io/Logging_0117/tillsyn/A 63522-2018 tillsynsbegäran.docx", "A 63522-2018")</f>
        <v/>
      </c>
      <c r="Y10">
        <f>HYPERLINK("https://klasma.github.io/Logging_0117/tillsynsmail/A 63522-2018 tillsynsbegäran mail.docx", "A 63522-2018")</f>
        <v/>
      </c>
    </row>
    <row r="11" ht="15" customHeight="1">
      <c r="A11" t="inlineStr">
        <is>
          <t>A 13942-2021</t>
        </is>
      </c>
      <c r="B11" s="1" t="n">
        <v>44277</v>
      </c>
      <c r="C11" s="1" t="n">
        <v>45350</v>
      </c>
      <c r="D11" t="inlineStr">
        <is>
          <t>STOCKHOLMS LÄN</t>
        </is>
      </c>
      <c r="E11" t="inlineStr">
        <is>
          <t>ÖSTERÅKER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HYPERLINK("https://klasma.github.io/Logging_0117/artfynd/A 13942-2021 artfynd.xlsx", "A 13942-2021")</f>
        <v/>
      </c>
      <c r="T11">
        <f>HYPERLINK("https://klasma.github.io/Logging_0117/kartor/A 13942-2021 karta.png", "A 13942-2021")</f>
        <v/>
      </c>
      <c r="V11">
        <f>HYPERLINK("https://klasma.github.io/Logging_0117/klagomål/A 13942-2021 FSC-klagomål.docx", "A 13942-2021")</f>
        <v/>
      </c>
      <c r="W11">
        <f>HYPERLINK("https://klasma.github.io/Logging_0117/klagomålsmail/A 13942-2021 FSC-klagomål mail.docx", "A 13942-2021")</f>
        <v/>
      </c>
      <c r="X11">
        <f>HYPERLINK("https://klasma.github.io/Logging_0117/tillsyn/A 13942-2021 tillsynsbegäran.docx", "A 13942-2021")</f>
        <v/>
      </c>
      <c r="Y11">
        <f>HYPERLINK("https://klasma.github.io/Logging_0117/tillsynsmail/A 13942-2021 tillsynsbegäran mail.docx", "A 13942-2021")</f>
        <v/>
      </c>
    </row>
    <row r="12" ht="15" customHeight="1">
      <c r="A12" t="inlineStr">
        <is>
          <t>A 67278-2021</t>
        </is>
      </c>
      <c r="B12" s="1" t="n">
        <v>44523</v>
      </c>
      <c r="C12" s="1" t="n">
        <v>45350</v>
      </c>
      <c r="D12" t="inlineStr">
        <is>
          <t>STOCKHOLMS LÄN</t>
        </is>
      </c>
      <c r="E12" t="inlineStr">
        <is>
          <t>ÖSTERÅKER</t>
        </is>
      </c>
      <c r="F12" t="inlineStr">
        <is>
          <t>Kommuner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HYPERLINK("https://klasma.github.io/Logging_0117/artfynd/A 67278-2021 artfynd.xlsx", "A 67278-2021")</f>
        <v/>
      </c>
      <c r="T12">
        <f>HYPERLINK("https://klasma.github.io/Logging_0117/kartor/A 67278-2021 karta.png", "A 67278-2021")</f>
        <v/>
      </c>
      <c r="V12">
        <f>HYPERLINK("https://klasma.github.io/Logging_0117/klagomål/A 67278-2021 FSC-klagomål.docx", "A 67278-2021")</f>
        <v/>
      </c>
      <c r="W12">
        <f>HYPERLINK("https://klasma.github.io/Logging_0117/klagomålsmail/A 67278-2021 FSC-klagomål mail.docx", "A 67278-2021")</f>
        <v/>
      </c>
      <c r="X12">
        <f>HYPERLINK("https://klasma.github.io/Logging_0117/tillsyn/A 67278-2021 tillsynsbegäran.docx", "A 67278-2021")</f>
        <v/>
      </c>
      <c r="Y12">
        <f>HYPERLINK("https://klasma.github.io/Logging_0117/tillsynsmail/A 67278-2021 tillsynsbegäran mail.docx", "A 67278-2021")</f>
        <v/>
      </c>
    </row>
    <row r="13" ht="15" customHeight="1">
      <c r="A13" t="inlineStr">
        <is>
          <t>A 22172-2022</t>
        </is>
      </c>
      <c r="B13" s="1" t="n">
        <v>44712</v>
      </c>
      <c r="C13" s="1" t="n">
        <v>45350</v>
      </c>
      <c r="D13" t="inlineStr">
        <is>
          <t>STOCKHOLMS LÄN</t>
        </is>
      </c>
      <c r="E13" t="inlineStr">
        <is>
          <t>ÖSTERÅKER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HYPERLINK("https://klasma.github.io/Logging_0117/artfynd/A 22172-2022 artfynd.xlsx", "A 22172-2022")</f>
        <v/>
      </c>
      <c r="T13">
        <f>HYPERLINK("https://klasma.github.io/Logging_0117/kartor/A 22172-2022 karta.png", "A 22172-2022")</f>
        <v/>
      </c>
      <c r="V13">
        <f>HYPERLINK("https://klasma.github.io/Logging_0117/klagomål/A 22172-2022 FSC-klagomål.docx", "A 22172-2022")</f>
        <v/>
      </c>
      <c r="W13">
        <f>HYPERLINK("https://klasma.github.io/Logging_0117/klagomålsmail/A 22172-2022 FSC-klagomål mail.docx", "A 22172-2022")</f>
        <v/>
      </c>
      <c r="X13">
        <f>HYPERLINK("https://klasma.github.io/Logging_0117/tillsyn/A 22172-2022 tillsynsbegäran.docx", "A 22172-2022")</f>
        <v/>
      </c>
      <c r="Y13">
        <f>HYPERLINK("https://klasma.github.io/Logging_0117/tillsynsmail/A 22172-2022 tillsynsbegäran mail.docx", "A 22172-2022")</f>
        <v/>
      </c>
    </row>
    <row r="14" ht="15" customHeight="1">
      <c r="A14" t="inlineStr">
        <is>
          <t>A 61732-2022</t>
        </is>
      </c>
      <c r="B14" s="1" t="n">
        <v>44917</v>
      </c>
      <c r="C14" s="1" t="n">
        <v>45350</v>
      </c>
      <c r="D14" t="inlineStr">
        <is>
          <t>STOCKHOLMS LÄN</t>
        </is>
      </c>
      <c r="E14" t="inlineStr">
        <is>
          <t>ÖSTERÅKER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HYPERLINK("https://klasma.github.io/Logging_0117/artfynd/A 61732-2022 artfynd.xlsx", "A 61732-2022")</f>
        <v/>
      </c>
      <c r="T14">
        <f>HYPERLINK("https://klasma.github.io/Logging_0117/kartor/A 61732-2022 karta.png", "A 61732-2022")</f>
        <v/>
      </c>
      <c r="V14">
        <f>HYPERLINK("https://klasma.github.io/Logging_0117/klagomål/A 61732-2022 FSC-klagomål.docx", "A 61732-2022")</f>
        <v/>
      </c>
      <c r="W14">
        <f>HYPERLINK("https://klasma.github.io/Logging_0117/klagomålsmail/A 61732-2022 FSC-klagomål mail.docx", "A 61732-2022")</f>
        <v/>
      </c>
      <c r="X14">
        <f>HYPERLINK("https://klasma.github.io/Logging_0117/tillsyn/A 61732-2022 tillsynsbegäran.docx", "A 61732-2022")</f>
        <v/>
      </c>
      <c r="Y14">
        <f>HYPERLINK("https://klasma.github.io/Logging_0117/tillsynsmail/A 61732-2022 tillsynsbegäran mail.docx", "A 61732-2022")</f>
        <v/>
      </c>
    </row>
    <row r="15" ht="15" customHeight="1">
      <c r="A15" t="inlineStr">
        <is>
          <t>A 847-2023</t>
        </is>
      </c>
      <c r="B15" s="1" t="n">
        <v>44931</v>
      </c>
      <c r="C15" s="1" t="n">
        <v>45350</v>
      </c>
      <c r="D15" t="inlineStr">
        <is>
          <t>STOCKHOLMS LÄN</t>
        </is>
      </c>
      <c r="E15" t="inlineStr">
        <is>
          <t>ÖSTERÅKER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HYPERLINK("https://klasma.github.io/Logging_0117/artfynd/A 847-2023 artfynd.xlsx", "A 847-2023")</f>
        <v/>
      </c>
      <c r="T15">
        <f>HYPERLINK("https://klasma.github.io/Logging_0117/kartor/A 847-2023 karta.png", "A 847-2023")</f>
        <v/>
      </c>
      <c r="V15">
        <f>HYPERLINK("https://klasma.github.io/Logging_0117/klagomål/A 847-2023 FSC-klagomål.docx", "A 847-2023")</f>
        <v/>
      </c>
      <c r="W15">
        <f>HYPERLINK("https://klasma.github.io/Logging_0117/klagomålsmail/A 847-2023 FSC-klagomål mail.docx", "A 847-2023")</f>
        <v/>
      </c>
      <c r="X15">
        <f>HYPERLINK("https://klasma.github.io/Logging_0117/tillsyn/A 847-2023 tillsynsbegäran.docx", "A 847-2023")</f>
        <v/>
      </c>
      <c r="Y15">
        <f>HYPERLINK("https://klasma.github.io/Logging_0117/tillsynsmail/A 847-2023 tillsynsbegäran mail.docx", "A 847-2023")</f>
        <v/>
      </c>
      <c r="Z15">
        <f>HYPERLINK("https://klasma.github.io/Logging_0117/fåglar/A 847-2023 prioriterade fågelarter.docx", "A 847-2023")</f>
        <v/>
      </c>
    </row>
    <row r="16" ht="15" customHeight="1">
      <c r="A16" t="inlineStr">
        <is>
          <t>A 3919-2023</t>
        </is>
      </c>
      <c r="B16" s="1" t="n">
        <v>44952</v>
      </c>
      <c r="C16" s="1" t="n">
        <v>45350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HYPERLINK("https://klasma.github.io/Logging_0117/artfynd/A 3919-2023 artfynd.xlsx", "A 3919-2023")</f>
        <v/>
      </c>
      <c r="T16">
        <f>HYPERLINK("https://klasma.github.io/Logging_0117/kartor/A 3919-2023 karta.png", "A 3919-2023")</f>
        <v/>
      </c>
      <c r="V16">
        <f>HYPERLINK("https://klasma.github.io/Logging_0117/klagomål/A 3919-2023 FSC-klagomål.docx", "A 3919-2023")</f>
        <v/>
      </c>
      <c r="W16">
        <f>HYPERLINK("https://klasma.github.io/Logging_0117/klagomålsmail/A 3919-2023 FSC-klagomål mail.docx", "A 3919-2023")</f>
        <v/>
      </c>
      <c r="X16">
        <f>HYPERLINK("https://klasma.github.io/Logging_0117/tillsyn/A 3919-2023 tillsynsbegäran.docx", "A 3919-2023")</f>
        <v/>
      </c>
      <c r="Y16">
        <f>HYPERLINK("https://klasma.github.io/Logging_0117/tillsynsmail/A 3919-2023 tillsynsbegäran mail.docx", "A 3919-2023")</f>
        <v/>
      </c>
    </row>
    <row r="17" ht="15" customHeight="1">
      <c r="A17" t="inlineStr">
        <is>
          <t>A 3914-2023</t>
        </is>
      </c>
      <c r="B17" s="1" t="n">
        <v>44952</v>
      </c>
      <c r="C17" s="1" t="n">
        <v>45350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15.3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3914-2023 artfynd.xlsx", "A 3914-2023")</f>
        <v/>
      </c>
      <c r="T17">
        <f>HYPERLINK("https://klasma.github.io/Logging_0117/kartor/A 3914-2023 karta.png", "A 3914-2023")</f>
        <v/>
      </c>
      <c r="V17">
        <f>HYPERLINK("https://klasma.github.io/Logging_0117/klagomål/A 3914-2023 FSC-klagomål.docx", "A 3914-2023")</f>
        <v/>
      </c>
      <c r="W17">
        <f>HYPERLINK("https://klasma.github.io/Logging_0117/klagomålsmail/A 3914-2023 FSC-klagomål mail.docx", "A 3914-2023")</f>
        <v/>
      </c>
      <c r="X17">
        <f>HYPERLINK("https://klasma.github.io/Logging_0117/tillsyn/A 3914-2023 tillsynsbegäran.docx", "A 3914-2023")</f>
        <v/>
      </c>
      <c r="Y17">
        <f>HYPERLINK("https://klasma.github.io/Logging_0117/tillsynsmail/A 3914-2023 tillsynsbegäran mail.docx", "A 3914-2023")</f>
        <v/>
      </c>
    </row>
    <row r="18" ht="15" customHeight="1">
      <c r="A18" t="inlineStr">
        <is>
          <t>A 54110-2018</t>
        </is>
      </c>
      <c r="B18" s="1" t="n">
        <v>43389</v>
      </c>
      <c r="C18" s="1" t="n">
        <v>45350</v>
      </c>
      <c r="D18" t="inlineStr">
        <is>
          <t>STOCKHOLMS LÄN</t>
        </is>
      </c>
      <c r="E18" t="inlineStr">
        <is>
          <t>ÖSTERÅKER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54092-2018</t>
        </is>
      </c>
      <c r="B19" s="1" t="n">
        <v>43389</v>
      </c>
      <c r="C19" s="1" t="n">
        <v>45350</v>
      </c>
      <c r="D19" t="inlineStr">
        <is>
          <t>STOCKHOLMS LÄN</t>
        </is>
      </c>
      <c r="E19" t="inlineStr">
        <is>
          <t>ÖSTERÅKER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72184-2018</t>
        </is>
      </c>
      <c r="B20" s="1" t="n">
        <v>43455</v>
      </c>
      <c r="C20" s="1" t="n">
        <v>45350</v>
      </c>
      <c r="D20" t="inlineStr">
        <is>
          <t>STOCKHOLMS LÄN</t>
        </is>
      </c>
      <c r="E20" t="inlineStr">
        <is>
          <t>ÖSTERÅKER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72255-2018</t>
        </is>
      </c>
      <c r="B21" s="1" t="n">
        <v>43455</v>
      </c>
      <c r="C21" s="1" t="n">
        <v>45350</v>
      </c>
      <c r="D21" t="inlineStr">
        <is>
          <t>STOCKHOLMS LÄN</t>
        </is>
      </c>
      <c r="E21" t="inlineStr">
        <is>
          <t>ÖSTERÅKER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682-2019</t>
        </is>
      </c>
      <c r="B22" s="1" t="n">
        <v>43469</v>
      </c>
      <c r="C22" s="1" t="n">
        <v>45350</v>
      </c>
      <c r="D22" t="inlineStr">
        <is>
          <t>STOCKHOLMS LÄN</t>
        </is>
      </c>
      <c r="E22" t="inlineStr">
        <is>
          <t>ÖSTERÅKER</t>
        </is>
      </c>
      <c r="F22" t="inlineStr">
        <is>
          <t>Övriga Aktiebolag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7892-2019</t>
        </is>
      </c>
      <c r="B23" s="1" t="n">
        <v>43500</v>
      </c>
      <c r="C23" s="1" t="n">
        <v>45350</v>
      </c>
      <c r="D23" t="inlineStr">
        <is>
          <t>STOCKHOLMS LÄN</t>
        </is>
      </c>
      <c r="E23" t="inlineStr">
        <is>
          <t>ÖSTERÅKER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8996-2019</t>
        </is>
      </c>
      <c r="B24" s="1" t="n">
        <v>43503</v>
      </c>
      <c r="C24" s="1" t="n">
        <v>45350</v>
      </c>
      <c r="D24" t="inlineStr">
        <is>
          <t>STOCKHOLMS LÄN</t>
        </is>
      </c>
      <c r="E24" t="inlineStr">
        <is>
          <t>ÖSTERÅKER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19170-2019</t>
        </is>
      </c>
      <c r="B25" s="1" t="n">
        <v>43564</v>
      </c>
      <c r="C25" s="1" t="n">
        <v>45350</v>
      </c>
      <c r="D25" t="inlineStr">
        <is>
          <t>STOCKHOLMS LÄN</t>
        </is>
      </c>
      <c r="E25" t="inlineStr">
        <is>
          <t>ÖSTERÅKER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29973-2019</t>
        </is>
      </c>
      <c r="B26" s="1" t="n">
        <v>43633</v>
      </c>
      <c r="C26" s="1" t="n">
        <v>45350</v>
      </c>
      <c r="D26" t="inlineStr">
        <is>
          <t>STOCKHOLMS LÄN</t>
        </is>
      </c>
      <c r="E26" t="inlineStr">
        <is>
          <t>ÖSTERÅKER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47242-2019</t>
        </is>
      </c>
      <c r="B27" s="1" t="n">
        <v>43721</v>
      </c>
      <c r="C27" s="1" t="n">
        <v>45350</v>
      </c>
      <c r="D27" t="inlineStr">
        <is>
          <t>STOCKHOLMS LÄN</t>
        </is>
      </c>
      <c r="E27" t="inlineStr">
        <is>
          <t>ÖSTERÅKER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48932-2019</t>
        </is>
      </c>
      <c r="B28" s="1" t="n">
        <v>43728</v>
      </c>
      <c r="C28" s="1" t="n">
        <v>45350</v>
      </c>
      <c r="D28" t="inlineStr">
        <is>
          <t>STOCKHOLMS LÄN</t>
        </is>
      </c>
      <c r="E28" t="inlineStr">
        <is>
          <t>ÖSTERÅKER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48906-2019</t>
        </is>
      </c>
      <c r="B29" s="1" t="n">
        <v>43728</v>
      </c>
      <c r="C29" s="1" t="n">
        <v>45350</v>
      </c>
      <c r="D29" t="inlineStr">
        <is>
          <t>STOCKHOLMS LÄN</t>
        </is>
      </c>
      <c r="E29" t="inlineStr">
        <is>
          <t>ÖSTERÅKER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52139-2019</t>
        </is>
      </c>
      <c r="B30" s="1" t="n">
        <v>43742</v>
      </c>
      <c r="C30" s="1" t="n">
        <v>45350</v>
      </c>
      <c r="D30" t="inlineStr">
        <is>
          <t>STOCKHOLMS LÄN</t>
        </is>
      </c>
      <c r="E30" t="inlineStr">
        <is>
          <t>ÖSTERÅKER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68105-2019</t>
        </is>
      </c>
      <c r="B31" s="1" t="n">
        <v>43817</v>
      </c>
      <c r="C31" s="1" t="n">
        <v>45350</v>
      </c>
      <c r="D31" t="inlineStr">
        <is>
          <t>STOCKHOLMS LÄN</t>
        </is>
      </c>
      <c r="E31" t="inlineStr">
        <is>
          <t>ÖSTERÅKER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68121-2019</t>
        </is>
      </c>
      <c r="B32" s="1" t="n">
        <v>43817</v>
      </c>
      <c r="C32" s="1" t="n">
        <v>45350</v>
      </c>
      <c r="D32" t="inlineStr">
        <is>
          <t>STOCKHOLMS LÄN</t>
        </is>
      </c>
      <c r="E32" t="inlineStr">
        <is>
          <t>ÖSTERÅKER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68109-2019</t>
        </is>
      </c>
      <c r="B33" s="1" t="n">
        <v>43817</v>
      </c>
      <c r="C33" s="1" t="n">
        <v>45350</v>
      </c>
      <c r="D33" t="inlineStr">
        <is>
          <t>STOCKHOLMS LÄN</t>
        </is>
      </c>
      <c r="E33" t="inlineStr">
        <is>
          <t>ÖSTERÅKER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68123-2019</t>
        </is>
      </c>
      <c r="B34" s="1" t="n">
        <v>43817</v>
      </c>
      <c r="C34" s="1" t="n">
        <v>45350</v>
      </c>
      <c r="D34" t="inlineStr">
        <is>
          <t>STOCKHOLMS LÄN</t>
        </is>
      </c>
      <c r="E34" t="inlineStr">
        <is>
          <t>ÖSTERÅKER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68122-2019</t>
        </is>
      </c>
      <c r="B35" s="1" t="n">
        <v>43817</v>
      </c>
      <c r="C35" s="1" t="n">
        <v>45350</v>
      </c>
      <c r="D35" t="inlineStr">
        <is>
          <t>STOCKHOLMS LÄN</t>
        </is>
      </c>
      <c r="E35" t="inlineStr">
        <is>
          <t>ÖSTERÅKER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68104-2019</t>
        </is>
      </c>
      <c r="B36" s="1" t="n">
        <v>43817</v>
      </c>
      <c r="C36" s="1" t="n">
        <v>45350</v>
      </c>
      <c r="D36" t="inlineStr">
        <is>
          <t>STOCKHOLMS LÄN</t>
        </is>
      </c>
      <c r="E36" t="inlineStr">
        <is>
          <t>ÖSTERÅKER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5929-2020</t>
        </is>
      </c>
      <c r="B37" s="1" t="n">
        <v>43864</v>
      </c>
      <c r="C37" s="1" t="n">
        <v>45350</v>
      </c>
      <c r="D37" t="inlineStr">
        <is>
          <t>STOCKHOLMS LÄN</t>
        </is>
      </c>
      <c r="E37" t="inlineStr">
        <is>
          <t>ÖSTERÅKER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10764-2020</t>
        </is>
      </c>
      <c r="B38" s="1" t="n">
        <v>43888</v>
      </c>
      <c r="C38" s="1" t="n">
        <v>45350</v>
      </c>
      <c r="D38" t="inlineStr">
        <is>
          <t>STOCKHOLMS LÄN</t>
        </is>
      </c>
      <c r="E38" t="inlineStr">
        <is>
          <t>ÖSTERÅKER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21374-2020</t>
        </is>
      </c>
      <c r="B39" s="1" t="n">
        <v>43955</v>
      </c>
      <c r="C39" s="1" t="n">
        <v>45350</v>
      </c>
      <c r="D39" t="inlineStr">
        <is>
          <t>STOCKHOLMS LÄN</t>
        </is>
      </c>
      <c r="E39" t="inlineStr">
        <is>
          <t>ÖSTERÅKER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6080-2021</t>
        </is>
      </c>
      <c r="B40" s="1" t="n">
        <v>44232</v>
      </c>
      <c r="C40" s="1" t="n">
        <v>45350</v>
      </c>
      <c r="D40" t="inlineStr">
        <is>
          <t>STOCKHOLMS LÄN</t>
        </is>
      </c>
      <c r="E40" t="inlineStr">
        <is>
          <t>ÖSTERÅKER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13118-2021</t>
        </is>
      </c>
      <c r="B41" s="1" t="n">
        <v>44272</v>
      </c>
      <c r="C41" s="1" t="n">
        <v>45350</v>
      </c>
      <c r="D41" t="inlineStr">
        <is>
          <t>STOCKHOLMS LÄN</t>
        </is>
      </c>
      <c r="E41" t="inlineStr">
        <is>
          <t>ÖSTERÅKER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13921-2021</t>
        </is>
      </c>
      <c r="B42" s="1" t="n">
        <v>44277</v>
      </c>
      <c r="C42" s="1" t="n">
        <v>45350</v>
      </c>
      <c r="D42" t="inlineStr">
        <is>
          <t>STOCKHOLMS LÄN</t>
        </is>
      </c>
      <c r="E42" t="inlineStr">
        <is>
          <t>ÖSTERÅKER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18172-2021</t>
        </is>
      </c>
      <c r="B43" s="1" t="n">
        <v>44302</v>
      </c>
      <c r="C43" s="1" t="n">
        <v>45350</v>
      </c>
      <c r="D43" t="inlineStr">
        <is>
          <t>STOCKHOLMS LÄN</t>
        </is>
      </c>
      <c r="E43" t="inlineStr">
        <is>
          <t>ÖSTERÅKER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31075-2021</t>
        </is>
      </c>
      <c r="B44" s="1" t="n">
        <v>44368</v>
      </c>
      <c r="C44" s="1" t="n">
        <v>45350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67244-2021</t>
        </is>
      </c>
      <c r="B45" s="1" t="n">
        <v>44523</v>
      </c>
      <c r="C45" s="1" t="n">
        <v>45350</v>
      </c>
      <c r="D45" t="inlineStr">
        <is>
          <t>STOCKHOLMS LÄN</t>
        </is>
      </c>
      <c r="E45" t="inlineStr">
        <is>
          <t>ÖSTERÅKER</t>
        </is>
      </c>
      <c r="F45" t="inlineStr">
        <is>
          <t>Kommuner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67265-2021</t>
        </is>
      </c>
      <c r="B46" s="1" t="n">
        <v>44523</v>
      </c>
      <c r="C46" s="1" t="n">
        <v>45350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72508-2021</t>
        </is>
      </c>
      <c r="B47" s="1" t="n">
        <v>44544</v>
      </c>
      <c r="C47" s="1" t="n">
        <v>45350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72515-2021</t>
        </is>
      </c>
      <c r="B48" s="1" t="n">
        <v>44546</v>
      </c>
      <c r="C48" s="1" t="n">
        <v>45350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456-2022</t>
        </is>
      </c>
      <c r="B49" s="1" t="n">
        <v>44565</v>
      </c>
      <c r="C49" s="1" t="n">
        <v>45350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470-2022</t>
        </is>
      </c>
      <c r="B50" s="1" t="n">
        <v>44565</v>
      </c>
      <c r="C50" s="1" t="n">
        <v>45350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464-2022</t>
        </is>
      </c>
      <c r="B51" s="1" t="n">
        <v>44565</v>
      </c>
      <c r="C51" s="1" t="n">
        <v>45350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838-2022</t>
        </is>
      </c>
      <c r="B52" s="1" t="n">
        <v>44569</v>
      </c>
      <c r="C52" s="1" t="n">
        <v>45350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865-2022</t>
        </is>
      </c>
      <c r="B53" s="1" t="n">
        <v>44569</v>
      </c>
      <c r="C53" s="1" t="n">
        <v>45350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848-2022</t>
        </is>
      </c>
      <c r="B54" s="1" t="n">
        <v>44569</v>
      </c>
      <c r="C54" s="1" t="n">
        <v>45350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844-2022</t>
        </is>
      </c>
      <c r="B55" s="1" t="n">
        <v>44569</v>
      </c>
      <c r="C55" s="1" t="n">
        <v>45350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1353-2022</t>
        </is>
      </c>
      <c r="B56" s="1" t="n">
        <v>44572</v>
      </c>
      <c r="C56" s="1" t="n">
        <v>45350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1910-2022</t>
        </is>
      </c>
      <c r="B57" s="1" t="n">
        <v>44575</v>
      </c>
      <c r="C57" s="1" t="n">
        <v>45350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2148-2022</t>
        </is>
      </c>
      <c r="B58" s="1" t="n">
        <v>44575</v>
      </c>
      <c r="C58" s="1" t="n">
        <v>45350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2570-2022</t>
        </is>
      </c>
      <c r="B59" s="1" t="n">
        <v>44580</v>
      </c>
      <c r="C59" s="1" t="n">
        <v>45350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3154-2022</t>
        </is>
      </c>
      <c r="B60" s="1" t="n">
        <v>44582</v>
      </c>
      <c r="C60" s="1" t="n">
        <v>45350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3326-2022</t>
        </is>
      </c>
      <c r="B61" s="1" t="n">
        <v>44583</v>
      </c>
      <c r="C61" s="1" t="n">
        <v>45350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7834-2022</t>
        </is>
      </c>
      <c r="B62" s="1" t="n">
        <v>44608</v>
      </c>
      <c r="C62" s="1" t="n">
        <v>45350</v>
      </c>
      <c r="D62" t="inlineStr">
        <is>
          <t>STOCKHOLMS LÄN</t>
        </is>
      </c>
      <c r="E62" t="inlineStr">
        <is>
          <t>ÖSTERÅKER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10082-2022</t>
        </is>
      </c>
      <c r="B63" s="1" t="n">
        <v>44621</v>
      </c>
      <c r="C63" s="1" t="n">
        <v>45350</v>
      </c>
      <c r="D63" t="inlineStr">
        <is>
          <t>STOCKHOLMS LÄN</t>
        </is>
      </c>
      <c r="E63" t="inlineStr">
        <is>
          <t>ÖSTERÅKER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15131-2022</t>
        </is>
      </c>
      <c r="B64" s="1" t="n">
        <v>44658</v>
      </c>
      <c r="C64" s="1" t="n">
        <v>45350</v>
      </c>
      <c r="D64" t="inlineStr">
        <is>
          <t>STOCKHOLMS LÄN</t>
        </is>
      </c>
      <c r="E64" t="inlineStr">
        <is>
          <t>ÖSTERÅKER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16803-2022</t>
        </is>
      </c>
      <c r="B65" s="1" t="n">
        <v>44673</v>
      </c>
      <c r="C65" s="1" t="n">
        <v>45350</v>
      </c>
      <c r="D65" t="inlineStr">
        <is>
          <t>STOCKHOLMS LÄN</t>
        </is>
      </c>
      <c r="E65" t="inlineStr">
        <is>
          <t>ÖSTERÅKER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16789-2022</t>
        </is>
      </c>
      <c r="B66" s="1" t="n">
        <v>44673</v>
      </c>
      <c r="C66" s="1" t="n">
        <v>45350</v>
      </c>
      <c r="D66" t="inlineStr">
        <is>
          <t>STOCKHOLMS LÄN</t>
        </is>
      </c>
      <c r="E66" t="inlineStr">
        <is>
          <t>ÖSTERÅKER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16824-2022</t>
        </is>
      </c>
      <c r="B67" s="1" t="n">
        <v>44673</v>
      </c>
      <c r="C67" s="1" t="n">
        <v>45350</v>
      </c>
      <c r="D67" t="inlineStr">
        <is>
          <t>STOCKHOLMS LÄN</t>
        </is>
      </c>
      <c r="E67" t="inlineStr">
        <is>
          <t>ÖSTERÅKER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16728-2022</t>
        </is>
      </c>
      <c r="B68" s="1" t="n">
        <v>44673</v>
      </c>
      <c r="C68" s="1" t="n">
        <v>45350</v>
      </c>
      <c r="D68" t="inlineStr">
        <is>
          <t>STOCKHOLMS LÄN</t>
        </is>
      </c>
      <c r="E68" t="inlineStr">
        <is>
          <t>ÖSTERÅKER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16738-2022</t>
        </is>
      </c>
      <c r="B69" s="1" t="n">
        <v>44673</v>
      </c>
      <c r="C69" s="1" t="n">
        <v>45350</v>
      </c>
      <c r="D69" t="inlineStr">
        <is>
          <t>STOCKHOLMS LÄN</t>
        </is>
      </c>
      <c r="E69" t="inlineStr">
        <is>
          <t>ÖSTERÅKER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17173-2022</t>
        </is>
      </c>
      <c r="B70" s="1" t="n">
        <v>44677</v>
      </c>
      <c r="C70" s="1" t="n">
        <v>45350</v>
      </c>
      <c r="D70" t="inlineStr">
        <is>
          <t>STOCKHOLMS LÄN</t>
        </is>
      </c>
      <c r="E70" t="inlineStr">
        <is>
          <t>ÖSTERÅKER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17196-2022</t>
        </is>
      </c>
      <c r="B71" s="1" t="n">
        <v>44677</v>
      </c>
      <c r="C71" s="1" t="n">
        <v>45350</v>
      </c>
      <c r="D71" t="inlineStr">
        <is>
          <t>STOCKHOLMS LÄN</t>
        </is>
      </c>
      <c r="E71" t="inlineStr">
        <is>
          <t>ÖSTERÅKER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17184-2022</t>
        </is>
      </c>
      <c r="B72" s="1" t="n">
        <v>44677</v>
      </c>
      <c r="C72" s="1" t="n">
        <v>45350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17263-2022</t>
        </is>
      </c>
      <c r="B73" s="1" t="n">
        <v>44678</v>
      </c>
      <c r="C73" s="1" t="n">
        <v>45350</v>
      </c>
      <c r="D73" t="inlineStr">
        <is>
          <t>STOCKHOLMS LÄN</t>
        </is>
      </c>
      <c r="E73" t="inlineStr">
        <is>
          <t>ÖSTERÅKER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18091-2022</t>
        </is>
      </c>
      <c r="B74" s="1" t="n">
        <v>44684</v>
      </c>
      <c r="C74" s="1" t="n">
        <v>45350</v>
      </c>
      <c r="D74" t="inlineStr">
        <is>
          <t>STOCKHOLMS LÄN</t>
        </is>
      </c>
      <c r="E74" t="inlineStr">
        <is>
          <t>ÖSTERÅKER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19944-2022</t>
        </is>
      </c>
      <c r="B75" s="1" t="n">
        <v>44697</v>
      </c>
      <c r="C75" s="1" t="n">
        <v>45350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19934-2022</t>
        </is>
      </c>
      <c r="B76" s="1" t="n">
        <v>44697</v>
      </c>
      <c r="C76" s="1" t="n">
        <v>45350</v>
      </c>
      <c r="D76" t="inlineStr">
        <is>
          <t>STOCKHOLMS LÄN</t>
        </is>
      </c>
      <c r="E76" t="inlineStr">
        <is>
          <t>ÖSTERÅKER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28399-2022</t>
        </is>
      </c>
      <c r="B77" s="1" t="n">
        <v>44747</v>
      </c>
      <c r="C77" s="1" t="n">
        <v>45350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28405-2022</t>
        </is>
      </c>
      <c r="B78" s="1" t="n">
        <v>44747</v>
      </c>
      <c r="C78" s="1" t="n">
        <v>45350</v>
      </c>
      <c r="D78" t="inlineStr">
        <is>
          <t>STOCKHOLMS LÄN</t>
        </is>
      </c>
      <c r="E78" t="inlineStr">
        <is>
          <t>ÖSTERÅKER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28964-2022</t>
        </is>
      </c>
      <c r="B79" s="1" t="n">
        <v>44749</v>
      </c>
      <c r="C79" s="1" t="n">
        <v>45350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31523-2022</t>
        </is>
      </c>
      <c r="B80" s="1" t="n">
        <v>44775</v>
      </c>
      <c r="C80" s="1" t="n">
        <v>45350</v>
      </c>
      <c r="D80" t="inlineStr">
        <is>
          <t>STOCKHOLMS LÄN</t>
        </is>
      </c>
      <c r="E80" t="inlineStr">
        <is>
          <t>ÖSTERÅKER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45350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45350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45350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45350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45350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45350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45350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45350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45350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45350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45350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45350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45350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45350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45350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45350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45350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45350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45350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45350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45350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45350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45350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45350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45350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45350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45350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45350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45350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45350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45350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45350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45350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45350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45350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45350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2024-02-28T12:32:58Z</dcterms:created>
  <dcterms:modified xmlns:dcterms="http://purl.org/dc/terms/" xmlns:xsi="http://www.w3.org/2001/XMLSchema-instance" xsi:type="dcterms:W3CDTF">2024-02-28T12:32:58Z</dcterms:modified>
</cp:coreProperties>
</file>