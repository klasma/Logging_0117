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46293</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46293</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46293</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31523-2022</t>
        </is>
      </c>
      <c r="B11" t="inlineStr">
        <is>
          <t>avverkningsanmälan</t>
        </is>
      </c>
      <c r="C11" t="inlineStr">
        <is>
          <t>Föryngringsavverkning</t>
        </is>
      </c>
      <c r="D11" s="1" t="n">
        <v>44775</v>
      </c>
      <c r="E11" s="1" t="n">
        <v>46293</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3914-2023</t>
        </is>
      </c>
      <c r="B12" t="inlineStr">
        <is>
          <t>avverkningsanmälan</t>
        </is>
      </c>
      <c r="C12" t="inlineStr">
        <is>
          <t>Föryngringsavverkning</t>
        </is>
      </c>
      <c r="D12" s="1" t="n">
        <v>44952</v>
      </c>
      <c r="E12" s="1" t="n">
        <v>46293</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37244-2024</t>
        </is>
      </c>
      <c r="B13" t="inlineStr">
        <is>
          <t>avverkningsanmälan</t>
        </is>
      </c>
      <c r="C13" t="inlineStr">
        <is>
          <t>Föryngringsavverkning</t>
        </is>
      </c>
      <c r="D13" s="1" t="n">
        <v>45540</v>
      </c>
      <c r="E13" s="1" t="n">
        <v>46293</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27948-2025</t>
        </is>
      </c>
      <c r="B14" t="inlineStr">
        <is>
          <t>avverkningsanmälan</t>
        </is>
      </c>
      <c r="C14" t="inlineStr">
        <is>
          <t>Föryngringsavverkning</t>
        </is>
      </c>
      <c r="D14" s="1" t="n">
        <v>45817</v>
      </c>
      <c r="E14" s="1" t="n">
        <v>46293</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46293</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46293</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54703-2024</t>
        </is>
      </c>
      <c r="B17" t="inlineStr">
        <is>
          <t>avverkningsanmälan</t>
        </is>
      </c>
      <c r="C17" t="inlineStr">
        <is>
          <t>Avverkning för annat ändamål</t>
        </is>
      </c>
      <c r="D17" s="1" t="n">
        <v>45618</v>
      </c>
      <c r="E17" s="1" t="n">
        <v>46293</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61363-2022</t>
        </is>
      </c>
      <c r="B18" t="inlineStr">
        <is>
          <t>avverkningsanmälan</t>
        </is>
      </c>
      <c r="C18" t="inlineStr">
        <is>
          <t>Föryngringsavverkning</t>
        </is>
      </c>
      <c r="D18" s="1" t="n">
        <v>44915</v>
      </c>
      <c r="E18" s="1" t="n">
        <v>46293</v>
      </c>
      <c r="F18" t="inlineStr">
        <is>
          <t>STOCKHOLMS LÄN</t>
        </is>
      </c>
      <c r="G18" t="inlineStr">
        <is>
          <t>ÖSTERÅKER</t>
        </is>
      </c>
      <c r="I18" t="n">
        <v>5.3</v>
      </c>
      <c r="J18" t="n">
        <v>1</v>
      </c>
      <c r="K18" t="n">
        <v>0</v>
      </c>
      <c r="L18" t="n">
        <v>2</v>
      </c>
      <c r="M18" t="n">
        <v>0</v>
      </c>
      <c r="N18" t="n">
        <v>0</v>
      </c>
      <c r="O18" t="n">
        <v>0</v>
      </c>
      <c r="P18" t="n">
        <v>0</v>
      </c>
      <c r="Q18" t="n">
        <v>2</v>
      </c>
      <c r="R18" t="n">
        <v>0</v>
      </c>
      <c r="S18" t="n">
        <v>3</v>
      </c>
      <c r="T18" t="n">
        <v>3</v>
      </c>
      <c r="U18" t="n">
        <v>3</v>
      </c>
      <c r="V18" s="2" t="inlineStr">
        <is>
          <t>Motaggsvamp
Skuggblåslav
Tjäder</t>
        </is>
      </c>
      <c r="W18">
        <f>HYPERLINK("https://klasma.github.io/Logging_0117/artfynd/A 61363-2022 artfynd.xlsx", "A 61363-2022")</f>
        <v/>
      </c>
      <c r="X18">
        <f>HYPERLINK("https://klasma.github.io/Logging_0117/kartor/A 61363-2022 karta.png", "A 61363-2022")</f>
        <v/>
      </c>
      <c r="Y18">
        <f>HYPERLINK("https://klasma.github.io/Logging_0117/kartor_geotiff/A 61363-2022 georefererad karta.tif", "A 61363-2022")</f>
        <v/>
      </c>
      <c r="AA18">
        <f>HYPERLINK("https://klasma.github.io/Logging_0117/klagomål/A 61363-2022 FSC-klagomål.docx", "A 61363-2022")</f>
        <v/>
      </c>
      <c r="AB18">
        <f>HYPERLINK("https://klasma.github.io/Logging_0117/klagomålsmail/A 61363-2022 FSC-klagomål mail.docx", "A 61363-2022")</f>
        <v/>
      </c>
      <c r="AC18">
        <f>HYPERLINK("https://klasma.github.io/Logging_0117/tillsyn/A 61363-2022 tillsynsbegäran.docx", "A 61363-2022")</f>
        <v/>
      </c>
      <c r="AD18">
        <f>HYPERLINK("https://klasma.github.io/Logging_0117/tillsynsmail/A 61363-2022 tillsynsbegäran mail.docx", "A 61363-2022")</f>
        <v/>
      </c>
      <c r="AE18">
        <f>HYPERLINK("https://klasma.github.io/Logging_0117/fåglar/A 61363-2022 prioriterade fågelarter.docx", "A 61363-2022")</f>
        <v/>
      </c>
    </row>
    <row r="19" ht="15" customHeight="1">
      <c r="A19" t="inlineStr">
        <is>
          <t>A 67244-2021</t>
        </is>
      </c>
      <c r="B19" t="inlineStr">
        <is>
          <t>avverkningsanmälan</t>
        </is>
      </c>
      <c r="C19" t="inlineStr">
        <is>
          <t>Avverkning för annat ändamål</t>
        </is>
      </c>
      <c r="D19" s="1" t="n">
        <v>44523</v>
      </c>
      <c r="E19" s="1" t="n">
        <v>46293</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46293</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46293</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31575-2022</t>
        </is>
      </c>
      <c r="B22" t="inlineStr">
        <is>
          <t>avverkningsanmälan</t>
        </is>
      </c>
      <c r="C22" t="inlineStr">
        <is>
          <t>Föryngringsavverkning</t>
        </is>
      </c>
      <c r="D22" s="1" t="n">
        <v>44775</v>
      </c>
      <c r="E22" s="1" t="n">
        <v>46293</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30949-2024</t>
        </is>
      </c>
      <c r="B23" t="inlineStr">
        <is>
          <t>avverkningsanmälan</t>
        </is>
      </c>
      <c r="C23" t="inlineStr">
        <is>
          <t>Föryngringsavverkning</t>
        </is>
      </c>
      <c r="D23" s="1" t="n">
        <v>45499</v>
      </c>
      <c r="E23" s="1" t="n">
        <v>46293</v>
      </c>
      <c r="F23" t="inlineStr">
        <is>
          <t>STOCKHOLMS LÄN</t>
        </is>
      </c>
      <c r="G23" t="inlineStr">
        <is>
          <t>ÖSTERÅKER</t>
        </is>
      </c>
      <c r="H23" t="inlineStr">
        <is>
          <t>Övriga Aktiebolag</t>
        </is>
      </c>
      <c r="I23" t="n">
        <v>3.2</v>
      </c>
      <c r="J23" t="n">
        <v>0</v>
      </c>
      <c r="K23" t="n">
        <v>1</v>
      </c>
      <c r="L23" t="n">
        <v>1</v>
      </c>
      <c r="M23" t="n">
        <v>0</v>
      </c>
      <c r="N23" t="n">
        <v>0</v>
      </c>
      <c r="O23" t="n">
        <v>0</v>
      </c>
      <c r="P23" t="n">
        <v>0</v>
      </c>
      <c r="Q23" t="n">
        <v>1</v>
      </c>
      <c r="R23" t="n">
        <v>0</v>
      </c>
      <c r="S23" t="n">
        <v>2</v>
      </c>
      <c r="T23" t="n">
        <v>2</v>
      </c>
      <c r="U23" t="n">
        <v>0</v>
      </c>
      <c r="V23" s="2" t="inlineStr">
        <is>
          <t>Tallticka
Blåmossa</t>
        </is>
      </c>
      <c r="W23">
        <f>HYPERLINK("https://klasma.github.io/Logging_0117/artfynd/A 30949-2024 artfynd.xlsx", "A 30949-2024")</f>
        <v/>
      </c>
      <c r="X23">
        <f>HYPERLINK("https://klasma.github.io/Logging_0117/kartor/A 30949-2024 karta.png", "A 30949-2024")</f>
        <v/>
      </c>
      <c r="Y23">
        <f>HYPERLINK("https://klasma.github.io/Logging_0117/kartor_geotiff/A 30949-2024 georefererad karta.tif", "A 30949-2024")</f>
        <v/>
      </c>
      <c r="AA23">
        <f>HYPERLINK("https://klasma.github.io/Logging_0117/klagomål/A 30949-2024 FSC-klagomål.docx", "A 30949-2024")</f>
        <v/>
      </c>
      <c r="AB23">
        <f>HYPERLINK("https://klasma.github.io/Logging_0117/klagomålsmail/A 30949-2024 FSC-klagomål mail.docx", "A 30949-2024")</f>
        <v/>
      </c>
      <c r="AC23">
        <f>HYPERLINK("https://klasma.github.io/Logging_0117/tillsyn/A 30949-2024 tillsynsbegäran.docx", "A 30949-2024")</f>
        <v/>
      </c>
      <c r="AD23">
        <f>HYPERLINK("https://klasma.github.io/Logging_0117/tillsynsmail/A 30949-2024 tillsynsbegäran mail.docx", "A 30949-2024")</f>
        <v/>
      </c>
    </row>
    <row r="24" ht="15" customHeight="1">
      <c r="A24" t="inlineStr">
        <is>
          <t>A 61323-2022</t>
        </is>
      </c>
      <c r="B24" t="inlineStr">
        <is>
          <t>avverkningsanmälan</t>
        </is>
      </c>
      <c r="C24" t="inlineStr">
        <is>
          <t>Föryngringsavverkning</t>
        </is>
      </c>
      <c r="D24" s="1" t="n">
        <v>44915</v>
      </c>
      <c r="E24" s="1" t="n">
        <v>46293</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46293</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46293</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31716-2025</t>
        </is>
      </c>
      <c r="B27" t="inlineStr">
        <is>
          <t>avverkningsanmälan</t>
        </is>
      </c>
      <c r="C27" t="inlineStr">
        <is>
          <t>Föryngringsavverkning</t>
        </is>
      </c>
      <c r="D27" s="1" t="n">
        <v>45834</v>
      </c>
      <c r="E27" s="1" t="n">
        <v>46293</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A 67265-2021</t>
        </is>
      </c>
      <c r="B28" t="inlineStr">
        <is>
          <t>avverkningsanmälan</t>
        </is>
      </c>
      <c r="C28" t="inlineStr">
        <is>
          <t>Föryngringsavverkning</t>
        </is>
      </c>
      <c r="D28" s="1" t="n">
        <v>44523</v>
      </c>
      <c r="E28" s="1" t="n">
        <v>46293</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46293</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46293</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46293</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46293</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46293</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46293</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46293</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46293</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46293</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46293</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46293</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46293</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46293</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46293</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46293</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46293</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46293</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46293</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5038-2026</t>
        </is>
      </c>
      <c r="B47" t="inlineStr">
        <is>
          <t>avverkningsanmälan</t>
        </is>
      </c>
      <c r="C47" t="inlineStr">
        <is>
          <t>Föryngringsavverkning</t>
        </is>
      </c>
      <c r="D47" s="1" t="n">
        <v>46049</v>
      </c>
      <c r="E47" s="1" t="n">
        <v>46293</v>
      </c>
      <c r="F47" t="inlineStr">
        <is>
          <t>STOCKHOLMS LÄN</t>
        </is>
      </c>
      <c r="G47" t="inlineStr">
        <is>
          <t>ÖSTERÅKER</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46293</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46293</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46293</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46293</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12345-2026</t>
        </is>
      </c>
      <c r="B52" t="inlineStr">
        <is>
          <t>avverkningsanmälan</t>
        </is>
      </c>
      <c r="C52" t="inlineStr">
        <is>
          <t>Föryngringsavverkning</t>
        </is>
      </c>
      <c r="D52" s="1" t="n">
        <v>46087</v>
      </c>
      <c r="E52" s="1" t="n">
        <v>46293</v>
      </c>
      <c r="F52" t="inlineStr">
        <is>
          <t>STOCKHOLMS LÄN</t>
        </is>
      </c>
      <c r="G52" t="inlineStr">
        <is>
          <t>ÖSTERÅKER</t>
        </is>
      </c>
      <c r="H52" t="inlineStr">
        <is>
          <t>Övriga Aktiebolag</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46293</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46293</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3917-2023</t>
        </is>
      </c>
      <c r="B55" t="inlineStr">
        <is>
          <t>avverkningsanmälan</t>
        </is>
      </c>
      <c r="C55" t="inlineStr">
        <is>
          <t>Föryngringsavverkning</t>
        </is>
      </c>
      <c r="D55" s="1" t="n">
        <v>44952</v>
      </c>
      <c r="E55" s="1" t="n">
        <v>46293</v>
      </c>
      <c r="F55" t="inlineStr">
        <is>
          <t>STOCKHOLMS LÄN</t>
        </is>
      </c>
      <c r="G55" t="inlineStr">
        <is>
          <t>ÖSTERÅKER</t>
        </is>
      </c>
      <c r="H55" t="inlineStr">
        <is>
          <t>Kommuner</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27137-2025</t>
        </is>
      </c>
      <c r="B56" t="inlineStr">
        <is>
          <t>avverkningsanmälan</t>
        </is>
      </c>
      <c r="C56" t="inlineStr">
        <is>
          <t>Föryngringsavverkning</t>
        </is>
      </c>
      <c r="D56" s="1" t="n">
        <v>45811</v>
      </c>
      <c r="E56" s="1" t="n">
        <v>46293</v>
      </c>
      <c r="F56" t="inlineStr">
        <is>
          <t>STOCKHOLMS LÄN</t>
        </is>
      </c>
      <c r="G56" t="inlineStr">
        <is>
          <t>ÖSTERÅKER</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21796-2025</t>
        </is>
      </c>
      <c r="B57" t="inlineStr">
        <is>
          <t>avverkningsanmälan</t>
        </is>
      </c>
      <c r="C57" t="inlineStr">
        <is>
          <t>Föryngringsavverkning</t>
        </is>
      </c>
      <c r="D57" s="1" t="n">
        <v>45783</v>
      </c>
      <c r="E57" s="1" t="n">
        <v>46293</v>
      </c>
      <c r="F57" t="inlineStr">
        <is>
          <t>STOCKHOLMS LÄN</t>
        </is>
      </c>
      <c r="G57" t="inlineStr">
        <is>
          <t>ÖSTERÅKER</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544-2023</t>
        </is>
      </c>
      <c r="B58" t="inlineStr">
        <is>
          <t>avverkningsanmälan</t>
        </is>
      </c>
      <c r="C58" t="inlineStr">
        <is>
          <t>Avverkning för annat ändamål</t>
        </is>
      </c>
      <c r="D58" s="1" t="n">
        <v>44924</v>
      </c>
      <c r="E58" s="1" t="n">
        <v>46293</v>
      </c>
      <c r="F58" t="inlineStr">
        <is>
          <t>STOCKHOLMS LÄN</t>
        </is>
      </c>
      <c r="G58" t="inlineStr">
        <is>
          <t>ÖSTERÅKER</t>
        </is>
      </c>
      <c r="H58" t="inlineStr">
        <is>
          <t>Övriga Aktiebolag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60482-2025</t>
        </is>
      </c>
      <c r="B59" t="inlineStr">
        <is>
          <t>avverkningsanmälan</t>
        </is>
      </c>
      <c r="C59" t="inlineStr">
        <is>
          <t>Föryngringsavverkning</t>
        </is>
      </c>
      <c r="D59" s="1" t="n">
        <v>45995</v>
      </c>
      <c r="E59" s="1" t="n">
        <v>46293</v>
      </c>
      <c r="F59" t="inlineStr">
        <is>
          <t>STOCKHOLMS LÄN</t>
        </is>
      </c>
      <c r="G59" t="inlineStr">
        <is>
          <t>ÖSTERÅKER</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18711-2023</t>
        </is>
      </c>
      <c r="B60" t="inlineStr">
        <is>
          <t>avverkningsanmälan</t>
        </is>
      </c>
      <c r="C60" t="inlineStr">
        <is>
          <t>Föryngringsavverkning</t>
        </is>
      </c>
      <c r="D60" s="1" t="n">
        <v>45043</v>
      </c>
      <c r="E60" s="1" t="n">
        <v>46293</v>
      </c>
      <c r="F60" t="inlineStr">
        <is>
          <t>STOCKHOLMS LÄN</t>
        </is>
      </c>
      <c r="G60" t="inlineStr">
        <is>
          <t>ÖSTERÅKER</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34713-2025</t>
        </is>
      </c>
      <c r="B61" t="inlineStr">
        <is>
          <t>avverkningsanmälan</t>
        </is>
      </c>
      <c r="C61" t="inlineStr">
        <is>
          <t>Föryngringsavverkning</t>
        </is>
      </c>
      <c r="D61" s="1" t="n">
        <v>45848</v>
      </c>
      <c r="E61" s="1" t="n">
        <v>46293</v>
      </c>
      <c r="F61" t="inlineStr">
        <is>
          <t>STOCKHOLMS LÄN</t>
        </is>
      </c>
      <c r="G61" t="inlineStr">
        <is>
          <t>ÖSTERÅKER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23144-2024</t>
        </is>
      </c>
      <c r="B62" t="inlineStr">
        <is>
          <t>avverkningsanmälan</t>
        </is>
      </c>
      <c r="C62" t="inlineStr">
        <is>
          <t>Föryngringsavverkning</t>
        </is>
      </c>
      <c r="D62" s="1" t="n">
        <v>45450</v>
      </c>
      <c r="E62" s="1" t="n">
        <v>46293</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17263-2022</t>
        </is>
      </c>
      <c r="B63" t="inlineStr">
        <is>
          <t>avverkningsanmälan</t>
        </is>
      </c>
      <c r="C63" t="inlineStr">
        <is>
          <t>Föryngringsavverkning</t>
        </is>
      </c>
      <c r="D63" s="1" t="n">
        <v>44678</v>
      </c>
      <c r="E63" s="1" t="n">
        <v>46293</v>
      </c>
      <c r="F63" t="inlineStr">
        <is>
          <t>STOCKHOLMS LÄN</t>
        </is>
      </c>
      <c r="G63" t="inlineStr">
        <is>
          <t>ÖSTERÅKER</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470-2022</t>
        </is>
      </c>
      <c r="B64" t="inlineStr">
        <is>
          <t>avverkningsanmälan</t>
        </is>
      </c>
      <c r="C64" t="inlineStr">
        <is>
          <t>Föryngringsavverkning</t>
        </is>
      </c>
      <c r="D64" s="1" t="n">
        <v>44565</v>
      </c>
      <c r="E64" s="1" t="n">
        <v>46293</v>
      </c>
      <c r="F64" t="inlineStr">
        <is>
          <t>STOCKHOLMS LÄN</t>
        </is>
      </c>
      <c r="G64" t="inlineStr">
        <is>
          <t>ÖSTERÅKER</t>
        </is>
      </c>
      <c r="H64" t="inlineStr">
        <is>
          <t>Övriga Aktiebolag</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34038-2025</t>
        </is>
      </c>
      <c r="B65" t="inlineStr">
        <is>
          <t>avverkningsanmälan</t>
        </is>
      </c>
      <c r="C65" t="inlineStr">
        <is>
          <t>Föryngringsavverkning</t>
        </is>
      </c>
      <c r="D65" s="1" t="n">
        <v>45842</v>
      </c>
      <c r="E65" s="1" t="n">
        <v>46293</v>
      </c>
      <c r="F65" t="inlineStr">
        <is>
          <t>STOCKHOLMS LÄN</t>
        </is>
      </c>
      <c r="G65" t="inlineStr">
        <is>
          <t>ÖSTERÅKER</t>
        </is>
      </c>
      <c r="H65" t="inlineStr">
        <is>
          <t>Övriga Aktiebolag</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33158-2024</t>
        </is>
      </c>
      <c r="B66" t="inlineStr">
        <is>
          <t>avverkningsanmälan</t>
        </is>
      </c>
      <c r="C66" t="inlineStr">
        <is>
          <t>Avverkning för annat ändamål</t>
        </is>
      </c>
      <c r="D66" s="1" t="n">
        <v>45518</v>
      </c>
      <c r="E66" s="1" t="n">
        <v>46293</v>
      </c>
      <c r="F66" t="inlineStr">
        <is>
          <t>STOCKHOLMS LÄN</t>
        </is>
      </c>
      <c r="G66" t="inlineStr">
        <is>
          <t>ÖSTERÅKER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34034-2025</t>
        </is>
      </c>
      <c r="B67" t="inlineStr">
        <is>
          <t>avverkningsanmälan</t>
        </is>
      </c>
      <c r="C67" t="inlineStr">
        <is>
          <t>Föryngringsavverkning</t>
        </is>
      </c>
      <c r="D67" s="1" t="n">
        <v>45842</v>
      </c>
      <c r="E67" s="1" t="n">
        <v>46293</v>
      </c>
      <c r="F67" t="inlineStr">
        <is>
          <t>STOCKHOLMS LÄN</t>
        </is>
      </c>
      <c r="G67" t="inlineStr">
        <is>
          <t>ÖSTERÅKER</t>
        </is>
      </c>
      <c r="H67" t="inlineStr">
        <is>
          <t>Övriga Aktiebolag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46293</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13366-2024</t>
        </is>
      </c>
      <c r="B69" t="inlineStr">
        <is>
          <t>avverkningsanmälan</t>
        </is>
      </c>
      <c r="C69" t="inlineStr">
        <is>
          <t>Föryngringsavverkning</t>
        </is>
      </c>
      <c r="D69" s="1" t="n">
        <v>45387</v>
      </c>
      <c r="E69" s="1" t="n">
        <v>46293</v>
      </c>
      <c r="F69" t="inlineStr">
        <is>
          <t>STOCKHOLMS LÄN</t>
        </is>
      </c>
      <c r="G69" t="inlineStr">
        <is>
          <t>ÖSTERÅKER</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61360-2022</t>
        </is>
      </c>
      <c r="B70" t="inlineStr">
        <is>
          <t>avverkningsanmälan</t>
        </is>
      </c>
      <c r="C70" t="inlineStr">
        <is>
          <t>Föryngringsavverkning</t>
        </is>
      </c>
      <c r="D70" s="1" t="n">
        <v>44915</v>
      </c>
      <c r="E70" s="1" t="n">
        <v>46293</v>
      </c>
      <c r="F70" t="inlineStr">
        <is>
          <t>STOCKHOLMS LÄN</t>
        </is>
      </c>
      <c r="G70" t="inlineStr">
        <is>
          <t>ÖSTERÅKER</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9865-2025</t>
        </is>
      </c>
      <c r="B71" t="inlineStr">
        <is>
          <t>avverkningsanmälan</t>
        </is>
      </c>
      <c r="C71" t="inlineStr">
        <is>
          <t>Föryngringsavverkning</t>
        </is>
      </c>
      <c r="D71" s="1" t="n">
        <v>45716</v>
      </c>
      <c r="E71" s="1" t="n">
        <v>46293</v>
      </c>
      <c r="F71" t="inlineStr">
        <is>
          <t>STOCKHOLMS LÄN</t>
        </is>
      </c>
      <c r="G71" t="inlineStr">
        <is>
          <t>ÖSTERÅKER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35819-2025</t>
        </is>
      </c>
      <c r="B72" t="inlineStr">
        <is>
          <t>avverkningsanmälan</t>
        </is>
      </c>
      <c r="C72" t="inlineStr">
        <is>
          <t>Föryngringsavverkning</t>
        </is>
      </c>
      <c r="D72" s="1" t="n">
        <v>45861</v>
      </c>
      <c r="E72" s="1" t="n">
        <v>46293</v>
      </c>
      <c r="F72" t="inlineStr">
        <is>
          <t>STOCKHOLMS LÄN</t>
        </is>
      </c>
      <c r="G72" t="inlineStr">
        <is>
          <t>ÖSTERÅKER</t>
        </is>
      </c>
      <c r="H72" t="inlineStr">
        <is>
          <t>Övriga Aktiebolag</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62108-2022</t>
        </is>
      </c>
      <c r="B73" t="inlineStr">
        <is>
          <t>avverkningsanmälan</t>
        </is>
      </c>
      <c r="C73" t="inlineStr">
        <is>
          <t>Föryngringsavverkning</t>
        </is>
      </c>
      <c r="D73" s="1" t="n">
        <v>44920</v>
      </c>
      <c r="E73" s="1" t="n">
        <v>46293</v>
      </c>
      <c r="F73" t="inlineStr">
        <is>
          <t>STOCKHOLMS LÄN</t>
        </is>
      </c>
      <c r="G73" t="inlineStr">
        <is>
          <t>ÖSTERÅKER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26249-2026</t>
        </is>
      </c>
      <c r="B74" t="inlineStr">
        <is>
          <t>avverkningsanmälan</t>
        </is>
      </c>
      <c r="C74" t="inlineStr">
        <is>
          <t>Avverkning för annat ändamål</t>
        </is>
      </c>
      <c r="D74" s="1" t="n">
        <v>46182</v>
      </c>
      <c r="E74" s="1" t="n">
        <v>46293</v>
      </c>
      <c r="F74" t="inlineStr">
        <is>
          <t>STOCKHOLMS LÄN</t>
        </is>
      </c>
      <c r="G74" t="inlineStr">
        <is>
          <t>ÖSTERÅKER</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46293</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31134-2023</t>
        </is>
      </c>
      <c r="B76" t="inlineStr">
        <is>
          <t>avverkningsanmälan</t>
        </is>
      </c>
      <c r="C76" t="inlineStr">
        <is>
          <t>Föryngringsavverkning</t>
        </is>
      </c>
      <c r="D76" s="1" t="n">
        <v>45113</v>
      </c>
      <c r="E76" s="1" t="n">
        <v>46293</v>
      </c>
      <c r="F76" t="inlineStr">
        <is>
          <t>STOCKHOLMS LÄN</t>
        </is>
      </c>
      <c r="G76" t="inlineStr">
        <is>
          <t>ÖSTERÅKER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57048-2024</t>
        </is>
      </c>
      <c r="B77" t="inlineStr">
        <is>
          <t>avverkningsanmälan</t>
        </is>
      </c>
      <c r="C77" t="inlineStr">
        <is>
          <t>Föryngringsavverkning</t>
        </is>
      </c>
      <c r="D77" s="1" t="n">
        <v>45629</v>
      </c>
      <c r="E77" s="1" t="n">
        <v>46293</v>
      </c>
      <c r="F77" t="inlineStr">
        <is>
          <t>STOCKHOLMS LÄN</t>
        </is>
      </c>
      <c r="G77" t="inlineStr">
        <is>
          <t>ÖSTERÅKER</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57055-2024</t>
        </is>
      </c>
      <c r="B78" t="inlineStr">
        <is>
          <t>avverkningsanmälan</t>
        </is>
      </c>
      <c r="C78" t="inlineStr">
        <is>
          <t>Föryngringsavverkning</t>
        </is>
      </c>
      <c r="D78" s="1" t="n">
        <v>45629</v>
      </c>
      <c r="E78" s="1" t="n">
        <v>46293</v>
      </c>
      <c r="F78" t="inlineStr">
        <is>
          <t>STOCKHOLMS LÄN</t>
        </is>
      </c>
      <c r="G78" t="inlineStr">
        <is>
          <t>ÖSTERÅKER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29443-2026</t>
        </is>
      </c>
      <c r="B79" t="inlineStr">
        <is>
          <t>avverkningsanmälan</t>
        </is>
      </c>
      <c r="C79" t="inlineStr">
        <is>
          <t>Föryngringsavverkning</t>
        </is>
      </c>
      <c r="D79" s="1" t="n">
        <v>46203</v>
      </c>
      <c r="E79" s="1" t="n">
        <v>46293</v>
      </c>
      <c r="F79" t="inlineStr">
        <is>
          <t>STOCKHOLMS LÄN</t>
        </is>
      </c>
      <c r="G79" t="inlineStr">
        <is>
          <t>ÖSTERÅKER</t>
        </is>
      </c>
      <c r="I79" t="n">
        <v>13.8</v>
      </c>
      <c r="J79" t="n">
        <v>0</v>
      </c>
      <c r="K79" t="n">
        <v>0</v>
      </c>
      <c r="L79" t="n">
        <v>0</v>
      </c>
      <c r="M79" t="n">
        <v>0</v>
      </c>
      <c r="N79" t="n">
        <v>0</v>
      </c>
      <c r="O79" t="n">
        <v>0</v>
      </c>
      <c r="P79" t="n">
        <v>0</v>
      </c>
      <c r="Q79" t="n">
        <v>0</v>
      </c>
      <c r="R79" t="n">
        <v>0</v>
      </c>
      <c r="S79" t="n">
        <v>0</v>
      </c>
      <c r="T79" t="n">
        <v>0</v>
      </c>
      <c r="U79" t="n">
        <v>0</v>
      </c>
      <c r="V79" s="2" t="inlineStr"/>
    </row>
    <row r="80" ht="15" customHeight="1">
      <c r="A80" t="inlineStr">
        <is>
          <t>A 3326-2022</t>
        </is>
      </c>
      <c r="B80" t="inlineStr">
        <is>
          <t>avverkningsanmälan</t>
        </is>
      </c>
      <c r="C80" t="inlineStr">
        <is>
          <t>Föryngringsavverkning</t>
        </is>
      </c>
      <c r="D80" s="1" t="n">
        <v>44583</v>
      </c>
      <c r="E80" s="1" t="n">
        <v>46293</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56909-2024</t>
        </is>
      </c>
      <c r="B81" t="inlineStr">
        <is>
          <t>avverkningsanmälan</t>
        </is>
      </c>
      <c r="C81" t="inlineStr">
        <is>
          <t>Avverkning för att bevara och utveckla /försöksver</t>
        </is>
      </c>
      <c r="D81" s="1" t="n">
        <v>45628</v>
      </c>
      <c r="E81" s="1" t="n">
        <v>46293</v>
      </c>
      <c r="F81" t="inlineStr">
        <is>
          <t>STOCKHOLMS LÄN</t>
        </is>
      </c>
      <c r="G81" t="inlineStr">
        <is>
          <t>ÖSTERÅKER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30599-2026</t>
        </is>
      </c>
      <c r="B82" t="inlineStr">
        <is>
          <t>avverkningsanmälan</t>
        </is>
      </c>
      <c r="C82" t="inlineStr">
        <is>
          <t>Föryngringsavverkning</t>
        </is>
      </c>
      <c r="D82" s="1" t="n">
        <v>46210</v>
      </c>
      <c r="E82" s="1" t="n">
        <v>46293</v>
      </c>
      <c r="F82" t="inlineStr">
        <is>
          <t>STOCKHOLMS LÄN</t>
        </is>
      </c>
      <c r="G82" t="inlineStr">
        <is>
          <t>ÖSTERÅKER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16738-2022</t>
        </is>
      </c>
      <c r="B83" t="inlineStr">
        <is>
          <t>avverkningsanmälan</t>
        </is>
      </c>
      <c r="C83" t="inlineStr">
        <is>
          <t>Avverkning för annat ändamål</t>
        </is>
      </c>
      <c r="D83" s="1" t="n">
        <v>44673</v>
      </c>
      <c r="E83" s="1" t="n">
        <v>46293</v>
      </c>
      <c r="F83" t="inlineStr">
        <is>
          <t>STOCKHOLMS LÄN</t>
        </is>
      </c>
      <c r="G83" t="inlineStr">
        <is>
          <t>ÖSTERÅKER</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46293</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31156-2026</t>
        </is>
      </c>
      <c r="B85" t="inlineStr">
        <is>
          <t>avverkningsanmälan</t>
        </is>
      </c>
      <c r="C85" t="inlineStr">
        <is>
          <t>Föryngringsavverkning</t>
        </is>
      </c>
      <c r="D85" s="1" t="n">
        <v>46216</v>
      </c>
      <c r="E85" s="1" t="n">
        <v>46293</v>
      </c>
      <c r="F85" t="inlineStr">
        <is>
          <t>STOCKHOLMS LÄN</t>
        </is>
      </c>
      <c r="G85" t="inlineStr">
        <is>
          <t>ÖSTERÅKER</t>
        </is>
      </c>
      <c r="I85" t="n">
        <v>5.1</v>
      </c>
      <c r="J85" t="n">
        <v>0</v>
      </c>
      <c r="K85" t="n">
        <v>0</v>
      </c>
      <c r="L85" t="n">
        <v>0</v>
      </c>
      <c r="M85" t="n">
        <v>0</v>
      </c>
      <c r="N85" t="n">
        <v>0</v>
      </c>
      <c r="O85" t="n">
        <v>0</v>
      </c>
      <c r="P85" t="n">
        <v>0</v>
      </c>
      <c r="Q85" t="n">
        <v>0</v>
      </c>
      <c r="R85" t="n">
        <v>0</v>
      </c>
      <c r="S85" t="n">
        <v>0</v>
      </c>
      <c r="T85" t="n">
        <v>0</v>
      </c>
      <c r="U85" t="n">
        <v>0</v>
      </c>
      <c r="V85" s="2" t="inlineStr"/>
    </row>
    <row r="86" ht="15" customHeight="1">
      <c r="A86" t="inlineStr">
        <is>
          <t>A 31146-2026</t>
        </is>
      </c>
      <c r="B86" t="inlineStr">
        <is>
          <t>avverkningsanmälan</t>
        </is>
      </c>
      <c r="C86" t="inlineStr">
        <is>
          <t>Föryngringsavverkning</t>
        </is>
      </c>
      <c r="D86" s="1" t="n">
        <v>46216</v>
      </c>
      <c r="E86" s="1" t="n">
        <v>46293</v>
      </c>
      <c r="F86" t="inlineStr">
        <is>
          <t>STOCKHOLMS LÄN</t>
        </is>
      </c>
      <c r="G86" t="inlineStr">
        <is>
          <t>ÖSTERÅKER</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31154-2026</t>
        </is>
      </c>
      <c r="B87" t="inlineStr">
        <is>
          <t>avverkningsanmälan</t>
        </is>
      </c>
      <c r="C87" t="inlineStr">
        <is>
          <t>Föryngringsavverkning</t>
        </is>
      </c>
      <c r="D87" s="1" t="n">
        <v>46216</v>
      </c>
      <c r="E87" s="1" t="n">
        <v>46293</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46293</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10185-2025</t>
        </is>
      </c>
      <c r="B89" t="inlineStr">
        <is>
          <t>avverkningsanmälan</t>
        </is>
      </c>
      <c r="C89" t="inlineStr">
        <is>
          <t>Föryngringsavverkning</t>
        </is>
      </c>
      <c r="D89" s="1" t="n">
        <v>45719</v>
      </c>
      <c r="E89" s="1" t="n">
        <v>46293</v>
      </c>
      <c r="F89" t="inlineStr">
        <is>
          <t>STOCKHOLMS LÄN</t>
        </is>
      </c>
      <c r="G89" t="inlineStr">
        <is>
          <t>ÖSTERÅKER</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16728-2022</t>
        </is>
      </c>
      <c r="B90" t="inlineStr">
        <is>
          <t>avverkningsanmälan</t>
        </is>
      </c>
      <c r="C90" t="inlineStr">
        <is>
          <t>Föryngringsavverkning</t>
        </is>
      </c>
      <c r="D90" s="1" t="n">
        <v>44673</v>
      </c>
      <c r="E90" s="1" t="n">
        <v>46293</v>
      </c>
      <c r="F90" t="inlineStr">
        <is>
          <t>STOCKHOLMS LÄN</t>
        </is>
      </c>
      <c r="G90" t="inlineStr">
        <is>
          <t>ÖSTERÅKER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14776-2024</t>
        </is>
      </c>
      <c r="B91" t="inlineStr">
        <is>
          <t>avverkningsanmälan</t>
        </is>
      </c>
      <c r="C91" t="inlineStr">
        <is>
          <t>Föryngringsavverkning</t>
        </is>
      </c>
      <c r="D91" s="1" t="n">
        <v>45397</v>
      </c>
      <c r="E91" s="1" t="n">
        <v>46293</v>
      </c>
      <c r="F91" t="inlineStr">
        <is>
          <t>STOCKHOLMS LÄN</t>
        </is>
      </c>
      <c r="G91" t="inlineStr">
        <is>
          <t>ÖSTERÅKER</t>
        </is>
      </c>
      <c r="I91" t="n">
        <v>13.6</v>
      </c>
      <c r="J91" t="n">
        <v>0</v>
      </c>
      <c r="K91" t="n">
        <v>0</v>
      </c>
      <c r="L91" t="n">
        <v>0</v>
      </c>
      <c r="M91" t="n">
        <v>0</v>
      </c>
      <c r="N91" t="n">
        <v>0</v>
      </c>
      <c r="O91" t="n">
        <v>0</v>
      </c>
      <c r="P91" t="n">
        <v>0</v>
      </c>
      <c r="Q91" t="n">
        <v>0</v>
      </c>
      <c r="R91" t="n">
        <v>0</v>
      </c>
      <c r="S91" t="n">
        <v>0</v>
      </c>
      <c r="T91" t="n">
        <v>0</v>
      </c>
      <c r="U91" t="n">
        <v>0</v>
      </c>
      <c r="V91" s="2" t="inlineStr"/>
    </row>
    <row r="92" ht="15" customHeight="1">
      <c r="A92" t="inlineStr">
        <is>
          <t>A 61370-2022</t>
        </is>
      </c>
      <c r="B92" t="inlineStr">
        <is>
          <t>avverkningsanmälan</t>
        </is>
      </c>
      <c r="C92" t="inlineStr">
        <is>
          <t>Föryngringsavverkning</t>
        </is>
      </c>
      <c r="D92" s="1" t="n">
        <v>44915</v>
      </c>
      <c r="E92" s="1" t="n">
        <v>46293</v>
      </c>
      <c r="F92" t="inlineStr">
        <is>
          <t>STOCKHOLMS LÄN</t>
        </is>
      </c>
      <c r="G92" t="inlineStr">
        <is>
          <t>ÖSTERÅKER</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46293</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3828-2023</t>
        </is>
      </c>
      <c r="B94" t="inlineStr">
        <is>
          <t>avverkningsanmälan</t>
        </is>
      </c>
      <c r="C94" t="inlineStr">
        <is>
          <t>Föryngringsavverkning</t>
        </is>
      </c>
      <c r="D94" s="1" t="n">
        <v>44951</v>
      </c>
      <c r="E94" s="1" t="n">
        <v>46293</v>
      </c>
      <c r="F94" t="inlineStr">
        <is>
          <t>STOCKHOLMS LÄN</t>
        </is>
      </c>
      <c r="G94" t="inlineStr">
        <is>
          <t>ÖSTERÅKER</t>
        </is>
      </c>
      <c r="H94" t="inlineStr">
        <is>
          <t>Kommuner</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24499-2023</t>
        </is>
      </c>
      <c r="B95" t="inlineStr">
        <is>
          <t>avverkningsanmälan</t>
        </is>
      </c>
      <c r="C95" t="inlineStr">
        <is>
          <t>Föryngringsavverkning</t>
        </is>
      </c>
      <c r="D95" s="1" t="n">
        <v>45082</v>
      </c>
      <c r="E95" s="1" t="n">
        <v>46293</v>
      </c>
      <c r="F95" t="inlineStr">
        <is>
          <t>STOCKHOLMS LÄN</t>
        </is>
      </c>
      <c r="G95" t="inlineStr">
        <is>
          <t>ÖSTERÅKER</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46293</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1603-2023</t>
        </is>
      </c>
      <c r="B97" t="inlineStr">
        <is>
          <t>avverkningsanmälan</t>
        </is>
      </c>
      <c r="C97" t="inlineStr">
        <is>
          <t>Föryngringsavverkning</t>
        </is>
      </c>
      <c r="D97" s="1" t="n">
        <v>44937</v>
      </c>
      <c r="E97" s="1" t="n">
        <v>46293</v>
      </c>
      <c r="F97" t="inlineStr">
        <is>
          <t>STOCKHOLMS LÄN</t>
        </is>
      </c>
      <c r="G97" t="inlineStr">
        <is>
          <t>ÖSTERÅKER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1605-2023</t>
        </is>
      </c>
      <c r="B98" t="inlineStr">
        <is>
          <t>avverkningsanmälan</t>
        </is>
      </c>
      <c r="C98" t="inlineStr">
        <is>
          <t>Föryngringsavverkning</t>
        </is>
      </c>
      <c r="D98" s="1" t="n">
        <v>44937</v>
      </c>
      <c r="E98" s="1" t="n">
        <v>46293</v>
      </c>
      <c r="F98" t="inlineStr">
        <is>
          <t>STOCKHOLMS LÄN</t>
        </is>
      </c>
      <c r="G98" t="inlineStr">
        <is>
          <t>ÖSTERÅKER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5286-2025</t>
        </is>
      </c>
      <c r="B99" t="inlineStr">
        <is>
          <t>avverkningsanmälan</t>
        </is>
      </c>
      <c r="C99" t="inlineStr">
        <is>
          <t>Föryngringsavverkning</t>
        </is>
      </c>
      <c r="D99" s="1" t="n">
        <v>45692</v>
      </c>
      <c r="E99" s="1" t="n">
        <v>46293</v>
      </c>
      <c r="F99" t="inlineStr">
        <is>
          <t>STOCKHOLMS LÄN</t>
        </is>
      </c>
      <c r="G99" t="inlineStr">
        <is>
          <t>ÖSTERÅKER</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1136-2023</t>
        </is>
      </c>
      <c r="B100" t="inlineStr">
        <is>
          <t>avverkningsanmälan</t>
        </is>
      </c>
      <c r="C100" t="inlineStr">
        <is>
          <t>Avverkning för annat ändamål</t>
        </is>
      </c>
      <c r="D100" s="1" t="n">
        <v>44935</v>
      </c>
      <c r="E100" s="1" t="n">
        <v>46293</v>
      </c>
      <c r="F100" t="inlineStr">
        <is>
          <t>STOCKHOLMS LÄN</t>
        </is>
      </c>
      <c r="G100" t="inlineStr">
        <is>
          <t>ÖSTERÅKER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39394-2023</t>
        </is>
      </c>
      <c r="B101" t="inlineStr">
        <is>
          <t>avverkningsanmälan</t>
        </is>
      </c>
      <c r="C101" t="inlineStr">
        <is>
          <t>Föryngringsavverkning</t>
        </is>
      </c>
      <c r="D101" s="1" t="n">
        <v>45166</v>
      </c>
      <c r="E101" s="1" t="n">
        <v>46293</v>
      </c>
      <c r="F101" t="inlineStr">
        <is>
          <t>STOCKHOLMS LÄN</t>
        </is>
      </c>
      <c r="G101" t="inlineStr">
        <is>
          <t>ÖSTERÅKER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845-2024</t>
        </is>
      </c>
      <c r="B102" t="inlineStr">
        <is>
          <t>avverkningsanmälan</t>
        </is>
      </c>
      <c r="C102" t="inlineStr">
        <is>
          <t>Föryngringsavverkning</t>
        </is>
      </c>
      <c r="D102" s="1" t="n">
        <v>45300</v>
      </c>
      <c r="E102" s="1" t="n">
        <v>46293</v>
      </c>
      <c r="F102" t="inlineStr">
        <is>
          <t>STOCKHOLMS LÄN</t>
        </is>
      </c>
      <c r="G102" t="inlineStr">
        <is>
          <t>ÖSTERÅKER</t>
        </is>
      </c>
      <c r="I102" t="n">
        <v>10.1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37037-2023</t>
        </is>
      </c>
      <c r="B103" t="inlineStr">
        <is>
          <t>avverkningsanmälan</t>
        </is>
      </c>
      <c r="C103" t="inlineStr">
        <is>
          <t>Föryngringsavverkning</t>
        </is>
      </c>
      <c r="D103" s="1" t="n">
        <v>45155</v>
      </c>
      <c r="E103" s="1" t="n">
        <v>46293</v>
      </c>
      <c r="F103" t="inlineStr">
        <is>
          <t>STOCKHOLMS LÄN</t>
        </is>
      </c>
      <c r="G103" t="inlineStr">
        <is>
          <t>ÖSTERÅKER</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46293</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46293</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46293</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2026-09-28T01:57:52Z</dcterms:created>
  <dcterms:modified xmlns:dcterms="http://purl.org/dc/terms/" xmlns:xsi="http://www.w3.org/2001/XMLSchema-instance" xsi:type="dcterms:W3CDTF">2026-09-28T01:57:52Z</dcterms:modified>
</cp:coreProperties>
</file>