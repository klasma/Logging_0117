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45657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45657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45657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45657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68109-2019</t>
        </is>
      </c>
      <c r="B6" s="1" t="n">
        <v>43817</v>
      </c>
      <c r="C6" s="1" t="n">
        <v>45657</v>
      </c>
      <c r="D6" t="inlineStr">
        <is>
          <t>STOCKHOLMS LÄN</t>
        </is>
      </c>
      <c r="E6" t="inlineStr">
        <is>
          <t>ÖSTERÅKER</t>
        </is>
      </c>
      <c r="G6" t="n">
        <v>5.8</v>
      </c>
      <c r="H6" t="n">
        <v>3</v>
      </c>
      <c r="I6" t="n">
        <v>1</v>
      </c>
      <c r="J6" t="n">
        <v>1</v>
      </c>
      <c r="K6" t="n">
        <v>0</v>
      </c>
      <c r="L6" t="n">
        <v>0</v>
      </c>
      <c r="M6" t="n">
        <v>0</v>
      </c>
      <c r="N6" t="n">
        <v>0</v>
      </c>
      <c r="O6" t="n">
        <v>1</v>
      </c>
      <c r="P6" t="n">
        <v>0</v>
      </c>
      <c r="Q6" t="n">
        <v>4</v>
      </c>
      <c r="R6" s="2" t="inlineStr">
        <is>
          <t>Spillkråka
Björksplintborre
Tjäder
Revlummer</t>
        </is>
      </c>
      <c r="S6">
        <f>HYPERLINK("https://klasma.github.io/Logging_0117/artfynd/A 68109-2019 artfynd.xlsx", "A 68109-2019")</f>
        <v/>
      </c>
      <c r="T6">
        <f>HYPERLINK("https://klasma.github.io/Logging_0117/kartor/A 68109-2019 karta.png", "A 68109-2019")</f>
        <v/>
      </c>
      <c r="V6">
        <f>HYPERLINK("https://klasma.github.io/Logging_0117/klagomål/A 68109-2019 FSC-klagomål.docx", "A 68109-2019")</f>
        <v/>
      </c>
      <c r="W6">
        <f>HYPERLINK("https://klasma.github.io/Logging_0117/klagomålsmail/A 68109-2019 FSC-klagomål mail.docx", "A 68109-2019")</f>
        <v/>
      </c>
      <c r="X6">
        <f>HYPERLINK("https://klasma.github.io/Logging_0117/tillsyn/A 68109-2019 tillsynsbegäran.docx", "A 68109-2019")</f>
        <v/>
      </c>
      <c r="Y6">
        <f>HYPERLINK("https://klasma.github.io/Logging_0117/tillsynsmail/A 68109-2019 tillsynsbegäran mail.docx", "A 68109-2019")</f>
        <v/>
      </c>
      <c r="Z6">
        <f>HYPERLINK("https://klasma.github.io/Logging_0117/fåglar/A 68109-2019 prioriterade fågelarter.docx", "A 68109-2019")</f>
        <v/>
      </c>
    </row>
    <row r="7" ht="15" customHeight="1">
      <c r="A7" t="inlineStr">
        <is>
          <t>A 12620-2022</t>
        </is>
      </c>
      <c r="B7" s="1" t="n">
        <v>44638</v>
      </c>
      <c r="C7" s="1" t="n">
        <v>45657</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45657</v>
      </c>
      <c r="D8" t="inlineStr">
        <is>
          <t>STOCKHOLMS LÄN</t>
        </is>
      </c>
      <c r="E8" t="inlineStr">
        <is>
          <t>ÖSTERÅKER</t>
        </is>
      </c>
      <c r="G8" t="n">
        <v>1.4</v>
      </c>
      <c r="H8" t="n">
        <v>2</v>
      </c>
      <c r="I8" t="n">
        <v>2</v>
      </c>
      <c r="J8" t="n">
        <v>0</v>
      </c>
      <c r="K8" t="n">
        <v>0</v>
      </c>
      <c r="L8" t="n">
        <v>0</v>
      </c>
      <c r="M8" t="n">
        <v>0</v>
      </c>
      <c r="N8" t="n">
        <v>0</v>
      </c>
      <c r="O8" t="n">
        <v>0</v>
      </c>
      <c r="P8" t="n">
        <v>0</v>
      </c>
      <c r="Q8" t="n">
        <v>3</v>
      </c>
      <c r="R8" s="2" t="inlineStr">
        <is>
          <t>Bronshjon
Grön sköldmossa
Lopplummer</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63913-2023</t>
        </is>
      </c>
      <c r="B9" s="1" t="n">
        <v>45278</v>
      </c>
      <c r="C9" s="1" t="n">
        <v>45657</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45657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31523-2022</t>
        </is>
      </c>
      <c r="B11" s="1" t="n">
        <v>44775</v>
      </c>
      <c r="C11" s="1" t="n">
        <v>45657</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61357-2022</t>
        </is>
      </c>
      <c r="B12" s="1" t="n">
        <v>44915</v>
      </c>
      <c r="C12" s="1" t="n">
        <v>45657</v>
      </c>
      <c r="D12" t="inlineStr">
        <is>
          <t>STOCKHOLMS LÄN</t>
        </is>
      </c>
      <c r="E12" t="inlineStr">
        <is>
          <t>ÖSTERÅKER</t>
        </is>
      </c>
      <c r="G12" t="n">
        <v>3.5</v>
      </c>
      <c r="H12" t="n">
        <v>0</v>
      </c>
      <c r="I12" t="n">
        <v>2</v>
      </c>
      <c r="J12" t="n">
        <v>0</v>
      </c>
      <c r="K12" t="n">
        <v>0</v>
      </c>
      <c r="L12" t="n">
        <v>0</v>
      </c>
      <c r="M12" t="n">
        <v>0</v>
      </c>
      <c r="N12" t="n">
        <v>0</v>
      </c>
      <c r="O12" t="n">
        <v>0</v>
      </c>
      <c r="P12" t="n">
        <v>0</v>
      </c>
      <c r="Q12" t="n">
        <v>2</v>
      </c>
      <c r="R12" s="2" t="inlineStr">
        <is>
          <t>Dvärgtufs
Slanklav</t>
        </is>
      </c>
      <c r="S12">
        <f>HYPERLINK("https://klasma.github.io/Logging_0117/artfynd/A 61357-2022 artfynd.xlsx", "A 61357-2022")</f>
        <v/>
      </c>
      <c r="T12">
        <f>HYPERLINK("https://klasma.github.io/Logging_0117/kartor/A 61357-2022 karta.png", "A 61357-2022")</f>
        <v/>
      </c>
      <c r="V12">
        <f>HYPERLINK("https://klasma.github.io/Logging_0117/klagomål/A 61357-2022 FSC-klagomål.docx", "A 61357-2022")</f>
        <v/>
      </c>
      <c r="W12">
        <f>HYPERLINK("https://klasma.github.io/Logging_0117/klagomålsmail/A 61357-2022 FSC-klagomål mail.docx", "A 61357-2022")</f>
        <v/>
      </c>
      <c r="X12">
        <f>HYPERLINK("https://klasma.github.io/Logging_0117/tillsyn/A 61357-2022 tillsynsbegäran.docx", "A 61357-2022")</f>
        <v/>
      </c>
      <c r="Y12">
        <f>HYPERLINK("https://klasma.github.io/Logging_0117/tillsynsmail/A 61357-2022 tillsynsbegäran mail.docx", "A 61357-2022")</f>
        <v/>
      </c>
    </row>
    <row r="13" ht="15" customHeight="1">
      <c r="A13" t="inlineStr">
        <is>
          <t>A 61363-2022</t>
        </is>
      </c>
      <c r="B13" s="1" t="n">
        <v>44915</v>
      </c>
      <c r="C13" s="1" t="n">
        <v>45657</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8622-2024</t>
        </is>
      </c>
      <c r="B14" s="1" t="n">
        <v>45355</v>
      </c>
      <c r="C14" s="1" t="n">
        <v>45657</v>
      </c>
      <c r="D14" t="inlineStr">
        <is>
          <t>STOCKHOLMS LÄN</t>
        </is>
      </c>
      <c r="E14" t="inlineStr">
        <is>
          <t>ÖSTERÅKER</t>
        </is>
      </c>
      <c r="G14" t="n">
        <v>5.3</v>
      </c>
      <c r="H14" t="n">
        <v>2</v>
      </c>
      <c r="I14" t="n">
        <v>0</v>
      </c>
      <c r="J14" t="n">
        <v>1</v>
      </c>
      <c r="K14" t="n">
        <v>0</v>
      </c>
      <c r="L14" t="n">
        <v>0</v>
      </c>
      <c r="M14" t="n">
        <v>0</v>
      </c>
      <c r="N14" t="n">
        <v>0</v>
      </c>
      <c r="O14" t="n">
        <v>1</v>
      </c>
      <c r="P14" t="n">
        <v>0</v>
      </c>
      <c r="Q14" t="n">
        <v>2</v>
      </c>
      <c r="R14" s="2" t="inlineStr">
        <is>
          <t>Svartvit flugsnappare
Blåsippa</t>
        </is>
      </c>
      <c r="S14">
        <f>HYPERLINK("https://klasma.github.io/Logging_0117/artfynd/A 8622-2024 artfynd.xlsx", "A 8622-2024")</f>
        <v/>
      </c>
      <c r="T14">
        <f>HYPERLINK("https://klasma.github.io/Logging_0117/kartor/A 8622-2024 karta.png", "A 8622-2024")</f>
        <v/>
      </c>
      <c r="V14">
        <f>HYPERLINK("https://klasma.github.io/Logging_0117/klagomål/A 8622-2024 FSC-klagomål.docx", "A 8622-2024")</f>
        <v/>
      </c>
      <c r="W14">
        <f>HYPERLINK("https://klasma.github.io/Logging_0117/klagomålsmail/A 8622-2024 FSC-klagomål mail.docx", "A 8622-2024")</f>
        <v/>
      </c>
      <c r="X14">
        <f>HYPERLINK("https://klasma.github.io/Logging_0117/tillsyn/A 8622-2024 tillsynsbegäran.docx", "A 8622-2024")</f>
        <v/>
      </c>
      <c r="Y14">
        <f>HYPERLINK("https://klasma.github.io/Logging_0117/tillsynsmail/A 8622-2024 tillsynsbegäran mail.docx", "A 8622-2024")</f>
        <v/>
      </c>
      <c r="Z14">
        <f>HYPERLINK("https://klasma.github.io/Logging_0117/fåglar/A 8622-2024 prioriterade fågelarter.docx", "A 8622-2024")</f>
        <v/>
      </c>
    </row>
    <row r="15" ht="15" customHeight="1">
      <c r="A15" t="inlineStr">
        <is>
          <t>A 43308-2024</t>
        </is>
      </c>
      <c r="B15" s="1" t="n">
        <v>45568</v>
      </c>
      <c r="C15" s="1" t="n">
        <v>45657</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54703-2024</t>
        </is>
      </c>
      <c r="B16" s="1" t="n">
        <v>45618</v>
      </c>
      <c r="C16" s="1" t="n">
        <v>45657</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13942-2021</t>
        </is>
      </c>
      <c r="B17" s="1" t="n">
        <v>44277</v>
      </c>
      <c r="C17" s="1" t="n">
        <v>45657</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67278-2021</t>
        </is>
      </c>
      <c r="B18" s="1" t="n">
        <v>44523</v>
      </c>
      <c r="C18" s="1" t="n">
        <v>45657</v>
      </c>
      <c r="D18" t="inlineStr">
        <is>
          <t>STOCKHOLMS LÄN</t>
        </is>
      </c>
      <c r="E18" t="inlineStr">
        <is>
          <t>ÖSTERÅKER</t>
        </is>
      </c>
      <c r="F18" t="inlineStr">
        <is>
          <t>Kommuner</t>
        </is>
      </c>
      <c r="G18" t="n">
        <v>3</v>
      </c>
      <c r="H18" t="n">
        <v>0</v>
      </c>
      <c r="I18" t="n">
        <v>0</v>
      </c>
      <c r="J18" t="n">
        <v>1</v>
      </c>
      <c r="K18" t="n">
        <v>0</v>
      </c>
      <c r="L18" t="n">
        <v>0</v>
      </c>
      <c r="M18" t="n">
        <v>0</v>
      </c>
      <c r="N18" t="n">
        <v>0</v>
      </c>
      <c r="O18" t="n">
        <v>1</v>
      </c>
      <c r="P18" t="n">
        <v>0</v>
      </c>
      <c r="Q18" t="n">
        <v>1</v>
      </c>
      <c r="R18" s="2" t="inlineStr">
        <is>
          <t>Veckticka</t>
        </is>
      </c>
      <c r="S18">
        <f>HYPERLINK("https://klasma.github.io/Logging_0117/artfynd/A 67278-2021 artfynd.xlsx", "A 67278-2021")</f>
        <v/>
      </c>
      <c r="T18">
        <f>HYPERLINK("https://klasma.github.io/Logging_0117/kartor/A 67278-2021 karta.png", "A 67278-2021")</f>
        <v/>
      </c>
      <c r="V18">
        <f>HYPERLINK("https://klasma.github.io/Logging_0117/klagomål/A 67278-2021 FSC-klagomål.docx", "A 67278-2021")</f>
        <v/>
      </c>
      <c r="W18">
        <f>HYPERLINK("https://klasma.github.io/Logging_0117/klagomålsmail/A 67278-2021 FSC-klagomål mail.docx", "A 67278-2021")</f>
        <v/>
      </c>
      <c r="X18">
        <f>HYPERLINK("https://klasma.github.io/Logging_0117/tillsyn/A 67278-2021 tillsynsbegäran.docx", "A 67278-2021")</f>
        <v/>
      </c>
      <c r="Y18">
        <f>HYPERLINK("https://klasma.github.io/Logging_0117/tillsynsmail/A 67278-2021 tillsynsbegäran mail.docx", "A 67278-2021")</f>
        <v/>
      </c>
    </row>
    <row r="19" ht="15" customHeight="1">
      <c r="A19" t="inlineStr">
        <is>
          <t>A 22172-2022</t>
        </is>
      </c>
      <c r="B19" s="1" t="n">
        <v>44712</v>
      </c>
      <c r="C19" s="1" t="n">
        <v>45657</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61372-2022</t>
        </is>
      </c>
      <c r="B20" s="1" t="n">
        <v>44915</v>
      </c>
      <c r="C20" s="1" t="n">
        <v>45657</v>
      </c>
      <c r="D20" t="inlineStr">
        <is>
          <t>STOCKHOLMS LÄN</t>
        </is>
      </c>
      <c r="E20" t="inlineStr">
        <is>
          <t>ÖSTERÅKER</t>
        </is>
      </c>
      <c r="G20" t="n">
        <v>4.3</v>
      </c>
      <c r="H20" t="n">
        <v>0</v>
      </c>
      <c r="I20" t="n">
        <v>1</v>
      </c>
      <c r="J20" t="n">
        <v>0</v>
      </c>
      <c r="K20" t="n">
        <v>0</v>
      </c>
      <c r="L20" t="n">
        <v>0</v>
      </c>
      <c r="M20" t="n">
        <v>0</v>
      </c>
      <c r="N20" t="n">
        <v>0</v>
      </c>
      <c r="O20" t="n">
        <v>0</v>
      </c>
      <c r="P20" t="n">
        <v>0</v>
      </c>
      <c r="Q20" t="n">
        <v>1</v>
      </c>
      <c r="R20" s="2" t="inlineStr">
        <is>
          <t>Mindre märgborre</t>
        </is>
      </c>
      <c r="S20">
        <f>HYPERLINK("https://klasma.github.io/Logging_0117/artfynd/A 61372-2022 artfynd.xlsx", "A 61372-2022")</f>
        <v/>
      </c>
      <c r="T20">
        <f>HYPERLINK("https://klasma.github.io/Logging_0117/kartor/A 61372-2022 karta.png", "A 61372-2022")</f>
        <v/>
      </c>
      <c r="V20">
        <f>HYPERLINK("https://klasma.github.io/Logging_0117/klagomål/A 61372-2022 FSC-klagomål.docx", "A 61372-2022")</f>
        <v/>
      </c>
      <c r="W20">
        <f>HYPERLINK("https://klasma.github.io/Logging_0117/klagomålsmail/A 61372-2022 FSC-klagomål mail.docx", "A 61372-2022")</f>
        <v/>
      </c>
      <c r="X20">
        <f>HYPERLINK("https://klasma.github.io/Logging_0117/tillsyn/A 61372-2022 tillsynsbegäran.docx", "A 61372-2022")</f>
        <v/>
      </c>
      <c r="Y20">
        <f>HYPERLINK("https://klasma.github.io/Logging_0117/tillsynsmail/A 61372-2022 tillsynsbegäran mail.docx", "A 61372-2022")</f>
        <v/>
      </c>
    </row>
    <row r="21" ht="15" customHeight="1">
      <c r="A21" t="inlineStr">
        <is>
          <t>A 61732-2022</t>
        </is>
      </c>
      <c r="B21" s="1" t="n">
        <v>44917</v>
      </c>
      <c r="C21" s="1" t="n">
        <v>45657</v>
      </c>
      <c r="D21" t="inlineStr">
        <is>
          <t>STOCKHOLMS LÄN</t>
        </is>
      </c>
      <c r="E21" t="inlineStr">
        <is>
          <t>ÖSTERÅKER</t>
        </is>
      </c>
      <c r="G21" t="n">
        <v>2.2</v>
      </c>
      <c r="H21" t="n">
        <v>0</v>
      </c>
      <c r="I21" t="n">
        <v>0</v>
      </c>
      <c r="J21" t="n">
        <v>1</v>
      </c>
      <c r="K21" t="n">
        <v>0</v>
      </c>
      <c r="L21" t="n">
        <v>0</v>
      </c>
      <c r="M21" t="n">
        <v>0</v>
      </c>
      <c r="N21" t="n">
        <v>0</v>
      </c>
      <c r="O21" t="n">
        <v>1</v>
      </c>
      <c r="P21" t="n">
        <v>0</v>
      </c>
      <c r="Q21" t="n">
        <v>1</v>
      </c>
      <c r="R21" s="2" t="inlineStr">
        <is>
          <t>Ullticka</t>
        </is>
      </c>
      <c r="S21">
        <f>HYPERLINK("https://klasma.github.io/Logging_0117/artfynd/A 61732-2022 artfynd.xlsx", "A 61732-2022")</f>
        <v/>
      </c>
      <c r="T21">
        <f>HYPERLINK("https://klasma.github.io/Logging_0117/kartor/A 61732-2022 karta.png", "A 61732-2022")</f>
        <v/>
      </c>
      <c r="V21">
        <f>HYPERLINK("https://klasma.github.io/Logging_0117/klagomål/A 61732-2022 FSC-klagomål.docx", "A 61732-2022")</f>
        <v/>
      </c>
      <c r="W21">
        <f>HYPERLINK("https://klasma.github.io/Logging_0117/klagomålsmail/A 61732-2022 FSC-klagomål mail.docx", "A 61732-2022")</f>
        <v/>
      </c>
      <c r="X21">
        <f>HYPERLINK("https://klasma.github.io/Logging_0117/tillsyn/A 61732-2022 tillsynsbegäran.docx", "A 61732-2022")</f>
        <v/>
      </c>
      <c r="Y21">
        <f>HYPERLINK("https://klasma.github.io/Logging_0117/tillsynsmail/A 61732-2022 tillsynsbegäran mail.docx", "A 61732-2022")</f>
        <v/>
      </c>
    </row>
    <row r="22" ht="15" customHeight="1">
      <c r="A22" t="inlineStr">
        <is>
          <t>A 847-2023</t>
        </is>
      </c>
      <c r="B22" s="1" t="n">
        <v>44931</v>
      </c>
      <c r="C22" s="1" t="n">
        <v>45657</v>
      </c>
      <c r="D22" t="inlineStr">
        <is>
          <t>STOCKHOLMS LÄN</t>
        </is>
      </c>
      <c r="E22" t="inlineStr">
        <is>
          <t>ÖSTERÅKER</t>
        </is>
      </c>
      <c r="G22" t="n">
        <v>3</v>
      </c>
      <c r="H22" t="n">
        <v>1</v>
      </c>
      <c r="I22" t="n">
        <v>0</v>
      </c>
      <c r="J22" t="n">
        <v>1</v>
      </c>
      <c r="K22" t="n">
        <v>0</v>
      </c>
      <c r="L22" t="n">
        <v>0</v>
      </c>
      <c r="M22" t="n">
        <v>0</v>
      </c>
      <c r="N22" t="n">
        <v>0</v>
      </c>
      <c r="O22" t="n">
        <v>1</v>
      </c>
      <c r="P22" t="n">
        <v>0</v>
      </c>
      <c r="Q22" t="n">
        <v>1</v>
      </c>
      <c r="R22" s="2" t="inlineStr">
        <is>
          <t>Talltita</t>
        </is>
      </c>
      <c r="S22">
        <f>HYPERLINK("https://klasma.github.io/Logging_0117/artfynd/A 847-2023 artfynd.xlsx", "A 847-2023")</f>
        <v/>
      </c>
      <c r="T22">
        <f>HYPERLINK("https://klasma.github.io/Logging_0117/kartor/A 847-2023 karta.png", "A 847-2023")</f>
        <v/>
      </c>
      <c r="V22">
        <f>HYPERLINK("https://klasma.github.io/Logging_0117/klagomål/A 847-2023 FSC-klagomål.docx", "A 847-2023")</f>
        <v/>
      </c>
      <c r="W22">
        <f>HYPERLINK("https://klasma.github.io/Logging_0117/klagomålsmail/A 847-2023 FSC-klagomål mail.docx", "A 847-2023")</f>
        <v/>
      </c>
      <c r="X22">
        <f>HYPERLINK("https://klasma.github.io/Logging_0117/tillsyn/A 847-2023 tillsynsbegäran.docx", "A 847-2023")</f>
        <v/>
      </c>
      <c r="Y22">
        <f>HYPERLINK("https://klasma.github.io/Logging_0117/tillsynsmail/A 847-2023 tillsynsbegäran mail.docx", "A 847-2023")</f>
        <v/>
      </c>
      <c r="Z22">
        <f>HYPERLINK("https://klasma.github.io/Logging_0117/fåglar/A 847-2023 prioriterade fågelarter.docx", "A 847-2023")</f>
        <v/>
      </c>
    </row>
    <row r="23" ht="15" customHeight="1">
      <c r="A23" t="inlineStr">
        <is>
          <t>A 3919-2023</t>
        </is>
      </c>
      <c r="B23" s="1" t="n">
        <v>44952</v>
      </c>
      <c r="C23" s="1" t="n">
        <v>45657</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3914-2023</t>
        </is>
      </c>
      <c r="B24" s="1" t="n">
        <v>44952</v>
      </c>
      <c r="C24" s="1" t="n">
        <v>45657</v>
      </c>
      <c r="D24" t="inlineStr">
        <is>
          <t>STOCKHOLMS LÄN</t>
        </is>
      </c>
      <c r="E24" t="inlineStr">
        <is>
          <t>ÖSTERÅKER</t>
        </is>
      </c>
      <c r="F24" t="inlineStr">
        <is>
          <t>Kommuner</t>
        </is>
      </c>
      <c r="G24" t="n">
        <v>15.3</v>
      </c>
      <c r="H24" t="n">
        <v>1</v>
      </c>
      <c r="I24" t="n">
        <v>0</v>
      </c>
      <c r="J24" t="n">
        <v>1</v>
      </c>
      <c r="K24" t="n">
        <v>0</v>
      </c>
      <c r="L24" t="n">
        <v>0</v>
      </c>
      <c r="M24" t="n">
        <v>0</v>
      </c>
      <c r="N24" t="n">
        <v>0</v>
      </c>
      <c r="O24" t="n">
        <v>1</v>
      </c>
      <c r="P24" t="n">
        <v>0</v>
      </c>
      <c r="Q24" t="n">
        <v>1</v>
      </c>
      <c r="R24" s="2" t="inlineStr">
        <is>
          <t>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c r="Z24">
        <f>HYPERLINK("https://klasma.github.io/Logging_0117/fåglar/A 3914-2023 prioriterade fågelarter.docx", "A 3914-2023")</f>
        <v/>
      </c>
    </row>
    <row r="25" ht="15" customHeight="1">
      <c r="A25" t="inlineStr">
        <is>
          <t>A 19170-2019</t>
        </is>
      </c>
      <c r="B25" s="1" t="n">
        <v>43564</v>
      </c>
      <c r="C25" s="1" t="n">
        <v>45657</v>
      </c>
      <c r="D25" t="inlineStr">
        <is>
          <t>STOCKHOLMS LÄN</t>
        </is>
      </c>
      <c r="E25" t="inlineStr">
        <is>
          <t>ÖSTERÅKER</t>
        </is>
      </c>
      <c r="G25" t="n">
        <v>2.2</v>
      </c>
      <c r="H25" t="n">
        <v>0</v>
      </c>
      <c r="I25" t="n">
        <v>0</v>
      </c>
      <c r="J25" t="n">
        <v>0</v>
      </c>
      <c r="K25" t="n">
        <v>0</v>
      </c>
      <c r="L25" t="n">
        <v>0</v>
      </c>
      <c r="M25" t="n">
        <v>0</v>
      </c>
      <c r="N25" t="n">
        <v>0</v>
      </c>
      <c r="O25" t="n">
        <v>0</v>
      </c>
      <c r="P25" t="n">
        <v>0</v>
      </c>
      <c r="Q25" t="n">
        <v>0</v>
      </c>
      <c r="R25" s="2" t="inlineStr"/>
    </row>
    <row r="26" ht="15" customHeight="1">
      <c r="A26" t="inlineStr">
        <is>
          <t>A 29973-2019</t>
        </is>
      </c>
      <c r="B26" s="1" t="n">
        <v>43633</v>
      </c>
      <c r="C26" s="1" t="n">
        <v>45657</v>
      </c>
      <c r="D26" t="inlineStr">
        <is>
          <t>STOCKHOLMS LÄN</t>
        </is>
      </c>
      <c r="E26" t="inlineStr">
        <is>
          <t>ÖSTERÅKER</t>
        </is>
      </c>
      <c r="G26" t="n">
        <v>0.4</v>
      </c>
      <c r="H26" t="n">
        <v>0</v>
      </c>
      <c r="I26" t="n">
        <v>0</v>
      </c>
      <c r="J26" t="n">
        <v>0</v>
      </c>
      <c r="K26" t="n">
        <v>0</v>
      </c>
      <c r="L26" t="n">
        <v>0</v>
      </c>
      <c r="M26" t="n">
        <v>0</v>
      </c>
      <c r="N26" t="n">
        <v>0</v>
      </c>
      <c r="O26" t="n">
        <v>0</v>
      </c>
      <c r="P26" t="n">
        <v>0</v>
      </c>
      <c r="Q26" t="n">
        <v>0</v>
      </c>
      <c r="R26" s="2" t="inlineStr"/>
    </row>
    <row r="27" ht="15" customHeight="1">
      <c r="A27" t="inlineStr">
        <is>
          <t>A 47242-2019</t>
        </is>
      </c>
      <c r="B27" s="1" t="n">
        <v>43721</v>
      </c>
      <c r="C27" s="1" t="n">
        <v>45657</v>
      </c>
      <c r="D27" t="inlineStr">
        <is>
          <t>STOCKHOLMS LÄN</t>
        </is>
      </c>
      <c r="E27" t="inlineStr">
        <is>
          <t>ÖSTERÅKER</t>
        </is>
      </c>
      <c r="G27" t="n">
        <v>3.7</v>
      </c>
      <c r="H27" t="n">
        <v>0</v>
      </c>
      <c r="I27" t="n">
        <v>0</v>
      </c>
      <c r="J27" t="n">
        <v>0</v>
      </c>
      <c r="K27" t="n">
        <v>0</v>
      </c>
      <c r="L27" t="n">
        <v>0</v>
      </c>
      <c r="M27" t="n">
        <v>0</v>
      </c>
      <c r="N27" t="n">
        <v>0</v>
      </c>
      <c r="O27" t="n">
        <v>0</v>
      </c>
      <c r="P27" t="n">
        <v>0</v>
      </c>
      <c r="Q27" t="n">
        <v>0</v>
      </c>
      <c r="R27" s="2" t="inlineStr"/>
    </row>
    <row r="28" ht="15" customHeight="1">
      <c r="A28" t="inlineStr">
        <is>
          <t>A 48932-2019</t>
        </is>
      </c>
      <c r="B28" s="1" t="n">
        <v>43728</v>
      </c>
      <c r="C28" s="1" t="n">
        <v>45657</v>
      </c>
      <c r="D28" t="inlineStr">
        <is>
          <t>STOCKHOLMS LÄN</t>
        </is>
      </c>
      <c r="E28" t="inlineStr">
        <is>
          <t>ÖSTERÅKER</t>
        </is>
      </c>
      <c r="G28" t="n">
        <v>5.9</v>
      </c>
      <c r="H28" t="n">
        <v>0</v>
      </c>
      <c r="I28" t="n">
        <v>0</v>
      </c>
      <c r="J28" t="n">
        <v>0</v>
      </c>
      <c r="K28" t="n">
        <v>0</v>
      </c>
      <c r="L28" t="n">
        <v>0</v>
      </c>
      <c r="M28" t="n">
        <v>0</v>
      </c>
      <c r="N28" t="n">
        <v>0</v>
      </c>
      <c r="O28" t="n">
        <v>0</v>
      </c>
      <c r="P28" t="n">
        <v>0</v>
      </c>
      <c r="Q28" t="n">
        <v>0</v>
      </c>
      <c r="R28" s="2" t="inlineStr"/>
    </row>
    <row r="29" ht="15" customHeight="1">
      <c r="A29" t="inlineStr">
        <is>
          <t>A 48906-2019</t>
        </is>
      </c>
      <c r="B29" s="1" t="n">
        <v>43728</v>
      </c>
      <c r="C29" s="1" t="n">
        <v>45657</v>
      </c>
      <c r="D29" t="inlineStr">
        <is>
          <t>STOCKHOLMS LÄN</t>
        </is>
      </c>
      <c r="E29" t="inlineStr">
        <is>
          <t>ÖSTERÅKER</t>
        </is>
      </c>
      <c r="G29" t="n">
        <v>6</v>
      </c>
      <c r="H29" t="n">
        <v>0</v>
      </c>
      <c r="I29" t="n">
        <v>0</v>
      </c>
      <c r="J29" t="n">
        <v>0</v>
      </c>
      <c r="K29" t="n">
        <v>0</v>
      </c>
      <c r="L29" t="n">
        <v>0</v>
      </c>
      <c r="M29" t="n">
        <v>0</v>
      </c>
      <c r="N29" t="n">
        <v>0</v>
      </c>
      <c r="O29" t="n">
        <v>0</v>
      </c>
      <c r="P29" t="n">
        <v>0</v>
      </c>
      <c r="Q29" t="n">
        <v>0</v>
      </c>
      <c r="R29" s="2" t="inlineStr"/>
    </row>
    <row r="30" ht="15" customHeight="1">
      <c r="A30" t="inlineStr">
        <is>
          <t>A 52139-2019</t>
        </is>
      </c>
      <c r="B30" s="1" t="n">
        <v>43742</v>
      </c>
      <c r="C30" s="1" t="n">
        <v>45657</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68105-2019</t>
        </is>
      </c>
      <c r="B31" s="1" t="n">
        <v>43817</v>
      </c>
      <c r="C31" s="1" t="n">
        <v>45657</v>
      </c>
      <c r="D31" t="inlineStr">
        <is>
          <t>STOCKHOLMS LÄN</t>
        </is>
      </c>
      <c r="E31" t="inlineStr">
        <is>
          <t>ÖSTERÅKER</t>
        </is>
      </c>
      <c r="G31" t="n">
        <v>16.6</v>
      </c>
      <c r="H31" t="n">
        <v>0</v>
      </c>
      <c r="I31" t="n">
        <v>0</v>
      </c>
      <c r="J31" t="n">
        <v>0</v>
      </c>
      <c r="K31" t="n">
        <v>0</v>
      </c>
      <c r="L31" t="n">
        <v>0</v>
      </c>
      <c r="M31" t="n">
        <v>0</v>
      </c>
      <c r="N31" t="n">
        <v>0</v>
      </c>
      <c r="O31" t="n">
        <v>0</v>
      </c>
      <c r="P31" t="n">
        <v>0</v>
      </c>
      <c r="Q31" t="n">
        <v>0</v>
      </c>
      <c r="R31" s="2" t="inlineStr"/>
    </row>
    <row r="32" ht="15" customHeight="1">
      <c r="A32" t="inlineStr">
        <is>
          <t>A 68121-2019</t>
        </is>
      </c>
      <c r="B32" s="1" t="n">
        <v>43817</v>
      </c>
      <c r="C32" s="1" t="n">
        <v>45657</v>
      </c>
      <c r="D32" t="inlineStr">
        <is>
          <t>STOCKHOLMS LÄN</t>
        </is>
      </c>
      <c r="E32" t="inlineStr">
        <is>
          <t>ÖSTERÅKER</t>
        </is>
      </c>
      <c r="G32" t="n">
        <v>4.2</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45657</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45657</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45657</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45657</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45657</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45657</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45657</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45657</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45657</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45657</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45657</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45657</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45657</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45657</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45657</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45657</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45657</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45657</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45657</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45657</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45657</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45657</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45657</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45657</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45657</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45657</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45657</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45657</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45657</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45657</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45657</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45657</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45657</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45657</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45657</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45657</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45657</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45657</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45657</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45657</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45657</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45657</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45657</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45657</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45657</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45657</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45657</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45657</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45657</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45657</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45657</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45657</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45657</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45657</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45657</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45657</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45657</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45657</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45657</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45657</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45657</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45657</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45657</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45657</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45657</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45657</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45657</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45657</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45657</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45657</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45657</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45657</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45657</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45657</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45657</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45657</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45657</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45657</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45657</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45657</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45657</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45657</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45657</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45657</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45657</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45657</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45657</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45657</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45657</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45657</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45657</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45657</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45657</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45657</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45657</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45657</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45657</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45657</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45657</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45657</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45657</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45657</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45657</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45657</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57055-2024</t>
        </is>
      </c>
      <c r="B137" s="1" t="n">
        <v>45629</v>
      </c>
      <c r="C137" s="1" t="n">
        <v>45657</v>
      </c>
      <c r="D137" t="inlineStr">
        <is>
          <t>STOCKHOLMS LÄN</t>
        </is>
      </c>
      <c r="E137" t="inlineStr">
        <is>
          <t>ÖSTERÅKER</t>
        </is>
      </c>
      <c r="G137" t="n">
        <v>0.5</v>
      </c>
      <c r="H137" t="n">
        <v>0</v>
      </c>
      <c r="I137" t="n">
        <v>0</v>
      </c>
      <c r="J137" t="n">
        <v>0</v>
      </c>
      <c r="K137" t="n">
        <v>0</v>
      </c>
      <c r="L137" t="n">
        <v>0</v>
      </c>
      <c r="M137" t="n">
        <v>0</v>
      </c>
      <c r="N137" t="n">
        <v>0</v>
      </c>
      <c r="O137" t="n">
        <v>0</v>
      </c>
      <c r="P137" t="n">
        <v>0</v>
      </c>
      <c r="Q137" t="n">
        <v>0</v>
      </c>
      <c r="R137" s="2" t="inlineStr"/>
    </row>
    <row r="138" ht="15" customHeight="1">
      <c r="A138" t="inlineStr">
        <is>
          <t>A 57050-2024</t>
        </is>
      </c>
      <c r="B138" s="1" t="n">
        <v>45629</v>
      </c>
      <c r="C138" s="1" t="n">
        <v>45657</v>
      </c>
      <c r="D138" t="inlineStr">
        <is>
          <t>STOCKHOLMS LÄN</t>
        </is>
      </c>
      <c r="E138" t="inlineStr">
        <is>
          <t>ÖSTERÅKER</t>
        </is>
      </c>
      <c r="G138" t="n">
        <v>0.8</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45657</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2024-12-31T15:53:02Z</dcterms:created>
  <dcterms:modified xmlns:dcterms="http://purl.org/dc/terms/" xmlns:xsi="http://www.w3.org/2001/XMLSchema-instance" xsi:type="dcterms:W3CDTF">2024-12-31T15:53:02Z</dcterms:modified>
</cp:coreProperties>
</file>