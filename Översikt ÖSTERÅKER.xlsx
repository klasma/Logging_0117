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45983</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45983</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45983</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45983</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45983</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45983</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45983</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45983</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45983</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36366-2025</t>
        </is>
      </c>
      <c r="B11" s="1" t="n">
        <v>45868</v>
      </c>
      <c r="C11" s="1" t="n">
        <v>45983</v>
      </c>
      <c r="D11" t="inlineStr">
        <is>
          <t>STOCKHOLMS LÄN</t>
        </is>
      </c>
      <c r="E11" t="inlineStr">
        <is>
          <t>ÖSTERÅKER</t>
        </is>
      </c>
      <c r="G11" t="n">
        <v>7.2</v>
      </c>
      <c r="H11" t="n">
        <v>0</v>
      </c>
      <c r="I11" t="n">
        <v>1</v>
      </c>
      <c r="J11" t="n">
        <v>1</v>
      </c>
      <c r="K11" t="n">
        <v>0</v>
      </c>
      <c r="L11" t="n">
        <v>0</v>
      </c>
      <c r="M11" t="n">
        <v>0</v>
      </c>
      <c r="N11" t="n">
        <v>0</v>
      </c>
      <c r="O11" t="n">
        <v>1</v>
      </c>
      <c r="P11" t="n">
        <v>0</v>
      </c>
      <c r="Q11" t="n">
        <v>2</v>
      </c>
      <c r="R11" s="2" t="inlineStr">
        <is>
          <t>Garnlav
Björksplintborre</t>
        </is>
      </c>
      <c r="S11">
        <f>HYPERLINK("https://klasma.github.io/Logging_0117/artfynd/A 36366-2025 artfynd.xlsx", "A 36366-2025")</f>
        <v/>
      </c>
      <c r="T11">
        <f>HYPERLINK("https://klasma.github.io/Logging_0117/kartor/A 36366-2025 karta.png", "A 36366-2025")</f>
        <v/>
      </c>
      <c r="V11">
        <f>HYPERLINK("https://klasma.github.io/Logging_0117/klagomål/A 36366-2025 FSC-klagomål.docx", "A 36366-2025")</f>
        <v/>
      </c>
      <c r="W11">
        <f>HYPERLINK("https://klasma.github.io/Logging_0117/klagomålsmail/A 36366-2025 FSC-klagomål mail.docx", "A 36366-2025")</f>
        <v/>
      </c>
      <c r="X11">
        <f>HYPERLINK("https://klasma.github.io/Logging_0117/tillsyn/A 36366-2025 tillsynsbegäran.docx", "A 36366-2025")</f>
        <v/>
      </c>
      <c r="Y11">
        <f>HYPERLINK("https://klasma.github.io/Logging_0117/tillsynsmail/A 36366-2025 tillsynsbegäran mail.docx", "A 36366-2025")</f>
        <v/>
      </c>
    </row>
    <row r="12" ht="15" customHeight="1">
      <c r="A12" t="inlineStr">
        <is>
          <t>A 31523-2022</t>
        </is>
      </c>
      <c r="B12" s="1" t="n">
        <v>44775.22490740741</v>
      </c>
      <c r="C12" s="1" t="n">
        <v>45983</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45983</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54703-2024</t>
        </is>
      </c>
      <c r="B14" s="1" t="n">
        <v>45618</v>
      </c>
      <c r="C14" s="1" t="n">
        <v>45983</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61363-2022</t>
        </is>
      </c>
      <c r="B15" s="1" t="n">
        <v>44915</v>
      </c>
      <c r="C15" s="1" t="n">
        <v>45983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22172-2022</t>
        </is>
      </c>
      <c r="B16" s="1" t="n">
        <v>44712</v>
      </c>
      <c r="C16" s="1" t="n">
        <v>45983</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38968-2025</t>
        </is>
      </c>
      <c r="B17" s="1" t="n">
        <v>45887.70863425926</v>
      </c>
      <c r="C17" s="1" t="n">
        <v>45983</v>
      </c>
      <c r="D17" t="inlineStr">
        <is>
          <t>STOCKHOLMS LÄN</t>
        </is>
      </c>
      <c r="E17" t="inlineStr">
        <is>
          <t>ÖSTERÅKER</t>
        </is>
      </c>
      <c r="G17" t="n">
        <v>7.2</v>
      </c>
      <c r="H17" t="n">
        <v>0</v>
      </c>
      <c r="I17" t="n">
        <v>1</v>
      </c>
      <c r="J17" t="n">
        <v>0</v>
      </c>
      <c r="K17" t="n">
        <v>0</v>
      </c>
      <c r="L17" t="n">
        <v>0</v>
      </c>
      <c r="M17" t="n">
        <v>0</v>
      </c>
      <c r="N17" t="n">
        <v>0</v>
      </c>
      <c r="O17" t="n">
        <v>0</v>
      </c>
      <c r="P17" t="n">
        <v>0</v>
      </c>
      <c r="Q17" t="n">
        <v>1</v>
      </c>
      <c r="R17" s="2" t="inlineStr">
        <is>
          <t>Fjällig taggsvamp s.str.</t>
        </is>
      </c>
      <c r="S17">
        <f>HYPERLINK("https://klasma.github.io/Logging_0117/artfynd/A 38968-2025 artfynd.xlsx", "A 38968-2025")</f>
        <v/>
      </c>
      <c r="T17">
        <f>HYPERLINK("https://klasma.github.io/Logging_0117/kartor/A 38968-2025 karta.png", "A 38968-2025")</f>
        <v/>
      </c>
      <c r="V17">
        <f>HYPERLINK("https://klasma.github.io/Logging_0117/klagomål/A 38968-2025 FSC-klagomål.docx", "A 38968-2025")</f>
        <v/>
      </c>
      <c r="W17">
        <f>HYPERLINK("https://klasma.github.io/Logging_0117/klagomålsmail/A 38968-2025 FSC-klagomål mail.docx", "A 38968-2025")</f>
        <v/>
      </c>
      <c r="X17">
        <f>HYPERLINK("https://klasma.github.io/Logging_0117/tillsyn/A 38968-2025 tillsynsbegäran.docx", "A 38968-2025")</f>
        <v/>
      </c>
      <c r="Y17">
        <f>HYPERLINK("https://klasma.github.io/Logging_0117/tillsynsmail/A 38968-2025 tillsynsbegäran mail.docx", "A 38968-2025")</f>
        <v/>
      </c>
    </row>
    <row r="18" ht="15" customHeight="1">
      <c r="A18" t="inlineStr">
        <is>
          <t>A 27921-2025</t>
        </is>
      </c>
      <c r="B18" s="1" t="n">
        <v>45817.4846875</v>
      </c>
      <c r="C18" s="1" t="n">
        <v>45983</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31716-2025</t>
        </is>
      </c>
      <c r="B19" s="1" t="n">
        <v>45834</v>
      </c>
      <c r="C19" s="1" t="n">
        <v>45983</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3919-2023</t>
        </is>
      </c>
      <c r="B20" s="1" t="n">
        <v>44952</v>
      </c>
      <c r="C20" s="1" t="n">
        <v>45983</v>
      </c>
      <c r="D20" t="inlineStr">
        <is>
          <t>STOCKHOLMS LÄN</t>
        </is>
      </c>
      <c r="E20" t="inlineStr">
        <is>
          <t>ÖSTERÅKER</t>
        </is>
      </c>
      <c r="F20" t="inlineStr">
        <is>
          <t>Kommuner</t>
        </is>
      </c>
      <c r="G20" t="n">
        <v>4.9</v>
      </c>
      <c r="H20" t="n">
        <v>0</v>
      </c>
      <c r="I20" t="n">
        <v>0</v>
      </c>
      <c r="J20" t="n">
        <v>1</v>
      </c>
      <c r="K20" t="n">
        <v>0</v>
      </c>
      <c r="L20" t="n">
        <v>0</v>
      </c>
      <c r="M20" t="n">
        <v>0</v>
      </c>
      <c r="N20" t="n">
        <v>0</v>
      </c>
      <c r="O20" t="n">
        <v>1</v>
      </c>
      <c r="P20" t="n">
        <v>0</v>
      </c>
      <c r="Q20" t="n">
        <v>1</v>
      </c>
      <c r="R20" s="2" t="inlineStr">
        <is>
          <t>Tallticka</t>
        </is>
      </c>
      <c r="S20">
        <f>HYPERLINK("https://klasma.github.io/Logging_0117/artfynd/A 3919-2023 artfynd.xlsx", "A 3919-2023")</f>
        <v/>
      </c>
      <c r="T20">
        <f>HYPERLINK("https://klasma.github.io/Logging_0117/kartor/A 3919-2023 karta.png", "A 3919-2023")</f>
        <v/>
      </c>
      <c r="V20">
        <f>HYPERLINK("https://klasma.github.io/Logging_0117/klagomål/A 3919-2023 FSC-klagomål.docx", "A 3919-2023")</f>
        <v/>
      </c>
      <c r="W20">
        <f>HYPERLINK("https://klasma.github.io/Logging_0117/klagomålsmail/A 3919-2023 FSC-klagomål mail.docx", "A 3919-2023")</f>
        <v/>
      </c>
      <c r="X20">
        <f>HYPERLINK("https://klasma.github.io/Logging_0117/tillsyn/A 3919-2023 tillsynsbegäran.docx", "A 3919-2023")</f>
        <v/>
      </c>
      <c r="Y20">
        <f>HYPERLINK("https://klasma.github.io/Logging_0117/tillsynsmail/A 3919-2023 tillsynsbegäran mail.docx", "A 3919-2023")</f>
        <v/>
      </c>
    </row>
    <row r="21" ht="15" customHeight="1">
      <c r="A21" t="inlineStr">
        <is>
          <t>A 13942-2021</t>
        </is>
      </c>
      <c r="B21" s="1" t="n">
        <v>44277</v>
      </c>
      <c r="C21" s="1" t="n">
        <v>45983</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45983</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45983</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45983</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45983</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45983</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45983</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45983</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45983</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45983</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45983</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45983</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45983</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45983</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45983</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13921-2021</t>
        </is>
      </c>
      <c r="B36" s="1" t="n">
        <v>44277</v>
      </c>
      <c r="C36" s="1" t="n">
        <v>45983</v>
      </c>
      <c r="D36" t="inlineStr">
        <is>
          <t>STOCKHOLMS LÄN</t>
        </is>
      </c>
      <c r="E36" t="inlineStr">
        <is>
          <t>ÖSTERÅKER</t>
        </is>
      </c>
      <c r="G36" t="n">
        <v>0.9</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45983</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17173-2022</t>
        </is>
      </c>
      <c r="B38" s="1" t="n">
        <v>44677</v>
      </c>
      <c r="C38" s="1" t="n">
        <v>45983</v>
      </c>
      <c r="D38" t="inlineStr">
        <is>
          <t>STOCKHOLMS LÄN</t>
        </is>
      </c>
      <c r="E38" t="inlineStr">
        <is>
          <t>ÖSTERÅKER</t>
        </is>
      </c>
      <c r="G38" t="n">
        <v>2.8</v>
      </c>
      <c r="H38" t="n">
        <v>0</v>
      </c>
      <c r="I38" t="n">
        <v>0</v>
      </c>
      <c r="J38" t="n">
        <v>0</v>
      </c>
      <c r="K38" t="n">
        <v>0</v>
      </c>
      <c r="L38" t="n">
        <v>0</v>
      </c>
      <c r="M38" t="n">
        <v>0</v>
      </c>
      <c r="N38" t="n">
        <v>0</v>
      </c>
      <c r="O38" t="n">
        <v>0</v>
      </c>
      <c r="P38" t="n">
        <v>0</v>
      </c>
      <c r="Q38" t="n">
        <v>0</v>
      </c>
      <c r="R38" s="2" t="inlineStr"/>
    </row>
    <row r="39" ht="15" customHeight="1">
      <c r="A39" t="inlineStr">
        <is>
          <t>A 10082-2022</t>
        </is>
      </c>
      <c r="B39" s="1" t="n">
        <v>44621</v>
      </c>
      <c r="C39" s="1" t="n">
        <v>45983</v>
      </c>
      <c r="D39" t="inlineStr">
        <is>
          <t>STOCKHOLMS LÄN</t>
        </is>
      </c>
      <c r="E39" t="inlineStr">
        <is>
          <t>ÖSTERÅKER</t>
        </is>
      </c>
      <c r="G39" t="n">
        <v>6</v>
      </c>
      <c r="H39" t="n">
        <v>0</v>
      </c>
      <c r="I39" t="n">
        <v>0</v>
      </c>
      <c r="J39" t="n">
        <v>0</v>
      </c>
      <c r="K39" t="n">
        <v>0</v>
      </c>
      <c r="L39" t="n">
        <v>0</v>
      </c>
      <c r="M39" t="n">
        <v>0</v>
      </c>
      <c r="N39" t="n">
        <v>0</v>
      </c>
      <c r="O39" t="n">
        <v>0</v>
      </c>
      <c r="P39" t="n">
        <v>0</v>
      </c>
      <c r="Q39" t="n">
        <v>0</v>
      </c>
      <c r="R39" s="2" t="inlineStr"/>
    </row>
    <row r="40" ht="15" customHeight="1">
      <c r="A40" t="inlineStr">
        <is>
          <t>A 28964-2022</t>
        </is>
      </c>
      <c r="B40" s="1" t="n">
        <v>44749</v>
      </c>
      <c r="C40" s="1" t="n">
        <v>45983</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45983</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45983</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45983</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45983</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45983</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45983</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45983</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45983</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27137-2025</t>
        </is>
      </c>
      <c r="B49" s="1" t="n">
        <v>45811.95890046296</v>
      </c>
      <c r="C49" s="1" t="n">
        <v>45983</v>
      </c>
      <c r="D49" t="inlineStr">
        <is>
          <t>STOCKHOLMS LÄN</t>
        </is>
      </c>
      <c r="E49" t="inlineStr">
        <is>
          <t>ÖSTERÅKER</t>
        </is>
      </c>
      <c r="G49" t="n">
        <v>3.8</v>
      </c>
      <c r="H49" t="n">
        <v>0</v>
      </c>
      <c r="I49" t="n">
        <v>0</v>
      </c>
      <c r="J49" t="n">
        <v>0</v>
      </c>
      <c r="K49" t="n">
        <v>0</v>
      </c>
      <c r="L49" t="n">
        <v>0</v>
      </c>
      <c r="M49" t="n">
        <v>0</v>
      </c>
      <c r="N49" t="n">
        <v>0</v>
      </c>
      <c r="O49" t="n">
        <v>0</v>
      </c>
      <c r="P49" t="n">
        <v>0</v>
      </c>
      <c r="Q49" t="n">
        <v>0</v>
      </c>
      <c r="R49" s="2" t="inlineStr"/>
    </row>
    <row r="50" ht="15" customHeight="1">
      <c r="A50" t="inlineStr">
        <is>
          <t>A 28146-2024</t>
        </is>
      </c>
      <c r="B50" s="1" t="n">
        <v>45476</v>
      </c>
      <c r="C50" s="1" t="n">
        <v>45983</v>
      </c>
      <c r="D50" t="inlineStr">
        <is>
          <t>STOCKHOLMS LÄN</t>
        </is>
      </c>
      <c r="E50" t="inlineStr">
        <is>
          <t>ÖSTERÅKER</t>
        </is>
      </c>
      <c r="F50" t="inlineStr">
        <is>
          <t>Övriga Aktiebolag</t>
        </is>
      </c>
      <c r="G50" t="n">
        <v>2.7</v>
      </c>
      <c r="H50" t="n">
        <v>0</v>
      </c>
      <c r="I50" t="n">
        <v>0</v>
      </c>
      <c r="J50" t="n">
        <v>0</v>
      </c>
      <c r="K50" t="n">
        <v>0</v>
      </c>
      <c r="L50" t="n">
        <v>0</v>
      </c>
      <c r="M50" t="n">
        <v>0</v>
      </c>
      <c r="N50" t="n">
        <v>0</v>
      </c>
      <c r="O50" t="n">
        <v>0</v>
      </c>
      <c r="P50" t="n">
        <v>0</v>
      </c>
      <c r="Q50" t="n">
        <v>0</v>
      </c>
      <c r="R50" s="2" t="inlineStr"/>
    </row>
    <row r="51" ht="15" customHeight="1">
      <c r="A51" t="inlineStr">
        <is>
          <t>A 27948-2025</t>
        </is>
      </c>
      <c r="B51" s="1" t="n">
        <v>45817.52460648148</v>
      </c>
      <c r="C51" s="1" t="n">
        <v>45983</v>
      </c>
      <c r="D51" t="inlineStr">
        <is>
          <t>STOCKHOLMS LÄN</t>
        </is>
      </c>
      <c r="E51" t="inlineStr">
        <is>
          <t>ÖSTERÅKER</t>
        </is>
      </c>
      <c r="G51" t="n">
        <v>5.6</v>
      </c>
      <c r="H51" t="n">
        <v>0</v>
      </c>
      <c r="I51" t="n">
        <v>0</v>
      </c>
      <c r="J51" t="n">
        <v>0</v>
      </c>
      <c r="K51" t="n">
        <v>0</v>
      </c>
      <c r="L51" t="n">
        <v>0</v>
      </c>
      <c r="M51" t="n">
        <v>0</v>
      </c>
      <c r="N51" t="n">
        <v>0</v>
      </c>
      <c r="O51" t="n">
        <v>0</v>
      </c>
      <c r="P51" t="n">
        <v>0</v>
      </c>
      <c r="Q51" t="n">
        <v>0</v>
      </c>
      <c r="R51" s="2" t="inlineStr"/>
    </row>
    <row r="52" ht="15" customHeight="1">
      <c r="A52" t="inlineStr">
        <is>
          <t>A 22528-2024</t>
        </is>
      </c>
      <c r="B52" s="1" t="n">
        <v>45447.44967592593</v>
      </c>
      <c r="C52" s="1" t="n">
        <v>45983</v>
      </c>
      <c r="D52" t="inlineStr">
        <is>
          <t>STOCKHOLMS LÄN</t>
        </is>
      </c>
      <c r="E52" t="inlineStr">
        <is>
          <t>ÖSTERÅKER</t>
        </is>
      </c>
      <c r="F52" t="inlineStr">
        <is>
          <t>Övriga Aktiebolag</t>
        </is>
      </c>
      <c r="G52" t="n">
        <v>1.4</v>
      </c>
      <c r="H52" t="n">
        <v>0</v>
      </c>
      <c r="I52" t="n">
        <v>0</v>
      </c>
      <c r="J52" t="n">
        <v>0</v>
      </c>
      <c r="K52" t="n">
        <v>0</v>
      </c>
      <c r="L52" t="n">
        <v>0</v>
      </c>
      <c r="M52" t="n">
        <v>0</v>
      </c>
      <c r="N52" t="n">
        <v>0</v>
      </c>
      <c r="O52" t="n">
        <v>0</v>
      </c>
      <c r="P52" t="n">
        <v>0</v>
      </c>
      <c r="Q52" t="n">
        <v>0</v>
      </c>
      <c r="R52" s="2" t="inlineStr"/>
    </row>
    <row r="53" ht="15" customHeight="1">
      <c r="A53" t="inlineStr">
        <is>
          <t>A 16803-2022</t>
        </is>
      </c>
      <c r="B53" s="1" t="n">
        <v>44673</v>
      </c>
      <c r="C53" s="1" t="n">
        <v>45983</v>
      </c>
      <c r="D53" t="inlineStr">
        <is>
          <t>STOCKHOLMS LÄN</t>
        </is>
      </c>
      <c r="E53" t="inlineStr">
        <is>
          <t>ÖSTERÅKER</t>
        </is>
      </c>
      <c r="G53" t="n">
        <v>1.9</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45983</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45983</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45983</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45983</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45983</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34034-2025</t>
        </is>
      </c>
      <c r="B59" s="1" t="n">
        <v>45842</v>
      </c>
      <c r="C59" s="1" t="n">
        <v>45983</v>
      </c>
      <c r="D59" t="inlineStr">
        <is>
          <t>STOCKHOLMS LÄN</t>
        </is>
      </c>
      <c r="E59" t="inlineStr">
        <is>
          <t>ÖSTERÅKER</t>
        </is>
      </c>
      <c r="F59" t="inlineStr">
        <is>
          <t>Övriga Aktiebolag</t>
        </is>
      </c>
      <c r="G59" t="n">
        <v>3.9</v>
      </c>
      <c r="H59" t="n">
        <v>0</v>
      </c>
      <c r="I59" t="n">
        <v>0</v>
      </c>
      <c r="J59" t="n">
        <v>0</v>
      </c>
      <c r="K59" t="n">
        <v>0</v>
      </c>
      <c r="L59" t="n">
        <v>0</v>
      </c>
      <c r="M59" t="n">
        <v>0</v>
      </c>
      <c r="N59" t="n">
        <v>0</v>
      </c>
      <c r="O59" t="n">
        <v>0</v>
      </c>
      <c r="P59" t="n">
        <v>0</v>
      </c>
      <c r="Q59" t="n">
        <v>0</v>
      </c>
      <c r="R59" s="2" t="inlineStr"/>
    </row>
    <row r="60" ht="15" customHeight="1">
      <c r="A60" t="inlineStr">
        <is>
          <t>A 34038-2025</t>
        </is>
      </c>
      <c r="B60" s="1" t="n">
        <v>45842</v>
      </c>
      <c r="C60" s="1" t="n">
        <v>45983</v>
      </c>
      <c r="D60" t="inlineStr">
        <is>
          <t>STOCKHOLMS LÄN</t>
        </is>
      </c>
      <c r="E60" t="inlineStr">
        <is>
          <t>ÖSTERÅKER</t>
        </is>
      </c>
      <c r="F60" t="inlineStr">
        <is>
          <t>Övriga Aktiebolag</t>
        </is>
      </c>
      <c r="G60" t="n">
        <v>4.7</v>
      </c>
      <c r="H60" t="n">
        <v>0</v>
      </c>
      <c r="I60" t="n">
        <v>0</v>
      </c>
      <c r="J60" t="n">
        <v>0</v>
      </c>
      <c r="K60" t="n">
        <v>0</v>
      </c>
      <c r="L60" t="n">
        <v>0</v>
      </c>
      <c r="M60" t="n">
        <v>0</v>
      </c>
      <c r="N60" t="n">
        <v>0</v>
      </c>
      <c r="O60" t="n">
        <v>0</v>
      </c>
      <c r="P60" t="n">
        <v>0</v>
      </c>
      <c r="Q60" t="n">
        <v>0</v>
      </c>
      <c r="R60" s="2" t="inlineStr"/>
    </row>
    <row r="61" ht="15" customHeight="1">
      <c r="A61" t="inlineStr">
        <is>
          <t>A 34079-2025</t>
        </is>
      </c>
      <c r="B61" s="1" t="n">
        <v>45842</v>
      </c>
      <c r="C61" s="1" t="n">
        <v>45983</v>
      </c>
      <c r="D61" t="inlineStr">
        <is>
          <t>STOCKHOLMS LÄN</t>
        </is>
      </c>
      <c r="E61" t="inlineStr">
        <is>
          <t>ÖSTERÅKER</t>
        </is>
      </c>
      <c r="F61" t="inlineStr">
        <is>
          <t>Övriga Aktiebolag</t>
        </is>
      </c>
      <c r="G61" t="n">
        <v>4.1</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45983</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35656-2025</t>
        </is>
      </c>
      <c r="B63" s="1" t="n">
        <v>45859</v>
      </c>
      <c r="C63" s="1" t="n">
        <v>45983</v>
      </c>
      <c r="D63" t="inlineStr">
        <is>
          <t>STOCKHOLMS LÄN</t>
        </is>
      </c>
      <c r="E63" t="inlineStr">
        <is>
          <t>ÖSTERÅKER</t>
        </is>
      </c>
      <c r="G63" t="n">
        <v>1.5</v>
      </c>
      <c r="H63" t="n">
        <v>0</v>
      </c>
      <c r="I63" t="n">
        <v>0</v>
      </c>
      <c r="J63" t="n">
        <v>0</v>
      </c>
      <c r="K63" t="n">
        <v>0</v>
      </c>
      <c r="L63" t="n">
        <v>0</v>
      </c>
      <c r="M63" t="n">
        <v>0</v>
      </c>
      <c r="N63" t="n">
        <v>0</v>
      </c>
      <c r="O63" t="n">
        <v>0</v>
      </c>
      <c r="P63" t="n">
        <v>0</v>
      </c>
      <c r="Q63" t="n">
        <v>0</v>
      </c>
      <c r="R63" s="2" t="inlineStr"/>
    </row>
    <row r="64" ht="15" customHeight="1">
      <c r="A64" t="inlineStr">
        <is>
          <t>A 35819-2025</t>
        </is>
      </c>
      <c r="B64" s="1" t="n">
        <v>45861</v>
      </c>
      <c r="C64" s="1" t="n">
        <v>45983</v>
      </c>
      <c r="D64" t="inlineStr">
        <is>
          <t>STOCKHOLMS LÄN</t>
        </is>
      </c>
      <c r="E64" t="inlineStr">
        <is>
          <t>ÖSTERÅKER</t>
        </is>
      </c>
      <c r="F64" t="inlineStr">
        <is>
          <t>Övriga Aktiebolag</t>
        </is>
      </c>
      <c r="G64" t="n">
        <v>8</v>
      </c>
      <c r="H64" t="n">
        <v>0</v>
      </c>
      <c r="I64" t="n">
        <v>0</v>
      </c>
      <c r="J64" t="n">
        <v>0</v>
      </c>
      <c r="K64" t="n">
        <v>0</v>
      </c>
      <c r="L64" t="n">
        <v>0</v>
      </c>
      <c r="M64" t="n">
        <v>0</v>
      </c>
      <c r="N64" t="n">
        <v>0</v>
      </c>
      <c r="O64" t="n">
        <v>0</v>
      </c>
      <c r="P64" t="n">
        <v>0</v>
      </c>
      <c r="Q64" t="n">
        <v>0</v>
      </c>
      <c r="R64" s="2" t="inlineStr"/>
    </row>
    <row r="65" ht="15" customHeight="1">
      <c r="A65" t="inlineStr">
        <is>
          <t>A 36614-2025</t>
        </is>
      </c>
      <c r="B65" s="1" t="n">
        <v>45870</v>
      </c>
      <c r="C65" s="1" t="n">
        <v>45983</v>
      </c>
      <c r="D65" t="inlineStr">
        <is>
          <t>STOCKHOLMS LÄN</t>
        </is>
      </c>
      <c r="E65" t="inlineStr">
        <is>
          <t>ÖSTERÅKER</t>
        </is>
      </c>
      <c r="G65" t="n">
        <v>1.7</v>
      </c>
      <c r="H65" t="n">
        <v>0</v>
      </c>
      <c r="I65" t="n">
        <v>0</v>
      </c>
      <c r="J65" t="n">
        <v>0</v>
      </c>
      <c r="K65" t="n">
        <v>0</v>
      </c>
      <c r="L65" t="n">
        <v>0</v>
      </c>
      <c r="M65" t="n">
        <v>0</v>
      </c>
      <c r="N65" t="n">
        <v>0</v>
      </c>
      <c r="O65" t="n">
        <v>0</v>
      </c>
      <c r="P65" t="n">
        <v>0</v>
      </c>
      <c r="Q65" t="n">
        <v>0</v>
      </c>
      <c r="R65" s="2" t="inlineStr"/>
    </row>
    <row r="66" ht="15" customHeight="1">
      <c r="A66" t="inlineStr">
        <is>
          <t>A 36612-2025</t>
        </is>
      </c>
      <c r="B66" s="1" t="n">
        <v>45870</v>
      </c>
      <c r="C66" s="1" t="n">
        <v>45983</v>
      </c>
      <c r="D66" t="inlineStr">
        <is>
          <t>STOCKHOLMS LÄN</t>
        </is>
      </c>
      <c r="E66" t="inlineStr">
        <is>
          <t>ÖSTERÅKER</t>
        </is>
      </c>
      <c r="F66" t="inlineStr">
        <is>
          <t>Övriga Aktiebolag</t>
        </is>
      </c>
      <c r="G66" t="n">
        <v>2.1</v>
      </c>
      <c r="H66" t="n">
        <v>0</v>
      </c>
      <c r="I66" t="n">
        <v>0</v>
      </c>
      <c r="J66" t="n">
        <v>0</v>
      </c>
      <c r="K66" t="n">
        <v>0</v>
      </c>
      <c r="L66" t="n">
        <v>0</v>
      </c>
      <c r="M66" t="n">
        <v>0</v>
      </c>
      <c r="N66" t="n">
        <v>0</v>
      </c>
      <c r="O66" t="n">
        <v>0</v>
      </c>
      <c r="P66" t="n">
        <v>0</v>
      </c>
      <c r="Q66" t="n">
        <v>0</v>
      </c>
      <c r="R66" s="2" t="inlineStr"/>
    </row>
    <row r="67" ht="15" customHeight="1">
      <c r="A67" t="inlineStr">
        <is>
          <t>A 36611-2025</t>
        </is>
      </c>
      <c r="B67" s="1" t="n">
        <v>45870</v>
      </c>
      <c r="C67" s="1" t="n">
        <v>45983</v>
      </c>
      <c r="D67" t="inlineStr">
        <is>
          <t>STOCKHOLMS LÄN</t>
        </is>
      </c>
      <c r="E67" t="inlineStr">
        <is>
          <t>ÖSTERÅKER</t>
        </is>
      </c>
      <c r="F67" t="inlineStr">
        <is>
          <t>Övriga Aktiebolag</t>
        </is>
      </c>
      <c r="G67" t="n">
        <v>2.6</v>
      </c>
      <c r="H67" t="n">
        <v>0</v>
      </c>
      <c r="I67" t="n">
        <v>0</v>
      </c>
      <c r="J67" t="n">
        <v>0</v>
      </c>
      <c r="K67" t="n">
        <v>0</v>
      </c>
      <c r="L67" t="n">
        <v>0</v>
      </c>
      <c r="M67" t="n">
        <v>0</v>
      </c>
      <c r="N67" t="n">
        <v>0</v>
      </c>
      <c r="O67" t="n">
        <v>0</v>
      </c>
      <c r="P67" t="n">
        <v>0</v>
      </c>
      <c r="Q67" t="n">
        <v>0</v>
      </c>
      <c r="R67" s="2" t="inlineStr"/>
    </row>
    <row r="68" ht="15" customHeight="1">
      <c r="A68" t="inlineStr">
        <is>
          <t>A 52220-2025</t>
        </is>
      </c>
      <c r="B68" s="1" t="n">
        <v>45953</v>
      </c>
      <c r="C68" s="1" t="n">
        <v>45983</v>
      </c>
      <c r="D68" t="inlineStr">
        <is>
          <t>STOCKHOLMS LÄN</t>
        </is>
      </c>
      <c r="E68" t="inlineStr">
        <is>
          <t>ÖSTERÅKER</t>
        </is>
      </c>
      <c r="G68" t="n">
        <v>0.8</v>
      </c>
      <c r="H68" t="n">
        <v>0</v>
      </c>
      <c r="I68" t="n">
        <v>0</v>
      </c>
      <c r="J68" t="n">
        <v>0</v>
      </c>
      <c r="K68" t="n">
        <v>0</v>
      </c>
      <c r="L68" t="n">
        <v>0</v>
      </c>
      <c r="M68" t="n">
        <v>0</v>
      </c>
      <c r="N68" t="n">
        <v>0</v>
      </c>
      <c r="O68" t="n">
        <v>0</v>
      </c>
      <c r="P68" t="n">
        <v>0</v>
      </c>
      <c r="Q68" t="n">
        <v>0</v>
      </c>
      <c r="R68" s="2" t="inlineStr"/>
    </row>
    <row r="69" ht="15" customHeight="1">
      <c r="A69" t="inlineStr">
        <is>
          <t>A 544-2023</t>
        </is>
      </c>
      <c r="B69" s="1" t="n">
        <v>44924</v>
      </c>
      <c r="C69" s="1" t="n">
        <v>45983</v>
      </c>
      <c r="D69" t="inlineStr">
        <is>
          <t>STOCKHOLMS LÄN</t>
        </is>
      </c>
      <c r="E69" t="inlineStr">
        <is>
          <t>ÖSTERÅKER</t>
        </is>
      </c>
      <c r="F69" t="inlineStr">
        <is>
          <t>Övriga Aktiebolag</t>
        </is>
      </c>
      <c r="G69" t="n">
        <v>0.9</v>
      </c>
      <c r="H69" t="n">
        <v>0</v>
      </c>
      <c r="I69" t="n">
        <v>0</v>
      </c>
      <c r="J69" t="n">
        <v>0</v>
      </c>
      <c r="K69" t="n">
        <v>0</v>
      </c>
      <c r="L69" t="n">
        <v>0</v>
      </c>
      <c r="M69" t="n">
        <v>0</v>
      </c>
      <c r="N69" t="n">
        <v>0</v>
      </c>
      <c r="O69" t="n">
        <v>0</v>
      </c>
      <c r="P69" t="n">
        <v>0</v>
      </c>
      <c r="Q69" t="n">
        <v>0</v>
      </c>
      <c r="R69" s="2" t="inlineStr"/>
    </row>
    <row r="70" ht="15" customHeight="1">
      <c r="A70" t="inlineStr">
        <is>
          <t>A 470-2022</t>
        </is>
      </c>
      <c r="B70" s="1" t="n">
        <v>44565</v>
      </c>
      <c r="C70" s="1" t="n">
        <v>45983</v>
      </c>
      <c r="D70" t="inlineStr">
        <is>
          <t>STOCKHOLMS LÄN</t>
        </is>
      </c>
      <c r="E70" t="inlineStr">
        <is>
          <t>ÖSTERÅKER</t>
        </is>
      </c>
      <c r="F70" t="inlineStr">
        <is>
          <t>Övriga Aktiebolag</t>
        </is>
      </c>
      <c r="G70" t="n">
        <v>4.6</v>
      </c>
      <c r="H70" t="n">
        <v>0</v>
      </c>
      <c r="I70" t="n">
        <v>0</v>
      </c>
      <c r="J70" t="n">
        <v>0</v>
      </c>
      <c r="K70" t="n">
        <v>0</v>
      </c>
      <c r="L70" t="n">
        <v>0</v>
      </c>
      <c r="M70" t="n">
        <v>0</v>
      </c>
      <c r="N70" t="n">
        <v>0</v>
      </c>
      <c r="O70" t="n">
        <v>0</v>
      </c>
      <c r="P70" t="n">
        <v>0</v>
      </c>
      <c r="Q70" t="n">
        <v>0</v>
      </c>
      <c r="R70" s="2" t="inlineStr"/>
    </row>
    <row r="71" ht="15" customHeight="1">
      <c r="A71" t="inlineStr">
        <is>
          <t>A 31575-2022</t>
        </is>
      </c>
      <c r="B71" s="1" t="n">
        <v>44775.45063657407</v>
      </c>
      <c r="C71" s="1" t="n">
        <v>45983</v>
      </c>
      <c r="D71" t="inlineStr">
        <is>
          <t>STOCKHOLMS LÄN</t>
        </is>
      </c>
      <c r="E71" t="inlineStr">
        <is>
          <t>ÖSTERÅKER</t>
        </is>
      </c>
      <c r="G71" t="n">
        <v>5</v>
      </c>
      <c r="H71" t="n">
        <v>0</v>
      </c>
      <c r="I71" t="n">
        <v>0</v>
      </c>
      <c r="J71" t="n">
        <v>0</v>
      </c>
      <c r="K71" t="n">
        <v>0</v>
      </c>
      <c r="L71" t="n">
        <v>0</v>
      </c>
      <c r="M71" t="n">
        <v>0</v>
      </c>
      <c r="N71" t="n">
        <v>0</v>
      </c>
      <c r="O71" t="n">
        <v>0</v>
      </c>
      <c r="P71" t="n">
        <v>0</v>
      </c>
      <c r="Q71" t="n">
        <v>0</v>
      </c>
      <c r="R71" s="2" t="inlineStr"/>
    </row>
    <row r="72" ht="15" customHeight="1">
      <c r="A72" t="inlineStr">
        <is>
          <t>A 33158-2024</t>
        </is>
      </c>
      <c r="B72" s="1" t="n">
        <v>45518</v>
      </c>
      <c r="C72" s="1" t="n">
        <v>45983</v>
      </c>
      <c r="D72" t="inlineStr">
        <is>
          <t>STOCKHOLMS LÄN</t>
        </is>
      </c>
      <c r="E72" t="inlineStr">
        <is>
          <t>ÖSTERÅKER</t>
        </is>
      </c>
      <c r="G72" t="n">
        <v>1.6</v>
      </c>
      <c r="H72" t="n">
        <v>0</v>
      </c>
      <c r="I72" t="n">
        <v>0</v>
      </c>
      <c r="J72" t="n">
        <v>0</v>
      </c>
      <c r="K72" t="n">
        <v>0</v>
      </c>
      <c r="L72" t="n">
        <v>0</v>
      </c>
      <c r="M72" t="n">
        <v>0</v>
      </c>
      <c r="N72" t="n">
        <v>0</v>
      </c>
      <c r="O72" t="n">
        <v>0</v>
      </c>
      <c r="P72" t="n">
        <v>0</v>
      </c>
      <c r="Q72" t="n">
        <v>0</v>
      </c>
      <c r="R72" s="2" t="inlineStr"/>
    </row>
    <row r="73" ht="15" customHeight="1">
      <c r="A73" t="inlineStr">
        <is>
          <t>A 13366-2024</t>
        </is>
      </c>
      <c r="B73" s="1" t="n">
        <v>45387</v>
      </c>
      <c r="C73" s="1" t="n">
        <v>45983</v>
      </c>
      <c r="D73" t="inlineStr">
        <is>
          <t>STOCKHOLMS LÄN</t>
        </is>
      </c>
      <c r="E73" t="inlineStr">
        <is>
          <t>ÖSTERÅKER</t>
        </is>
      </c>
      <c r="G73" t="n">
        <v>13.7</v>
      </c>
      <c r="H73" t="n">
        <v>0</v>
      </c>
      <c r="I73" t="n">
        <v>0</v>
      </c>
      <c r="J73" t="n">
        <v>0</v>
      </c>
      <c r="K73" t="n">
        <v>0</v>
      </c>
      <c r="L73" t="n">
        <v>0</v>
      </c>
      <c r="M73" t="n">
        <v>0</v>
      </c>
      <c r="N73" t="n">
        <v>0</v>
      </c>
      <c r="O73" t="n">
        <v>0</v>
      </c>
      <c r="P73" t="n">
        <v>0</v>
      </c>
      <c r="Q73" t="n">
        <v>0</v>
      </c>
      <c r="R73" s="2" t="inlineStr"/>
    </row>
    <row r="74" ht="15" customHeight="1">
      <c r="A74" t="inlineStr">
        <is>
          <t>A 61360-2022</t>
        </is>
      </c>
      <c r="B74" s="1" t="n">
        <v>44915</v>
      </c>
      <c r="C74" s="1" t="n">
        <v>45983</v>
      </c>
      <c r="D74" t="inlineStr">
        <is>
          <t>STOCKHOLMS LÄN</t>
        </is>
      </c>
      <c r="E74" t="inlineStr">
        <is>
          <t>ÖSTERÅKER</t>
        </is>
      </c>
      <c r="G74" t="n">
        <v>2.3</v>
      </c>
      <c r="H74" t="n">
        <v>0</v>
      </c>
      <c r="I74" t="n">
        <v>0</v>
      </c>
      <c r="J74" t="n">
        <v>0</v>
      </c>
      <c r="K74" t="n">
        <v>0</v>
      </c>
      <c r="L74" t="n">
        <v>0</v>
      </c>
      <c r="M74" t="n">
        <v>0</v>
      </c>
      <c r="N74" t="n">
        <v>0</v>
      </c>
      <c r="O74" t="n">
        <v>0</v>
      </c>
      <c r="P74" t="n">
        <v>0</v>
      </c>
      <c r="Q74" t="n">
        <v>0</v>
      </c>
      <c r="R74" s="2" t="inlineStr"/>
    </row>
    <row r="75" ht="15" customHeight="1">
      <c r="A75" t="inlineStr">
        <is>
          <t>A 62108-2022</t>
        </is>
      </c>
      <c r="B75" s="1" t="n">
        <v>44920</v>
      </c>
      <c r="C75" s="1" t="n">
        <v>45983</v>
      </c>
      <c r="D75" t="inlineStr">
        <is>
          <t>STOCKHOLMS LÄN</t>
        </is>
      </c>
      <c r="E75" t="inlineStr">
        <is>
          <t>ÖSTERÅKER</t>
        </is>
      </c>
      <c r="G75" t="n">
        <v>1.5</v>
      </c>
      <c r="H75" t="n">
        <v>0</v>
      </c>
      <c r="I75" t="n">
        <v>0</v>
      </c>
      <c r="J75" t="n">
        <v>0</v>
      </c>
      <c r="K75" t="n">
        <v>0</v>
      </c>
      <c r="L75" t="n">
        <v>0</v>
      </c>
      <c r="M75" t="n">
        <v>0</v>
      </c>
      <c r="N75" t="n">
        <v>0</v>
      </c>
      <c r="O75" t="n">
        <v>0</v>
      </c>
      <c r="P75" t="n">
        <v>0</v>
      </c>
      <c r="Q75" t="n">
        <v>0</v>
      </c>
      <c r="R75" s="2" t="inlineStr"/>
    </row>
    <row r="76" ht="15" customHeight="1">
      <c r="A76" t="inlineStr">
        <is>
          <t>A 6655-2023</t>
        </is>
      </c>
      <c r="B76" s="1" t="n">
        <v>44966.60668981481</v>
      </c>
      <c r="C76" s="1" t="n">
        <v>45983</v>
      </c>
      <c r="D76" t="inlineStr">
        <is>
          <t>STOCKHOLMS LÄN</t>
        </is>
      </c>
      <c r="E76" t="inlineStr">
        <is>
          <t>ÖSTERÅKER</t>
        </is>
      </c>
      <c r="G76" t="n">
        <v>0.8</v>
      </c>
      <c r="H76" t="n">
        <v>0</v>
      </c>
      <c r="I76" t="n">
        <v>0</v>
      </c>
      <c r="J76" t="n">
        <v>0</v>
      </c>
      <c r="K76" t="n">
        <v>0</v>
      </c>
      <c r="L76" t="n">
        <v>0</v>
      </c>
      <c r="M76" t="n">
        <v>0</v>
      </c>
      <c r="N76" t="n">
        <v>0</v>
      </c>
      <c r="O76" t="n">
        <v>0</v>
      </c>
      <c r="P76" t="n">
        <v>0</v>
      </c>
      <c r="Q76" t="n">
        <v>0</v>
      </c>
      <c r="R76" s="2" t="inlineStr"/>
    </row>
    <row r="77" ht="15" customHeight="1">
      <c r="A77" t="inlineStr">
        <is>
          <t>A 31134-2023</t>
        </is>
      </c>
      <c r="B77" s="1" t="n">
        <v>45113</v>
      </c>
      <c r="C77" s="1" t="n">
        <v>45983</v>
      </c>
      <c r="D77" t="inlineStr">
        <is>
          <t>STOCKHOLMS LÄN</t>
        </is>
      </c>
      <c r="E77" t="inlineStr">
        <is>
          <t>ÖSTERÅKER</t>
        </is>
      </c>
      <c r="G77" t="n">
        <v>2.1</v>
      </c>
      <c r="H77" t="n">
        <v>0</v>
      </c>
      <c r="I77" t="n">
        <v>0</v>
      </c>
      <c r="J77" t="n">
        <v>0</v>
      </c>
      <c r="K77" t="n">
        <v>0</v>
      </c>
      <c r="L77" t="n">
        <v>0</v>
      </c>
      <c r="M77" t="n">
        <v>0</v>
      </c>
      <c r="N77" t="n">
        <v>0</v>
      </c>
      <c r="O77" t="n">
        <v>0</v>
      </c>
      <c r="P77" t="n">
        <v>0</v>
      </c>
      <c r="Q77" t="n">
        <v>0</v>
      </c>
      <c r="R77" s="2" t="inlineStr"/>
    </row>
    <row r="78" ht="15" customHeight="1">
      <c r="A78" t="inlineStr">
        <is>
          <t>A 57048-2024</t>
        </is>
      </c>
      <c r="B78" s="1" t="n">
        <v>45629.33938657407</v>
      </c>
      <c r="C78" s="1" t="n">
        <v>45983</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57055-2024</t>
        </is>
      </c>
      <c r="B79" s="1" t="n">
        <v>45629.34627314815</v>
      </c>
      <c r="C79" s="1" t="n">
        <v>45983</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45983</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3326-2022</t>
        </is>
      </c>
      <c r="B81" s="1" t="n">
        <v>44583</v>
      </c>
      <c r="C81" s="1" t="n">
        <v>45983</v>
      </c>
      <c r="D81" t="inlineStr">
        <is>
          <t>STOCKHOLMS LÄN</t>
        </is>
      </c>
      <c r="E81" t="inlineStr">
        <is>
          <t>ÖSTERÅKER</t>
        </is>
      </c>
      <c r="F81" t="inlineStr">
        <is>
          <t>Övriga Aktiebolag</t>
        </is>
      </c>
      <c r="G81" t="n">
        <v>2.7</v>
      </c>
      <c r="H81" t="n">
        <v>0</v>
      </c>
      <c r="I81" t="n">
        <v>0</v>
      </c>
      <c r="J81" t="n">
        <v>0</v>
      </c>
      <c r="K81" t="n">
        <v>0</v>
      </c>
      <c r="L81" t="n">
        <v>0</v>
      </c>
      <c r="M81" t="n">
        <v>0</v>
      </c>
      <c r="N81" t="n">
        <v>0</v>
      </c>
      <c r="O81" t="n">
        <v>0</v>
      </c>
      <c r="P81" t="n">
        <v>0</v>
      </c>
      <c r="Q81" t="n">
        <v>0</v>
      </c>
      <c r="R81" s="2" t="inlineStr"/>
    </row>
    <row r="82" ht="15" customHeight="1">
      <c r="A82" t="inlineStr">
        <is>
          <t>A 9842-2025</t>
        </is>
      </c>
      <c r="B82" s="1" t="n">
        <v>45716</v>
      </c>
      <c r="C82" s="1" t="n">
        <v>45983</v>
      </c>
      <c r="D82" t="inlineStr">
        <is>
          <t>STOCKHOLMS LÄN</t>
        </is>
      </c>
      <c r="E82" t="inlineStr">
        <is>
          <t>ÖSTERÅKER</t>
        </is>
      </c>
      <c r="G82" t="n">
        <v>4.8</v>
      </c>
      <c r="H82" t="n">
        <v>0</v>
      </c>
      <c r="I82" t="n">
        <v>0</v>
      </c>
      <c r="J82" t="n">
        <v>0</v>
      </c>
      <c r="K82" t="n">
        <v>0</v>
      </c>
      <c r="L82" t="n">
        <v>0</v>
      </c>
      <c r="M82" t="n">
        <v>0</v>
      </c>
      <c r="N82" t="n">
        <v>0</v>
      </c>
      <c r="O82" t="n">
        <v>0</v>
      </c>
      <c r="P82" t="n">
        <v>0</v>
      </c>
      <c r="Q82" t="n">
        <v>0</v>
      </c>
      <c r="R82" s="2" t="inlineStr"/>
    </row>
    <row r="83" ht="15" customHeight="1">
      <c r="A83" t="inlineStr">
        <is>
          <t>A 56909-2024</t>
        </is>
      </c>
      <c r="B83" s="1" t="n">
        <v>45628.59060185185</v>
      </c>
      <c r="C83" s="1" t="n">
        <v>45983</v>
      </c>
      <c r="D83" t="inlineStr">
        <is>
          <t>STOCKHOLMS LÄN</t>
        </is>
      </c>
      <c r="E83" t="inlineStr">
        <is>
          <t>ÖSTERÅKER</t>
        </is>
      </c>
      <c r="G83" t="n">
        <v>1</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45983</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45983</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45983</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45983</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45983</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45983</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45983</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45983</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24499-2023</t>
        </is>
      </c>
      <c r="B92" s="1" t="n">
        <v>45082</v>
      </c>
      <c r="C92" s="1" t="n">
        <v>45983</v>
      </c>
      <c r="D92" t="inlineStr">
        <is>
          <t>STOCKHOLMS LÄN</t>
        </is>
      </c>
      <c r="E92" t="inlineStr">
        <is>
          <t>ÖSTERÅKER</t>
        </is>
      </c>
      <c r="G92" t="n">
        <v>0.1</v>
      </c>
      <c r="H92" t="n">
        <v>0</v>
      </c>
      <c r="I92" t="n">
        <v>0</v>
      </c>
      <c r="J92" t="n">
        <v>0</v>
      </c>
      <c r="K92" t="n">
        <v>0</v>
      </c>
      <c r="L92" t="n">
        <v>0</v>
      </c>
      <c r="M92" t="n">
        <v>0</v>
      </c>
      <c r="N92" t="n">
        <v>0</v>
      </c>
      <c r="O92" t="n">
        <v>0</v>
      </c>
      <c r="P92" t="n">
        <v>0</v>
      </c>
      <c r="Q92" t="n">
        <v>0</v>
      </c>
      <c r="R92" s="2" t="inlineStr"/>
    </row>
    <row r="93" ht="15" customHeight="1">
      <c r="A93" t="inlineStr">
        <is>
          <t>A 17196-2022</t>
        </is>
      </c>
      <c r="B93" s="1" t="n">
        <v>44677</v>
      </c>
      <c r="C93" s="1" t="n">
        <v>45983</v>
      </c>
      <c r="D93" t="inlineStr">
        <is>
          <t>STOCKHOLMS LÄN</t>
        </is>
      </c>
      <c r="E93" t="inlineStr">
        <is>
          <t>ÖSTERÅKER</t>
        </is>
      </c>
      <c r="G93" t="n">
        <v>5.9</v>
      </c>
      <c r="H93" t="n">
        <v>0</v>
      </c>
      <c r="I93" t="n">
        <v>0</v>
      </c>
      <c r="J93" t="n">
        <v>0</v>
      </c>
      <c r="K93" t="n">
        <v>0</v>
      </c>
      <c r="L93" t="n">
        <v>0</v>
      </c>
      <c r="M93" t="n">
        <v>0</v>
      </c>
      <c r="N93" t="n">
        <v>0</v>
      </c>
      <c r="O93" t="n">
        <v>0</v>
      </c>
      <c r="P93" t="n">
        <v>0</v>
      </c>
      <c r="Q93" t="n">
        <v>0</v>
      </c>
      <c r="R93" s="2" t="inlineStr"/>
    </row>
    <row r="94" ht="15" customHeight="1">
      <c r="A94" t="inlineStr">
        <is>
          <t>A 1603-2023</t>
        </is>
      </c>
      <c r="B94" s="1" t="n">
        <v>44937.68086805556</v>
      </c>
      <c r="C94" s="1" t="n">
        <v>45983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1605-2023</t>
        </is>
      </c>
      <c r="B95" s="1" t="n">
        <v>44937.68299768519</v>
      </c>
      <c r="C95" s="1" t="n">
        <v>45983</v>
      </c>
      <c r="D95" t="inlineStr">
        <is>
          <t>STOCKHOLMS LÄN</t>
        </is>
      </c>
      <c r="E95" t="inlineStr">
        <is>
          <t>ÖSTERÅKER</t>
        </is>
      </c>
      <c r="G95" t="n">
        <v>2.9</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45983</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45983</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18711-2023</t>
        </is>
      </c>
      <c r="B98" s="1" t="n">
        <v>45043.6433912037</v>
      </c>
      <c r="C98" s="1" t="n">
        <v>45983</v>
      </c>
      <c r="D98" t="inlineStr">
        <is>
          <t>STOCKHOLMS LÄN</t>
        </is>
      </c>
      <c r="E98" t="inlineStr">
        <is>
          <t>ÖSTERÅKER</t>
        </is>
      </c>
      <c r="G98" t="n">
        <v>3</v>
      </c>
      <c r="H98" t="n">
        <v>0</v>
      </c>
      <c r="I98" t="n">
        <v>0</v>
      </c>
      <c r="J98" t="n">
        <v>0</v>
      </c>
      <c r="K98" t="n">
        <v>0</v>
      </c>
      <c r="L98" t="n">
        <v>0</v>
      </c>
      <c r="M98" t="n">
        <v>0</v>
      </c>
      <c r="N98" t="n">
        <v>0</v>
      </c>
      <c r="O98" t="n">
        <v>0</v>
      </c>
      <c r="P98" t="n">
        <v>0</v>
      </c>
      <c r="Q98" t="n">
        <v>0</v>
      </c>
      <c r="R98" s="2" t="inlineStr"/>
    </row>
    <row r="99" ht="15" customHeight="1">
      <c r="A99" t="inlineStr">
        <is>
          <t>A 1136-2023</t>
        </is>
      </c>
      <c r="B99" s="1" t="n">
        <v>44935</v>
      </c>
      <c r="C99" s="1" t="n">
        <v>45983</v>
      </c>
      <c r="D99" t="inlineStr">
        <is>
          <t>STOCKHOLMS LÄN</t>
        </is>
      </c>
      <c r="E99" t="inlineStr">
        <is>
          <t>ÖSTERÅKER</t>
        </is>
      </c>
      <c r="G99" t="n">
        <v>0.5</v>
      </c>
      <c r="H99" t="n">
        <v>0</v>
      </c>
      <c r="I99" t="n">
        <v>0</v>
      </c>
      <c r="J99" t="n">
        <v>0</v>
      </c>
      <c r="K99" t="n">
        <v>0</v>
      </c>
      <c r="L99" t="n">
        <v>0</v>
      </c>
      <c r="M99" t="n">
        <v>0</v>
      </c>
      <c r="N99" t="n">
        <v>0</v>
      </c>
      <c r="O99" t="n">
        <v>0</v>
      </c>
      <c r="P99" t="n">
        <v>0</v>
      </c>
      <c r="Q99" t="n">
        <v>0</v>
      </c>
      <c r="R99" s="2" t="inlineStr"/>
    </row>
    <row r="100" ht="15" customHeight="1">
      <c r="A100" t="inlineStr">
        <is>
          <t>A 39394-2023</t>
        </is>
      </c>
      <c r="B100" s="1" t="n">
        <v>45166</v>
      </c>
      <c r="C100" s="1" t="n">
        <v>45983</v>
      </c>
      <c r="D100" t="inlineStr">
        <is>
          <t>STOCKHOLMS LÄN</t>
        </is>
      </c>
      <c r="E100" t="inlineStr">
        <is>
          <t>ÖSTERÅKER</t>
        </is>
      </c>
      <c r="G100" t="n">
        <v>0.4</v>
      </c>
      <c r="H100" t="n">
        <v>0</v>
      </c>
      <c r="I100" t="n">
        <v>0</v>
      </c>
      <c r="J100" t="n">
        <v>0</v>
      </c>
      <c r="K100" t="n">
        <v>0</v>
      </c>
      <c r="L100" t="n">
        <v>0</v>
      </c>
      <c r="M100" t="n">
        <v>0</v>
      </c>
      <c r="N100" t="n">
        <v>0</v>
      </c>
      <c r="O100" t="n">
        <v>0</v>
      </c>
      <c r="P100" t="n">
        <v>0</v>
      </c>
      <c r="Q100" t="n">
        <v>0</v>
      </c>
      <c r="R100" s="2" t="inlineStr"/>
    </row>
    <row r="101" ht="15" customHeight="1">
      <c r="A101" t="inlineStr">
        <is>
          <t>A 30949-2024</t>
        </is>
      </c>
      <c r="B101" s="1" t="n">
        <v>45499</v>
      </c>
      <c r="C101" s="1" t="n">
        <v>45983</v>
      </c>
      <c r="D101" t="inlineStr">
        <is>
          <t>STOCKHOLMS LÄN</t>
        </is>
      </c>
      <c r="E101" t="inlineStr">
        <is>
          <t>ÖSTERÅKER</t>
        </is>
      </c>
      <c r="F101" t="inlineStr">
        <is>
          <t>Övriga Aktiebolag</t>
        </is>
      </c>
      <c r="G101" t="n">
        <v>3.2</v>
      </c>
      <c r="H101" t="n">
        <v>0</v>
      </c>
      <c r="I101" t="n">
        <v>0</v>
      </c>
      <c r="J101" t="n">
        <v>0</v>
      </c>
      <c r="K101" t="n">
        <v>0</v>
      </c>
      <c r="L101" t="n">
        <v>0</v>
      </c>
      <c r="M101" t="n">
        <v>0</v>
      </c>
      <c r="N101" t="n">
        <v>0</v>
      </c>
      <c r="O101" t="n">
        <v>0</v>
      </c>
      <c r="P101" t="n">
        <v>0</v>
      </c>
      <c r="Q101" t="n">
        <v>0</v>
      </c>
      <c r="R101" s="2" t="inlineStr"/>
    </row>
    <row r="102" ht="15" customHeight="1">
      <c r="A102" t="inlineStr">
        <is>
          <t>A 845-2024</t>
        </is>
      </c>
      <c r="B102" s="1" t="n">
        <v>45300.91423611111</v>
      </c>
      <c r="C102" s="1" t="n">
        <v>45983</v>
      </c>
      <c r="D102" t="inlineStr">
        <is>
          <t>STOCKHOLMS LÄN</t>
        </is>
      </c>
      <c r="E102" t="inlineStr">
        <is>
          <t>ÖSTERÅKER</t>
        </is>
      </c>
      <c r="G102" t="n">
        <v>10.1</v>
      </c>
      <c r="H102" t="n">
        <v>0</v>
      </c>
      <c r="I102" t="n">
        <v>0</v>
      </c>
      <c r="J102" t="n">
        <v>0</v>
      </c>
      <c r="K102" t="n">
        <v>0</v>
      </c>
      <c r="L102" t="n">
        <v>0</v>
      </c>
      <c r="M102" t="n">
        <v>0</v>
      </c>
      <c r="N102" t="n">
        <v>0</v>
      </c>
      <c r="O102" t="n">
        <v>0</v>
      </c>
      <c r="P102" t="n">
        <v>0</v>
      </c>
      <c r="Q102" t="n">
        <v>0</v>
      </c>
      <c r="R102" s="2" t="inlineStr"/>
    </row>
    <row r="103" ht="15" customHeight="1">
      <c r="A103" t="inlineStr">
        <is>
          <t>A 37037-2023</t>
        </is>
      </c>
      <c r="B103" s="1" t="n">
        <v>45155</v>
      </c>
      <c r="C103" s="1" t="n">
        <v>45983</v>
      </c>
      <c r="D103" t="inlineStr">
        <is>
          <t>STOCKHOLMS LÄN</t>
        </is>
      </c>
      <c r="E103" t="inlineStr">
        <is>
          <t>ÖSTERÅKER</t>
        </is>
      </c>
      <c r="G103" t="n">
        <v>2</v>
      </c>
      <c r="H103" t="n">
        <v>0</v>
      </c>
      <c r="I103" t="n">
        <v>0</v>
      </c>
      <c r="J103" t="n">
        <v>0</v>
      </c>
      <c r="K103" t="n">
        <v>0</v>
      </c>
      <c r="L103" t="n">
        <v>0</v>
      </c>
      <c r="M103" t="n">
        <v>0</v>
      </c>
      <c r="N103" t="n">
        <v>0</v>
      </c>
      <c r="O103" t="n">
        <v>0</v>
      </c>
      <c r="P103" t="n">
        <v>0</v>
      </c>
      <c r="Q103" t="n">
        <v>0</v>
      </c>
      <c r="R103" s="2" t="inlineStr"/>
    </row>
    <row r="104" ht="15" customHeight="1">
      <c r="A104" t="inlineStr">
        <is>
          <t>A 19404-2024</t>
        </is>
      </c>
      <c r="B104" s="1" t="n">
        <v>45428</v>
      </c>
      <c r="C104" s="1" t="n">
        <v>45983</v>
      </c>
      <c r="D104" t="inlineStr">
        <is>
          <t>STOCKHOLMS LÄN</t>
        </is>
      </c>
      <c r="E104" t="inlineStr">
        <is>
          <t>ÖSTERÅKER</t>
        </is>
      </c>
      <c r="F104" t="inlineStr">
        <is>
          <t>Övriga Aktiebolag</t>
        </is>
      </c>
      <c r="G104" t="n">
        <v>2.2</v>
      </c>
      <c r="H104" t="n">
        <v>0</v>
      </c>
      <c r="I104" t="n">
        <v>0</v>
      </c>
      <c r="J104" t="n">
        <v>0</v>
      </c>
      <c r="K104" t="n">
        <v>0</v>
      </c>
      <c r="L104" t="n">
        <v>0</v>
      </c>
      <c r="M104" t="n">
        <v>0</v>
      </c>
      <c r="N104" t="n">
        <v>0</v>
      </c>
      <c r="O104" t="n">
        <v>0</v>
      </c>
      <c r="P104" t="n">
        <v>0</v>
      </c>
      <c r="Q104" t="n">
        <v>0</v>
      </c>
      <c r="R104" s="2" t="inlineStr"/>
    </row>
    <row r="105" ht="15" customHeight="1">
      <c r="A105" t="inlineStr">
        <is>
          <t>A 37244-2024</t>
        </is>
      </c>
      <c r="B105" s="1" t="n">
        <v>45540</v>
      </c>
      <c r="C105" s="1" t="n">
        <v>45983</v>
      </c>
      <c r="D105" t="inlineStr">
        <is>
          <t>STOCKHOLMS LÄN</t>
        </is>
      </c>
      <c r="E105" t="inlineStr">
        <is>
          <t>ÖSTERÅKER</t>
        </is>
      </c>
      <c r="G105" t="n">
        <v>2.6</v>
      </c>
      <c r="H105" t="n">
        <v>0</v>
      </c>
      <c r="I105" t="n">
        <v>0</v>
      </c>
      <c r="J105" t="n">
        <v>0</v>
      </c>
      <c r="K105" t="n">
        <v>0</v>
      </c>
      <c r="L105" t="n">
        <v>0</v>
      </c>
      <c r="M105" t="n">
        <v>0</v>
      </c>
      <c r="N105" t="n">
        <v>0</v>
      </c>
      <c r="O105" t="n">
        <v>0</v>
      </c>
      <c r="P105" t="n">
        <v>0</v>
      </c>
      <c r="Q105" t="n">
        <v>0</v>
      </c>
      <c r="R105" s="2" t="inlineStr"/>
    </row>
    <row r="106" ht="15" customHeight="1">
      <c r="A106" t="inlineStr">
        <is>
          <t>A 21786-2025</t>
        </is>
      </c>
      <c r="B106" s="1" t="n">
        <v>45783.67215277778</v>
      </c>
      <c r="C106" s="1" t="n">
        <v>45983</v>
      </c>
      <c r="D106" t="inlineStr">
        <is>
          <t>STOCKHOLMS LÄN</t>
        </is>
      </c>
      <c r="E106" t="inlineStr">
        <is>
          <t>ÖSTERÅKER</t>
        </is>
      </c>
      <c r="G106" t="n">
        <v>3.8</v>
      </c>
      <c r="H106" t="n">
        <v>0</v>
      </c>
      <c r="I106" t="n">
        <v>0</v>
      </c>
      <c r="J106" t="n">
        <v>0</v>
      </c>
      <c r="K106" t="n">
        <v>0</v>
      </c>
      <c r="L106" t="n">
        <v>0</v>
      </c>
      <c r="M106" t="n">
        <v>0</v>
      </c>
      <c r="N106" t="n">
        <v>0</v>
      </c>
      <c r="O106" t="n">
        <v>0</v>
      </c>
      <c r="P106" t="n">
        <v>0</v>
      </c>
      <c r="Q106" t="n">
        <v>0</v>
      </c>
      <c r="R106" s="2" t="inlineStr"/>
    </row>
    <row r="107">
      <c r="A107" t="inlineStr">
        <is>
          <t>A 21796-2025</t>
        </is>
      </c>
      <c r="B107" s="1" t="n">
        <v>45783.68135416666</v>
      </c>
      <c r="C107" s="1" t="n">
        <v>45983</v>
      </c>
      <c r="D107" t="inlineStr">
        <is>
          <t>STOCKHOLMS LÄN</t>
        </is>
      </c>
      <c r="E107" t="inlineStr">
        <is>
          <t>ÖSTERÅKER</t>
        </is>
      </c>
      <c r="G107" t="n">
        <v>2.5</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2025-11-22T10:18:46Z</dcterms:created>
  <dcterms:modified xmlns:dcterms="http://purl.org/dc/terms/" xmlns:xsi="http://www.w3.org/2001/XMLSchema-instance" xsi:type="dcterms:W3CDTF">2025-11-22T10:18:46Z</dcterms:modified>
</cp:coreProperties>
</file>