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45294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45294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45294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Tallticka
Björksplintborre
Lönnlav
Rostfläck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45294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45294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61275-2021</t>
        </is>
      </c>
      <c r="B7" s="1" t="n">
        <v>44498</v>
      </c>
      <c r="C7" s="1" t="n">
        <v>45294</v>
      </c>
      <c r="D7" t="inlineStr">
        <is>
          <t>STOCKHOLMS LÄN</t>
        </is>
      </c>
      <c r="E7" t="inlineStr">
        <is>
          <t>ÖSTERÅKER</t>
        </is>
      </c>
      <c r="G7" t="n">
        <v>2.1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HYPERLINK("https://klasma.github.io/Logging_0117/artfynd/A 61275-2021 artfynd.xlsx", "A 61275-2021")</f>
        <v/>
      </c>
      <c r="T7">
        <f>HYPERLINK("https://klasma.github.io/Logging_0117/kartor/A 61275-2021 karta.png", "A 61275-2021")</f>
        <v/>
      </c>
      <c r="V7">
        <f>HYPERLINK("https://klasma.github.io/Logging_0117/klagomål/A 61275-2021 FSC-klagomål.docx", "A 61275-2021")</f>
        <v/>
      </c>
      <c r="W7">
        <f>HYPERLINK("https://klasma.github.io/Logging_0117/klagomålsmail/A 61275-2021 FSC-klagomål mail.docx", "A 61275-2021")</f>
        <v/>
      </c>
      <c r="X7">
        <f>HYPERLINK("https://klasma.github.io/Logging_0117/tillsyn/A 61275-2021 tillsynsbegäran.docx", "A 61275-2021")</f>
        <v/>
      </c>
      <c r="Y7">
        <f>HYPERLINK("https://klasma.github.io/Logging_0117/tillsynsmail/A 61275-2021 tillsynsbegäran mail.docx", "A 61275-2021")</f>
        <v/>
      </c>
    </row>
    <row r="8" ht="15" customHeight="1">
      <c r="A8" t="inlineStr">
        <is>
          <t>A 61363-2022</t>
        </is>
      </c>
      <c r="B8" s="1" t="n">
        <v>44915</v>
      </c>
      <c r="C8" s="1" t="n">
        <v>45294</v>
      </c>
      <c r="D8" t="inlineStr">
        <is>
          <t>STOCKHOLMS LÄN</t>
        </is>
      </c>
      <c r="E8" t="inlineStr">
        <is>
          <t>ÖSTERÅKER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Skuggblåslav</t>
        </is>
      </c>
      <c r="S8">
        <f>HYPERLINK("https://klasma.github.io/Logging_0117/artfynd/A 61363-2022 artfynd.xlsx", "A 61363-2022")</f>
        <v/>
      </c>
      <c r="T8">
        <f>HYPERLINK("https://klasma.github.io/Logging_0117/kartor/A 61363-2022 karta.png", "A 61363-2022")</f>
        <v/>
      </c>
      <c r="V8">
        <f>HYPERLINK("https://klasma.github.io/Logging_0117/klagomål/A 61363-2022 FSC-klagomål.docx", "A 61363-2022")</f>
        <v/>
      </c>
      <c r="W8">
        <f>HYPERLINK("https://klasma.github.io/Logging_0117/klagomålsmail/A 61363-2022 FSC-klagomål mail.docx", "A 61363-2022")</f>
        <v/>
      </c>
      <c r="X8">
        <f>HYPERLINK("https://klasma.github.io/Logging_0117/tillsyn/A 61363-2022 tillsynsbegäran.docx", "A 61363-2022")</f>
        <v/>
      </c>
      <c r="Y8">
        <f>HYPERLINK("https://klasma.github.io/Logging_0117/tillsynsmail/A 61363-2022 tillsynsbegäran mail.docx", "A 61363-2022")</f>
        <v/>
      </c>
    </row>
    <row r="9" ht="15" customHeight="1">
      <c r="A9" t="inlineStr">
        <is>
          <t>A 63913-2023</t>
        </is>
      </c>
      <c r="B9" s="1" t="n">
        <v>45278</v>
      </c>
      <c r="C9" s="1" t="n">
        <v>45294</v>
      </c>
      <c r="D9" t="inlineStr">
        <is>
          <t>STOCKHOLMS LÄN</t>
        </is>
      </c>
      <c r="E9" t="inlineStr">
        <is>
          <t>ÖSTERÅKER</t>
        </is>
      </c>
      <c r="G9" t="n">
        <v>21.9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HYPERLINK("https://klasma.github.io/Logging_0117/artfynd/A 63913-2023 artfynd.xlsx", "A 63913-2023")</f>
        <v/>
      </c>
      <c r="T9">
        <f>HYPERLINK("https://klasma.github.io/Logging_0117/kartor/A 63913-2023 karta.png", "A 63913-2023")</f>
        <v/>
      </c>
      <c r="V9">
        <f>HYPERLINK("https://klasma.github.io/Logging_0117/klagomål/A 63913-2023 FSC-klagomål.docx", "A 63913-2023")</f>
        <v/>
      </c>
      <c r="W9">
        <f>HYPERLINK("https://klasma.github.io/Logging_0117/klagomålsmail/A 63913-2023 FSC-klagomål mail.docx", "A 63913-2023")</f>
        <v/>
      </c>
      <c r="X9">
        <f>HYPERLINK("https://klasma.github.io/Logging_0117/tillsyn/A 63913-2023 tillsynsbegäran.docx", "A 63913-2023")</f>
        <v/>
      </c>
      <c r="Y9">
        <f>HYPERLINK("https://klasma.github.io/Logging_0117/tillsynsmail/A 63913-2023 tillsynsbegäran mail.docx", "A 63913-2023")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45294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45294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45294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45294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45294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45294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45294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45294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45294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45294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45294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45294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45294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45294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45294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45294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45294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45294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45294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45294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45294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45294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45294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45294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45294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45294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45294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45294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45294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45294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45294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45294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45294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45294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45294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45294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45294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45294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45294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45294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45294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45294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45294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45294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45294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45294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45294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45294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45294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45294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45294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45294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45294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45294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45294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45294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45294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45294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45294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45294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45294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45294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45294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45294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45294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45294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45294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45294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45294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45294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45294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45294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45294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45294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45294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45294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45294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45294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45294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45294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45294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45294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45294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45294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45294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45294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45294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45294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45294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45294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45294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45294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45294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45294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45294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45294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45294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45294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45294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45294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45294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45294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45294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45294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45294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60297-2023</t>
        </is>
      </c>
      <c r="B115" s="1" t="n">
        <v>45258</v>
      </c>
      <c r="C115" s="1" t="n">
        <v>45294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2024-01-03T10:01:18Z</dcterms:created>
  <dcterms:modified xmlns:dcterms="http://purl.org/dc/terms/" xmlns:xsi="http://www.w3.org/2001/XMLSchema-instance" xsi:type="dcterms:W3CDTF">2024-01-03T10:01:18Z</dcterms:modified>
</cp:coreProperties>
</file>