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46221</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46221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Y3">
        <f>HYPERLINK("https://klasma.github.io/Logging_0117/klagomål/A 3919-2023 FSC-klagomål.docx", "A 3919-2023")</f>
        <v/>
      </c>
      <c r="Z3">
        <f>HYPERLINK("https://klasma.github.io/Logging_0117/klagomålsmail/A 3919-2023 FSC-klagomål mail.docx", "A 3919-2023")</f>
        <v/>
      </c>
      <c r="AA3">
        <f>HYPERLINK("https://klasma.github.io/Logging_0117/tillsyn/A 3919-2023 tillsynsbegäran.docx", "A 3919-2023")</f>
        <v/>
      </c>
      <c r="AB3">
        <f>HYPERLINK("https://klasma.github.io/Logging_0117/tillsynsmail/A 3919-2023 tillsynsbegäran mail.docx", "A 3919-2023")</f>
        <v/>
      </c>
      <c r="AC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46221</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Y4">
        <f>HYPERLINK("https://klasma.github.io/Logging_0117/klagomål/A 31459-2025 FSC-klagomål.docx", "A 31459-2025")</f>
        <v/>
      </c>
      <c r="Z4">
        <f>HYPERLINK("https://klasma.github.io/Logging_0117/klagomålsmail/A 31459-2025 FSC-klagomål mail.docx", "A 31459-2025")</f>
        <v/>
      </c>
      <c r="AA4">
        <f>HYPERLINK("https://klasma.github.io/Logging_0117/tillsyn/A 31459-2025 tillsynsbegäran.docx", "A 31459-2025")</f>
        <v/>
      </c>
      <c r="AB4">
        <f>HYPERLINK("https://klasma.github.io/Logging_0117/tillsynsmail/A 31459-2025 tillsynsbegäran mail.docx", "A 31459-2025")</f>
        <v/>
      </c>
      <c r="AC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46221</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46221</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46221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s="2" t="inlineStr">
        <is>
          <t>Aspgelélav
Garnlav
Tallticka
Tjäder</t>
        </is>
      </c>
      <c r="V10">
        <f>HYPERLINK("https://klasma.github.io/Logging_0117/artfynd/A 31523-2022 artfynd.xlsx", "A 31523-2022")</f>
        <v/>
      </c>
      <c r="W10">
        <f>HYPERLINK("https://klasma.github.io/Logging_0117/kartor/A 31523-2022 karta.png", "A 31523-2022")</f>
        <v/>
      </c>
      <c r="Y10">
        <f>HYPERLINK("https://klasma.github.io/Logging_0117/klagomål/A 31523-2022 FSC-klagomål.docx", "A 31523-2022")</f>
        <v/>
      </c>
      <c r="Z10">
        <f>HYPERLINK("https://klasma.github.io/Logging_0117/klagomålsmail/A 31523-2022 FSC-klagomål mail.docx", "A 31523-2022")</f>
        <v/>
      </c>
      <c r="AA10">
        <f>HYPERLINK("https://klasma.github.io/Logging_0117/tillsyn/A 31523-2022 tillsynsbegäran.docx", "A 31523-2022")</f>
        <v/>
      </c>
      <c r="AB10">
        <f>HYPERLINK("https://klasma.github.io/Logging_0117/tillsynsmail/A 31523-2022 tillsynsbegäran mail.docx", "A 31523-2022")</f>
        <v/>
      </c>
      <c r="AC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46221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s="2" t="inlineStr">
        <is>
          <t>Järnsparv
Gröngöling
Kråka
Kungsfågel</t>
        </is>
      </c>
      <c r="V11">
        <f>HYPERLINK("https://klasma.github.io/Logging_0117/artfynd/A 3914-2023 artfynd.xlsx", "A 3914-2023")</f>
        <v/>
      </c>
      <c r="W11">
        <f>HYPERLINK("https://klasma.github.io/Logging_0117/kartor/A 3914-2023 karta.png", "A 3914-2023")</f>
        <v/>
      </c>
      <c r="Y11">
        <f>HYPERLINK("https://klasma.github.io/Logging_0117/klagomål/A 3914-2023 FSC-klagomål.docx", "A 3914-2023")</f>
        <v/>
      </c>
      <c r="Z11">
        <f>HYPERLINK("https://klasma.github.io/Logging_0117/klagomålsmail/A 3914-2023 FSC-klagomål mail.docx", "A 3914-2023")</f>
        <v/>
      </c>
      <c r="AA11">
        <f>HYPERLINK("https://klasma.github.io/Logging_0117/tillsyn/A 3914-2023 tillsynsbegäran.docx", "A 3914-2023")</f>
        <v/>
      </c>
      <c r="AB11">
        <f>HYPERLINK("https://klasma.github.io/Logging_0117/tillsynsmail/A 3914-2023 tillsynsbegäran mail.docx", "A 3914-2023")</f>
        <v/>
      </c>
      <c r="AC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46221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46221</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s="2" t="inlineStr">
        <is>
          <t>Tornseglare
Ladusvala
Törnskata</t>
        </is>
      </c>
      <c r="V13">
        <f>HYPERLINK("https://klasma.github.io/Logging_0117/artfynd/A 27948-2025 artfynd.xlsx", "A 27948-2025")</f>
        <v/>
      </c>
      <c r="W13">
        <f>HYPERLINK("https://klasma.github.io/Logging_0117/kartor/A 27948-2025 karta.png", "A 27948-2025")</f>
        <v/>
      </c>
      <c r="Y13">
        <f>HYPERLINK("https://klasma.github.io/Logging_0117/klagomål/A 27948-2025 FSC-klagomål.docx", "A 27948-2025")</f>
        <v/>
      </c>
      <c r="Z13">
        <f>HYPERLINK("https://klasma.github.io/Logging_0117/klagomålsmail/A 27948-2025 FSC-klagomål mail.docx", "A 27948-2025")</f>
        <v/>
      </c>
      <c r="AA13">
        <f>HYPERLINK("https://klasma.github.io/Logging_0117/tillsyn/A 27948-2025 tillsynsbegäran.docx", "A 27948-2025")</f>
        <v/>
      </c>
      <c r="AB13">
        <f>HYPERLINK("https://klasma.github.io/Logging_0117/tillsynsmail/A 27948-2025 tillsynsbegäran mail.docx", "A 27948-2025")</f>
        <v/>
      </c>
      <c r="AC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46221</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Y14">
        <f>HYPERLINK("https://klasma.github.io/Logging_0117/klagomål/A 12620-2022 FSC-klagomål.docx", "A 12620-2022")</f>
        <v/>
      </c>
      <c r="Z14">
        <f>HYPERLINK("https://klasma.github.io/Logging_0117/klagomålsmail/A 12620-2022 FSC-klagomål mail.docx", "A 12620-2022")</f>
        <v/>
      </c>
      <c r="AA14">
        <f>HYPERLINK("https://klasma.github.io/Logging_0117/tillsyn/A 12620-2022 tillsynsbegäran.docx", "A 12620-2022")</f>
        <v/>
      </c>
      <c r="AB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46221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s="2" t="inlineStr">
        <is>
          <t>Fällmossa
Mindre märgborre
Vedticka</t>
        </is>
      </c>
      <c r="V15">
        <f>HYPERLINK("https://klasma.github.io/Logging_0117/artfynd/A 62578-2025 artfynd.xlsx", "A 62578-2025")</f>
        <v/>
      </c>
      <c r="W15">
        <f>HYPERLINK("https://klasma.github.io/Logging_0117/kartor/A 62578-2025 karta.png", "A 62578-2025")</f>
        <v/>
      </c>
      <c r="Y15">
        <f>HYPERLINK("https://klasma.github.io/Logging_0117/klagomål/A 62578-2025 FSC-klagomål.docx", "A 62578-2025")</f>
        <v/>
      </c>
      <c r="Z15">
        <f>HYPERLINK("https://klasma.github.io/Logging_0117/klagomålsmail/A 62578-2025 FSC-klagomål mail.docx", "A 62578-2025")</f>
        <v/>
      </c>
      <c r="AA15">
        <f>HYPERLINK("https://klasma.github.io/Logging_0117/tillsyn/A 62578-2025 tillsynsbegäran.docx", "A 62578-2025")</f>
        <v/>
      </c>
      <c r="AB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46221</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s="2" t="inlineStr">
        <is>
          <t>Tallticka
Spillkråka
Kungsfågel</t>
        </is>
      </c>
      <c r="V16">
        <f>HYPERLINK("https://klasma.github.io/Logging_0117/artfynd/A 54703-2024 artfynd.xlsx", "A 54703-2024")</f>
        <v/>
      </c>
      <c r="W16">
        <f>HYPERLINK("https://klasma.github.io/Logging_0117/kartor/A 54703-2024 karta.png", "A 54703-2024")</f>
        <v/>
      </c>
      <c r="Y16">
        <f>HYPERLINK("https://klasma.github.io/Logging_0117/klagomål/A 54703-2024 FSC-klagomål.docx", "A 54703-2024")</f>
        <v/>
      </c>
      <c r="Z16">
        <f>HYPERLINK("https://klasma.github.io/Logging_0117/klagomålsmail/A 54703-2024 FSC-klagomål mail.docx", "A 54703-2024")</f>
        <v/>
      </c>
      <c r="AA16">
        <f>HYPERLINK("https://klasma.github.io/Logging_0117/tillsyn/A 54703-2024 tillsynsbegäran.docx", "A 54703-2024")</f>
        <v/>
      </c>
      <c r="AB16">
        <f>HYPERLINK("https://klasma.github.io/Logging_0117/tillsynsmail/A 54703-2024 tillsynsbegäran mail.docx", "A 54703-2024")</f>
        <v/>
      </c>
      <c r="AC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46221</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s="2" t="inlineStr">
        <is>
          <t>Motaggsvamp
Skuggblåslav
Tjäder</t>
        </is>
      </c>
      <c r="V17">
        <f>HYPERLINK("https://klasma.github.io/Logging_0117/artfynd/A 61363-2022 artfynd.xlsx", "A 61363-2022")</f>
        <v/>
      </c>
      <c r="W17">
        <f>HYPERLINK("https://klasma.github.io/Logging_0117/kartor/A 61363-2022 karta.png", "A 61363-2022")</f>
        <v/>
      </c>
      <c r="Y17">
        <f>HYPERLINK("https://klasma.github.io/Logging_0117/klagomål/A 61363-2022 FSC-klagomål.docx", "A 61363-2022")</f>
        <v/>
      </c>
      <c r="Z17">
        <f>HYPERLINK("https://klasma.github.io/Logging_0117/klagomålsmail/A 61363-2022 FSC-klagomål mail.docx", "A 61363-2022")</f>
        <v/>
      </c>
      <c r="AA17">
        <f>HYPERLINK("https://klasma.github.io/Logging_0117/tillsyn/A 61363-2022 tillsynsbegäran.docx", "A 61363-2022")</f>
        <v/>
      </c>
      <c r="AB17">
        <f>HYPERLINK("https://klasma.github.io/Logging_0117/tillsynsmail/A 61363-2022 tillsynsbegäran mail.docx", "A 61363-2022")</f>
        <v/>
      </c>
      <c r="AC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46221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46221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s="2" t="inlineStr">
        <is>
          <t>Aspgelélav
Dvärgtufs</t>
        </is>
      </c>
      <c r="V21">
        <f>HYPERLINK("https://klasma.github.io/Logging_0117/artfynd/A 31575-2022 artfynd.xlsx", "A 31575-2022")</f>
        <v/>
      </c>
      <c r="W21">
        <f>HYPERLINK("https://klasma.github.io/Logging_0117/kartor/A 31575-2022 karta.png", "A 31575-2022")</f>
        <v/>
      </c>
      <c r="Y21">
        <f>HYPERLINK("https://klasma.github.io/Logging_0117/klagomål/A 31575-2022 FSC-klagomål.docx", "A 31575-2022")</f>
        <v/>
      </c>
      <c r="Z21">
        <f>HYPERLINK("https://klasma.github.io/Logging_0117/klagomålsmail/A 31575-2022 FSC-klagomål mail.docx", "A 31575-2022")</f>
        <v/>
      </c>
      <c r="AA21">
        <f>HYPERLINK("https://klasma.github.io/Logging_0117/tillsyn/A 31575-2022 tillsynsbegäran.docx", "A 31575-2022")</f>
        <v/>
      </c>
      <c r="AB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46221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s="2" t="inlineStr">
        <is>
          <t>Tallticka
Blåmossa</t>
        </is>
      </c>
      <c r="V22">
        <f>HYPERLINK("https://klasma.github.io/Logging_0117/artfynd/A 30949-2024 artfynd.xlsx", "A 30949-2024")</f>
        <v/>
      </c>
      <c r="W22">
        <f>HYPERLINK("https://klasma.github.io/Logging_0117/kartor/A 30949-2024 karta.png", "A 30949-2024")</f>
        <v/>
      </c>
      <c r="Y22">
        <f>HYPERLINK("https://klasma.github.io/Logging_0117/klagomål/A 30949-2024 FSC-klagomål.docx", "A 30949-2024")</f>
        <v/>
      </c>
      <c r="Z22">
        <f>HYPERLINK("https://klasma.github.io/Logging_0117/klagomålsmail/A 30949-2024 FSC-klagomål mail.docx", "A 30949-2024")</f>
        <v/>
      </c>
      <c r="AA22">
        <f>HYPERLINK("https://klasma.github.io/Logging_0117/tillsyn/A 30949-2024 tillsynsbegäran.docx", "A 30949-2024")</f>
        <v/>
      </c>
      <c r="AB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46221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Y23">
        <f>HYPERLINK("https://klasma.github.io/Logging_0117/klagomål/A 61323-2022 FSC-klagomål.docx", "A 61323-2022")</f>
        <v/>
      </c>
      <c r="Z23">
        <f>HYPERLINK("https://klasma.github.io/Logging_0117/klagomålsmail/A 61323-2022 FSC-klagomål mail.docx", "A 61323-2022")</f>
        <v/>
      </c>
      <c r="AA23">
        <f>HYPERLINK("https://klasma.github.io/Logging_0117/tillsyn/A 61323-2022 tillsynsbegäran.docx", "A 61323-2022")</f>
        <v/>
      </c>
      <c r="AB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46221</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s="2" t="inlineStr">
        <is>
          <t>Revlummer</t>
        </is>
      </c>
      <c r="V24">
        <f>HYPERLINK("https://klasma.github.io/Logging_0117/artfynd/A 31716-2025 artfynd.xlsx", "A 31716-2025")</f>
        <v/>
      </c>
      <c r="W24">
        <f>HYPERLINK("https://klasma.github.io/Logging_0117/kartor/A 31716-2025 karta.png", "A 31716-2025")</f>
        <v/>
      </c>
      <c r="Y24">
        <f>HYPERLINK("https://klasma.github.io/Logging_0117/klagomål/A 31716-2025 FSC-klagomål.docx", "A 31716-2025")</f>
        <v/>
      </c>
      <c r="Z24">
        <f>HYPERLINK("https://klasma.github.io/Logging_0117/klagomålsmail/A 31716-2025 FSC-klagomål mail.docx", "A 31716-2025")</f>
        <v/>
      </c>
      <c r="AA24">
        <f>HYPERLINK("https://klasma.github.io/Logging_0117/tillsyn/A 31716-2025 tillsynsbegäran.docx", "A 31716-2025")</f>
        <v/>
      </c>
      <c r="AB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46221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s="2" t="inlineStr">
        <is>
          <t>Gullpudra</t>
        </is>
      </c>
      <c r="V26">
        <f>HYPERLINK("https://klasma.github.io/Logging_0117/artfynd/A 62839-2025 artfynd.xlsx", "A 62839-2025")</f>
        <v/>
      </c>
      <c r="W26">
        <f>HYPERLINK("https://klasma.github.io/Logging_0117/kartor/A 62839-2025 karta.png", "A 62839-2025")</f>
        <v/>
      </c>
      <c r="Y26">
        <f>HYPERLINK("https://klasma.github.io/Logging_0117/klagomål/A 62839-2025 FSC-klagomål.docx", "A 62839-2025")</f>
        <v/>
      </c>
      <c r="Z26">
        <f>HYPERLINK("https://klasma.github.io/Logging_0117/klagomålsmail/A 62839-2025 FSC-klagomål mail.docx", "A 62839-2025")</f>
        <v/>
      </c>
      <c r="AA26">
        <f>HYPERLINK("https://klasma.github.io/Logging_0117/tillsyn/A 62839-2025 tillsynsbegäran.docx", "A 62839-2025")</f>
        <v/>
      </c>
      <c r="AB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46221</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s="2" t="inlineStr">
        <is>
          <t>Mindre hackspett</t>
        </is>
      </c>
      <c r="V27">
        <f>HYPERLINK("https://klasma.github.io/Logging_0117/artfynd/A 67265-2021 artfynd.xlsx", "A 67265-2021")</f>
        <v/>
      </c>
      <c r="W27">
        <f>HYPERLINK("https://klasma.github.io/Logging_0117/kartor/A 67265-2021 karta.png", "A 67265-2021")</f>
        <v/>
      </c>
      <c r="Y27">
        <f>HYPERLINK("https://klasma.github.io/Logging_0117/klagomål/A 67265-2021 FSC-klagomål.docx", "A 67265-2021")</f>
        <v/>
      </c>
      <c r="Z27">
        <f>HYPERLINK("https://klasma.github.io/Logging_0117/klagomålsmail/A 67265-2021 FSC-klagomål mail.docx", "A 67265-2021")</f>
        <v/>
      </c>
      <c r="AA27">
        <f>HYPERLINK("https://klasma.github.io/Logging_0117/tillsyn/A 67265-2021 tillsynsbegäran.docx", "A 67265-2021")</f>
        <v/>
      </c>
      <c r="AB27">
        <f>HYPERLINK("https://klasma.github.io/Logging_0117/tillsynsmail/A 67265-2021 tillsynsbegäran mail.docx", "A 67265-2021")</f>
        <v/>
      </c>
      <c r="AC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46221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46221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46221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46221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46221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838-2022</t>
        </is>
      </c>
      <c r="B36" t="inlineStr">
        <is>
          <t>avverkningsanmälan</t>
        </is>
      </c>
      <c r="C36" t="inlineStr">
        <is>
          <t>Föryngringsavverkning</t>
        </is>
      </c>
      <c r="D36" s="1" t="n">
        <v>44569</v>
      </c>
      <c r="E36" s="1" t="n">
        <v>46221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s="2" t="inlineStr"/>
    </row>
    <row r="37" ht="15" customHeight="1">
      <c r="A37" t="inlineStr">
        <is>
          <t>A 865-2022</t>
        </is>
      </c>
      <c r="B37" t="inlineStr">
        <is>
          <t>avverkningsanmälan</t>
        </is>
      </c>
      <c r="C37" t="inlineStr">
        <is>
          <t>Föryngringsavverkning</t>
        </is>
      </c>
      <c r="D37" s="1" t="n">
        <v>44569</v>
      </c>
      <c r="E37" s="1" t="n">
        <v>46221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46221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46221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46221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46221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46221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46221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46688-2022</t>
        </is>
      </c>
      <c r="B44" t="inlineStr">
        <is>
          <t>avverkningsanmälan</t>
        </is>
      </c>
      <c r="C44" t="inlineStr">
        <is>
          <t>Föryngringsavverkning</t>
        </is>
      </c>
      <c r="D44" s="1" t="n">
        <v>44851</v>
      </c>
      <c r="E44" s="1" t="n">
        <v>46221</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s="2" t="inlineStr"/>
    </row>
    <row r="45" ht="15" customHeight="1">
      <c r="A45" t="inlineStr">
        <is>
          <t>A 28143-2024</t>
        </is>
      </c>
      <c r="B45" t="inlineStr">
        <is>
          <t>avverkningsanmälan</t>
        </is>
      </c>
      <c r="C45" t="inlineStr">
        <is>
          <t>Föryngringsavverkning</t>
        </is>
      </c>
      <c r="D45" s="1" t="n">
        <v>45476</v>
      </c>
      <c r="E45" s="1" t="n">
        <v>46221</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s="2" t="inlineStr"/>
    </row>
    <row r="46" ht="15" customHeight="1">
      <c r="A46" t="inlineStr">
        <is>
          <t>A 28146-2024</t>
        </is>
      </c>
      <c r="B46" t="inlineStr">
        <is>
          <t>avverkningsanmälan</t>
        </is>
      </c>
      <c r="C46" t="inlineStr">
        <is>
          <t>Föryngringsavverkning</t>
        </is>
      </c>
      <c r="D46" s="1" t="n">
        <v>45476</v>
      </c>
      <c r="E46" s="1" t="n">
        <v>46221</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s="2" t="inlineStr"/>
    </row>
    <row r="47" ht="15" customHeight="1">
      <c r="A47" t="inlineStr">
        <is>
          <t>A 22528-2024</t>
        </is>
      </c>
      <c r="B47" t="inlineStr">
        <is>
          <t>avverkningsanmälan</t>
        </is>
      </c>
      <c r="C47" t="inlineStr">
        <is>
          <t>Föryngringsavverkning</t>
        </is>
      </c>
      <c r="D47" s="1" t="n">
        <v>45447</v>
      </c>
      <c r="E47" s="1" t="n">
        <v>46221</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s="2" t="inlineStr"/>
    </row>
    <row r="48" ht="15" customHeight="1">
      <c r="A48" t="inlineStr">
        <is>
          <t>A 16803-2022</t>
        </is>
      </c>
      <c r="B48" t="inlineStr">
        <is>
          <t>avverkningsanmälan</t>
        </is>
      </c>
      <c r="C48" t="inlineStr">
        <is>
          <t>Föryngringsavverkning</t>
        </is>
      </c>
      <c r="D48" s="1" t="n">
        <v>44673</v>
      </c>
      <c r="E48" s="1" t="n">
        <v>46221</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s="2" t="inlineStr"/>
    </row>
    <row r="49" ht="15" customHeight="1">
      <c r="A49" t="inlineStr">
        <is>
          <t>A 27137-2025</t>
        </is>
      </c>
      <c r="B49" t="inlineStr">
        <is>
          <t>avverkningsanmälan</t>
        </is>
      </c>
      <c r="C49" t="inlineStr">
        <is>
          <t>Föryngringsavverkning</t>
        </is>
      </c>
      <c r="D49" s="1" t="n">
        <v>45811</v>
      </c>
      <c r="E49" s="1" t="n">
        <v>46221</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s="2" t="inlineStr"/>
    </row>
    <row r="50" ht="15" customHeight="1">
      <c r="A50" t="inlineStr">
        <is>
          <t>A 61710-2022</t>
        </is>
      </c>
      <c r="B50" t="inlineStr">
        <is>
          <t>avverkningsanmälan</t>
        </is>
      </c>
      <c r="C50" t="inlineStr">
        <is>
          <t>Föryngringsavverkning</t>
        </is>
      </c>
      <c r="D50" s="1" t="n">
        <v>44917</v>
      </c>
      <c r="E50" s="1" t="n">
        <v>46221</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s="2" t="inlineStr"/>
    </row>
    <row r="51" ht="15" customHeight="1">
      <c r="A51" t="inlineStr">
        <is>
          <t>A 5038-2026</t>
        </is>
      </c>
      <c r="B51" t="inlineStr">
        <is>
          <t>avverkningsanmälan</t>
        </is>
      </c>
      <c r="C51" t="inlineStr">
        <is>
          <t>Föryngringsavverkning</t>
        </is>
      </c>
      <c r="D51" s="1" t="n">
        <v>46049</v>
      </c>
      <c r="E51" s="1" t="n">
        <v>46221</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s="2" t="inlineStr"/>
    </row>
    <row r="52" ht="15" customHeight="1">
      <c r="A52" t="inlineStr">
        <is>
          <t>A 17353-2025</t>
        </is>
      </c>
      <c r="B52" t="inlineStr">
        <is>
          <t>avverkningsanmälan</t>
        </is>
      </c>
      <c r="C52" t="inlineStr">
        <is>
          <t>Föryngringsavverkning</t>
        </is>
      </c>
      <c r="D52" s="1" t="n">
        <v>45756</v>
      </c>
      <c r="E52" s="1" t="n">
        <v>46221</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s="2" t="inlineStr"/>
    </row>
    <row r="53" ht="15" customHeight="1">
      <c r="A53" t="inlineStr">
        <is>
          <t>A 34034-2025</t>
        </is>
      </c>
      <c r="B53" t="inlineStr">
        <is>
          <t>avverkningsanmälan</t>
        </is>
      </c>
      <c r="C53" t="inlineStr">
        <is>
          <t>Föryngringsavverkning</t>
        </is>
      </c>
      <c r="D53" s="1" t="n">
        <v>45842</v>
      </c>
      <c r="E53" s="1" t="n">
        <v>46221</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s="2" t="inlineStr"/>
    </row>
    <row r="54" ht="15" customHeight="1">
      <c r="A54" t="inlineStr">
        <is>
          <t>A 3917-2023</t>
        </is>
      </c>
      <c r="B54" t="inlineStr">
        <is>
          <t>avverkningsanmälan</t>
        </is>
      </c>
      <c r="C54" t="inlineStr">
        <is>
          <t>Föryngringsavverkning</t>
        </is>
      </c>
      <c r="D54" s="1" t="n">
        <v>44952</v>
      </c>
      <c r="E54" s="1" t="n">
        <v>46221</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s="2" t="inlineStr"/>
    </row>
    <row r="55" ht="15" customHeight="1">
      <c r="A55" t="inlineStr">
        <is>
          <t>A 35819-2025</t>
        </is>
      </c>
      <c r="B55" t="inlineStr">
        <is>
          <t>avverkningsanmälan</t>
        </is>
      </c>
      <c r="C55" t="inlineStr">
        <is>
          <t>Föryngringsavverkning</t>
        </is>
      </c>
      <c r="D55" s="1" t="n">
        <v>45861</v>
      </c>
      <c r="E55" s="1" t="n">
        <v>46221</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s="2" t="inlineStr"/>
    </row>
    <row r="56" ht="15" customHeight="1">
      <c r="A56" t="inlineStr">
        <is>
          <t>A 52220-2025</t>
        </is>
      </c>
      <c r="B56" t="inlineStr">
        <is>
          <t>avverkningsanmälan</t>
        </is>
      </c>
      <c r="C56" t="inlineStr">
        <is>
          <t>Avverkning för annat ändamål</t>
        </is>
      </c>
      <c r="D56" s="1" t="n">
        <v>45953</v>
      </c>
      <c r="E56" s="1" t="n">
        <v>46221</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s="2" t="inlineStr"/>
    </row>
    <row r="57" ht="15" customHeight="1">
      <c r="A57" t="inlineStr">
        <is>
          <t>A 544-2023</t>
        </is>
      </c>
      <c r="B57" t="inlineStr">
        <is>
          <t>avverkningsanmälan</t>
        </is>
      </c>
      <c r="C57" t="inlineStr">
        <is>
          <t>Avverkning för annat ändamål</t>
        </is>
      </c>
      <c r="D57" s="1" t="n">
        <v>44924</v>
      </c>
      <c r="E57" s="1" t="n">
        <v>46221</v>
      </c>
      <c r="F57" t="inlineStr">
        <is>
          <t>STOCKHOLMS LÄN</t>
        </is>
      </c>
      <c r="G57" t="inlineStr">
        <is>
          <t>ÖSTERÅKER</t>
        </is>
      </c>
      <c r="H57" t="inlineStr">
        <is>
          <t>Övriga Aktiebolag</t>
        </is>
      </c>
      <c r="I57" t="n">
        <v>0.9</v>
      </c>
      <c r="J57" t="n">
        <v>0</v>
      </c>
      <c r="K57" t="n">
        <v>0</v>
      </c>
      <c r="L57" t="n">
        <v>0</v>
      </c>
      <c r="M57" t="n">
        <v>0</v>
      </c>
      <c r="N57" t="n">
        <v>0</v>
      </c>
      <c r="O57" t="n">
        <v>0</v>
      </c>
      <c r="P57" t="n">
        <v>0</v>
      </c>
      <c r="Q57" t="n">
        <v>0</v>
      </c>
      <c r="R57" t="n">
        <v>0</v>
      </c>
      <c r="S57" t="n">
        <v>0</v>
      </c>
      <c r="T57" t="n">
        <v>0</v>
      </c>
      <c r="U57" s="2" t="inlineStr"/>
    </row>
    <row r="58" ht="15" customHeight="1">
      <c r="A58" t="inlineStr">
        <is>
          <t>A 12345-2026</t>
        </is>
      </c>
      <c r="B58" t="inlineStr">
        <is>
          <t>avverkningsanmälan</t>
        </is>
      </c>
      <c r="C58" t="inlineStr">
        <is>
          <t>Föryngringsavverkning</t>
        </is>
      </c>
      <c r="D58" s="1" t="n">
        <v>46087</v>
      </c>
      <c r="E58" s="1" t="n">
        <v>46221</v>
      </c>
      <c r="F58" t="inlineStr">
        <is>
          <t>STOCKHOLMS LÄN</t>
        </is>
      </c>
      <c r="G58" t="inlineStr">
        <is>
          <t>ÖSTERÅKER</t>
        </is>
      </c>
      <c r="H58" t="inlineStr">
        <is>
          <t>Övriga Aktiebolag</t>
        </is>
      </c>
      <c r="I58" t="n">
        <v>1.6</v>
      </c>
      <c r="J58" t="n">
        <v>0</v>
      </c>
      <c r="K58" t="n">
        <v>0</v>
      </c>
      <c r="L58" t="n">
        <v>0</v>
      </c>
      <c r="M58" t="n">
        <v>0</v>
      </c>
      <c r="N58" t="n">
        <v>0</v>
      </c>
      <c r="O58" t="n">
        <v>0</v>
      </c>
      <c r="P58" t="n">
        <v>0</v>
      </c>
      <c r="Q58" t="n">
        <v>0</v>
      </c>
      <c r="R58" t="n">
        <v>0</v>
      </c>
      <c r="S58" t="n">
        <v>0</v>
      </c>
      <c r="T58" t="n">
        <v>0</v>
      </c>
      <c r="U58" s="2" t="inlineStr"/>
    </row>
    <row r="59" ht="15" customHeight="1">
      <c r="A59" t="inlineStr">
        <is>
          <t>A 470-2022</t>
        </is>
      </c>
      <c r="B59" t="inlineStr">
        <is>
          <t>avverkningsanmälan</t>
        </is>
      </c>
      <c r="C59" t="inlineStr">
        <is>
          <t>Föryngringsavverkning</t>
        </is>
      </c>
      <c r="D59" s="1" t="n">
        <v>44565</v>
      </c>
      <c r="E59" s="1" t="n">
        <v>46221</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s="2" t="inlineStr"/>
    </row>
    <row r="60" ht="15" customHeight="1">
      <c r="A60" t="inlineStr">
        <is>
          <t>A 33158-2024</t>
        </is>
      </c>
      <c r="B60" t="inlineStr">
        <is>
          <t>avverkningsanmälan</t>
        </is>
      </c>
      <c r="C60" t="inlineStr">
        <is>
          <t>Avverkning för annat ändamål</t>
        </is>
      </c>
      <c r="D60" s="1" t="n">
        <v>45518</v>
      </c>
      <c r="E60" s="1" t="n">
        <v>46221</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s="2" t="inlineStr"/>
    </row>
    <row r="61" ht="15" customHeight="1">
      <c r="A61" t="inlineStr">
        <is>
          <t>A 13366-2024</t>
        </is>
      </c>
      <c r="B61" t="inlineStr">
        <is>
          <t>avverkningsanmälan</t>
        </is>
      </c>
      <c r="C61" t="inlineStr">
        <is>
          <t>Föryngringsavverkning</t>
        </is>
      </c>
      <c r="D61" s="1" t="n">
        <v>45387</v>
      </c>
      <c r="E61" s="1" t="n">
        <v>46221</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s="2" t="inlineStr"/>
    </row>
    <row r="62" ht="15" customHeight="1">
      <c r="A62" t="inlineStr">
        <is>
          <t>A 61360-2022</t>
        </is>
      </c>
      <c r="B62" t="inlineStr">
        <is>
          <t>avverkningsanmälan</t>
        </is>
      </c>
      <c r="C62" t="inlineStr">
        <is>
          <t>Föryngringsavverkning</t>
        </is>
      </c>
      <c r="D62" s="1" t="n">
        <v>44915</v>
      </c>
      <c r="E62" s="1" t="n">
        <v>46221</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s="2" t="inlineStr"/>
    </row>
    <row r="63" ht="15" customHeight="1">
      <c r="A63" t="inlineStr">
        <is>
          <t>A 62108-2022</t>
        </is>
      </c>
      <c r="B63" t="inlineStr">
        <is>
          <t>avverkningsanmälan</t>
        </is>
      </c>
      <c r="C63" t="inlineStr">
        <is>
          <t>Föryngringsavverkning</t>
        </is>
      </c>
      <c r="D63" s="1" t="n">
        <v>44920</v>
      </c>
      <c r="E63" s="1" t="n">
        <v>46221</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s="2" t="inlineStr"/>
    </row>
    <row r="64" ht="15" customHeight="1">
      <c r="A64" t="inlineStr">
        <is>
          <t>A 6655-2023</t>
        </is>
      </c>
      <c r="B64" t="inlineStr">
        <is>
          <t>avverkningsanmälan</t>
        </is>
      </c>
      <c r="C64" t="inlineStr">
        <is>
          <t>Föryngringsavverkning</t>
        </is>
      </c>
      <c r="D64" s="1" t="n">
        <v>44966</v>
      </c>
      <c r="E64" s="1" t="n">
        <v>46221</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s="2" t="inlineStr"/>
    </row>
    <row r="65" ht="15" customHeight="1">
      <c r="A65" t="inlineStr">
        <is>
          <t>A 31134-2023</t>
        </is>
      </c>
      <c r="B65" t="inlineStr">
        <is>
          <t>avverkningsanmälan</t>
        </is>
      </c>
      <c r="C65" t="inlineStr">
        <is>
          <t>Föryngringsavverkning</t>
        </is>
      </c>
      <c r="D65" s="1" t="n">
        <v>45113</v>
      </c>
      <c r="E65" s="1" t="n">
        <v>46221</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s="2" t="inlineStr"/>
    </row>
    <row r="66" ht="15" customHeight="1">
      <c r="A66" t="inlineStr">
        <is>
          <t>A 21796-2025</t>
        </is>
      </c>
      <c r="B66" t="inlineStr">
        <is>
          <t>avverkningsanmälan</t>
        </is>
      </c>
      <c r="C66" t="inlineStr">
        <is>
          <t>Föryngringsavverkning</t>
        </is>
      </c>
      <c r="D66" s="1" t="n">
        <v>45783</v>
      </c>
      <c r="E66" s="1" t="n">
        <v>46221</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s="2" t="inlineStr"/>
    </row>
    <row r="67" ht="15" customHeight="1">
      <c r="A67" t="inlineStr">
        <is>
          <t>A 57048-2024</t>
        </is>
      </c>
      <c r="B67" t="inlineStr">
        <is>
          <t>avverkningsanmälan</t>
        </is>
      </c>
      <c r="C67" t="inlineStr">
        <is>
          <t>Föryngringsavverkning</t>
        </is>
      </c>
      <c r="D67" s="1" t="n">
        <v>45629</v>
      </c>
      <c r="E67" s="1" t="n">
        <v>46221</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s="2" t="inlineStr"/>
    </row>
    <row r="68" ht="15" customHeight="1">
      <c r="A68" t="inlineStr">
        <is>
          <t>A 57055-2024</t>
        </is>
      </c>
      <c r="B68" t="inlineStr">
        <is>
          <t>avverkningsanmälan</t>
        </is>
      </c>
      <c r="C68" t="inlineStr">
        <is>
          <t>Föryngringsavverkning</t>
        </is>
      </c>
      <c r="D68" s="1" t="n">
        <v>45629</v>
      </c>
      <c r="E68" s="1" t="n">
        <v>46221</v>
      </c>
      <c r="F68" t="inlineStr">
        <is>
          <t>STOCKHOLMS LÄN</t>
        </is>
      </c>
      <c r="G68" t="inlineStr">
        <is>
          <t>ÖSTERÅKER</t>
        </is>
      </c>
      <c r="I68" t="n">
        <v>0.5</v>
      </c>
      <c r="J68" t="n">
        <v>0</v>
      </c>
      <c r="K68" t="n">
        <v>0</v>
      </c>
      <c r="L68" t="n">
        <v>0</v>
      </c>
      <c r="M68" t="n">
        <v>0</v>
      </c>
      <c r="N68" t="n">
        <v>0</v>
      </c>
      <c r="O68" t="n">
        <v>0</v>
      </c>
      <c r="P68" t="n">
        <v>0</v>
      </c>
      <c r="Q68" t="n">
        <v>0</v>
      </c>
      <c r="R68" t="n">
        <v>0</v>
      </c>
      <c r="S68" t="n">
        <v>0</v>
      </c>
      <c r="T68" t="n">
        <v>0</v>
      </c>
      <c r="U68" s="2" t="inlineStr"/>
    </row>
    <row r="69" ht="15" customHeight="1">
      <c r="A69" t="inlineStr">
        <is>
          <t>A 3326-2022</t>
        </is>
      </c>
      <c r="B69" t="inlineStr">
        <is>
          <t>avverkningsanmälan</t>
        </is>
      </c>
      <c r="C69" t="inlineStr">
        <is>
          <t>Föryngringsavverkning</t>
        </is>
      </c>
      <c r="D69" s="1" t="n">
        <v>44583</v>
      </c>
      <c r="E69" s="1" t="n">
        <v>46221</v>
      </c>
      <c r="F69" t="inlineStr">
        <is>
          <t>STOCKHOLMS LÄN</t>
        </is>
      </c>
      <c r="G69" t="inlineStr">
        <is>
          <t>ÖSTERÅKER</t>
        </is>
      </c>
      <c r="H69" t="inlineStr">
        <is>
          <t>Övriga Aktiebolag</t>
        </is>
      </c>
      <c r="I69" t="n">
        <v>2.7</v>
      </c>
      <c r="J69" t="n">
        <v>0</v>
      </c>
      <c r="K69" t="n">
        <v>0</v>
      </c>
      <c r="L69" t="n">
        <v>0</v>
      </c>
      <c r="M69" t="n">
        <v>0</v>
      </c>
      <c r="N69" t="n">
        <v>0</v>
      </c>
      <c r="O69" t="n">
        <v>0</v>
      </c>
      <c r="P69" t="n">
        <v>0</v>
      </c>
      <c r="Q69" t="n">
        <v>0</v>
      </c>
      <c r="R69" t="n">
        <v>0</v>
      </c>
      <c r="S69" t="n">
        <v>0</v>
      </c>
      <c r="T69" t="n">
        <v>0</v>
      </c>
      <c r="U69" s="2" t="inlineStr"/>
    </row>
    <row r="70" ht="15" customHeight="1">
      <c r="A70" t="inlineStr">
        <is>
          <t>A 60482-2025</t>
        </is>
      </c>
      <c r="B70" t="inlineStr">
        <is>
          <t>avverkningsanmälan</t>
        </is>
      </c>
      <c r="C70" t="inlineStr">
        <is>
          <t>Föryngringsavverkning</t>
        </is>
      </c>
      <c r="D70" s="1" t="n">
        <v>45995</v>
      </c>
      <c r="E70" s="1" t="n">
        <v>46221</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s="2" t="inlineStr"/>
    </row>
    <row r="71" ht="15" customHeight="1">
      <c r="A71" t="inlineStr">
        <is>
          <t>A 18711-2023</t>
        </is>
      </c>
      <c r="B71" t="inlineStr">
        <is>
          <t>avverkningsanmälan</t>
        </is>
      </c>
      <c r="C71" t="inlineStr">
        <is>
          <t>Föryngringsavverkning</t>
        </is>
      </c>
      <c r="D71" s="1" t="n">
        <v>45043</v>
      </c>
      <c r="E71" s="1" t="n">
        <v>46221</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s="2" t="inlineStr"/>
    </row>
    <row r="72" ht="15" customHeight="1">
      <c r="A72" t="inlineStr">
        <is>
          <t>A 56909-2024</t>
        </is>
      </c>
      <c r="B72" t="inlineStr">
        <is>
          <t>avverkningsanmälan</t>
        </is>
      </c>
      <c r="C72" t="inlineStr">
        <is>
          <t>Avverkning för att bevara och utveckla /försöksver</t>
        </is>
      </c>
      <c r="D72" s="1" t="n">
        <v>45628</v>
      </c>
      <c r="E72" s="1" t="n">
        <v>46221</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s="2" t="inlineStr"/>
    </row>
    <row r="73" ht="15" customHeight="1">
      <c r="A73" t="inlineStr">
        <is>
          <t>A 34713-2025</t>
        </is>
      </c>
      <c r="B73" t="inlineStr">
        <is>
          <t>avverkningsanmälan</t>
        </is>
      </c>
      <c r="C73" t="inlineStr">
        <is>
          <t>Föryngringsavverkning</t>
        </is>
      </c>
      <c r="D73" s="1" t="n">
        <v>45848</v>
      </c>
      <c r="E73" s="1" t="n">
        <v>46221</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s="2" t="inlineStr"/>
    </row>
    <row r="74" ht="15" customHeight="1">
      <c r="A74" t="inlineStr">
        <is>
          <t>A 26249-2026</t>
        </is>
      </c>
      <c r="B74" t="inlineStr">
        <is>
          <t>avverkningsanmälan</t>
        </is>
      </c>
      <c r="C74" t="inlineStr">
        <is>
          <t>Avverkning för annat ändamål</t>
        </is>
      </c>
      <c r="D74" s="1" t="n">
        <v>46182</v>
      </c>
      <c r="E74" s="1" t="n">
        <v>46221</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s="2" t="inlineStr"/>
    </row>
    <row r="75" ht="15" customHeight="1">
      <c r="A75" t="inlineStr">
        <is>
          <t>A 16738-2022</t>
        </is>
      </c>
      <c r="B75" t="inlineStr">
        <is>
          <t>avverkningsanmälan</t>
        </is>
      </c>
      <c r="C75" t="inlineStr">
        <is>
          <t>Avverkning för annat ändamål</t>
        </is>
      </c>
      <c r="D75" s="1" t="n">
        <v>44673</v>
      </c>
      <c r="E75" s="1" t="n">
        <v>46221</v>
      </c>
      <c r="F75" t="inlineStr">
        <is>
          <t>STOCKHOLMS LÄN</t>
        </is>
      </c>
      <c r="G75" t="inlineStr">
        <is>
          <t>ÖSTERÅKER</t>
        </is>
      </c>
      <c r="I75" t="n">
        <v>1.1</v>
      </c>
      <c r="J75" t="n">
        <v>0</v>
      </c>
      <c r="K75" t="n">
        <v>0</v>
      </c>
      <c r="L75" t="n">
        <v>0</v>
      </c>
      <c r="M75" t="n">
        <v>0</v>
      </c>
      <c r="N75" t="n">
        <v>0</v>
      </c>
      <c r="O75" t="n">
        <v>0</v>
      </c>
      <c r="P75" t="n">
        <v>0</v>
      </c>
      <c r="Q75" t="n">
        <v>0</v>
      </c>
      <c r="R75" t="n">
        <v>0</v>
      </c>
      <c r="S75" t="n">
        <v>0</v>
      </c>
      <c r="T75" t="n">
        <v>0</v>
      </c>
      <c r="U75" s="2" t="inlineStr"/>
    </row>
    <row r="76" ht="15" customHeight="1">
      <c r="A76" t="inlineStr">
        <is>
          <t>A 23144-2024</t>
        </is>
      </c>
      <c r="B76" t="inlineStr">
        <is>
          <t>avverkningsanmälan</t>
        </is>
      </c>
      <c r="C76" t="inlineStr">
        <is>
          <t>Föryngringsavverkning</t>
        </is>
      </c>
      <c r="D76" s="1" t="n">
        <v>45450</v>
      </c>
      <c r="E76" s="1" t="n">
        <v>46221</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s="2" t="inlineStr"/>
    </row>
    <row r="77" ht="15" customHeight="1">
      <c r="A77" t="inlineStr">
        <is>
          <t>A 59379-2022</t>
        </is>
      </c>
      <c r="B77" t="inlineStr">
        <is>
          <t>avverkningsanmälan</t>
        </is>
      </c>
      <c r="C77" t="inlineStr">
        <is>
          <t>Föryngringsavverkning</t>
        </is>
      </c>
      <c r="D77" s="1" t="n">
        <v>44905</v>
      </c>
      <c r="E77" s="1" t="n">
        <v>46221</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s="2" t="inlineStr"/>
    </row>
    <row r="78" ht="15" customHeight="1">
      <c r="A78" t="inlineStr">
        <is>
          <t>A 10185-2025</t>
        </is>
      </c>
      <c r="B78" t="inlineStr">
        <is>
          <t>avverkningsanmälan</t>
        </is>
      </c>
      <c r="C78" t="inlineStr">
        <is>
          <t>Föryngringsavverkning</t>
        </is>
      </c>
      <c r="D78" s="1" t="n">
        <v>45719</v>
      </c>
      <c r="E78" s="1" t="n">
        <v>46221</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s="2" t="inlineStr"/>
    </row>
    <row r="79" ht="15" customHeight="1">
      <c r="A79" t="inlineStr">
        <is>
          <t>A 17263-2022</t>
        </is>
      </c>
      <c r="B79" t="inlineStr">
        <is>
          <t>avverkningsanmälan</t>
        </is>
      </c>
      <c r="C79" t="inlineStr">
        <is>
          <t>Föryngringsavverkning</t>
        </is>
      </c>
      <c r="D79" s="1" t="n">
        <v>44678</v>
      </c>
      <c r="E79" s="1" t="n">
        <v>46221</v>
      </c>
      <c r="F79" t="inlineStr">
        <is>
          <t>STOCKHOLMS LÄN</t>
        </is>
      </c>
      <c r="G79" t="inlineStr">
        <is>
          <t>ÖSTERÅKER</t>
        </is>
      </c>
      <c r="I79" t="n">
        <v>2.4</v>
      </c>
      <c r="J79" t="n">
        <v>0</v>
      </c>
      <c r="K79" t="n">
        <v>0</v>
      </c>
      <c r="L79" t="n">
        <v>0</v>
      </c>
      <c r="M79" t="n">
        <v>0</v>
      </c>
      <c r="N79" t="n">
        <v>0</v>
      </c>
      <c r="O79" t="n">
        <v>0</v>
      </c>
      <c r="P79" t="n">
        <v>0</v>
      </c>
      <c r="Q79" t="n">
        <v>0</v>
      </c>
      <c r="R79" t="n">
        <v>0</v>
      </c>
      <c r="S79" t="n">
        <v>0</v>
      </c>
      <c r="T79" t="n">
        <v>0</v>
      </c>
      <c r="U79" s="2" t="inlineStr"/>
    </row>
    <row r="80" ht="15" customHeight="1">
      <c r="A80" t="inlineStr">
        <is>
          <t>A 16728-2022</t>
        </is>
      </c>
      <c r="B80" t="inlineStr">
        <is>
          <t>avverkningsanmälan</t>
        </is>
      </c>
      <c r="C80" t="inlineStr">
        <is>
          <t>Föryngringsavverkning</t>
        </is>
      </c>
      <c r="D80" s="1" t="n">
        <v>44673</v>
      </c>
      <c r="E80" s="1" t="n">
        <v>46221</v>
      </c>
      <c r="F80" t="inlineStr">
        <is>
          <t>STOCKHOLMS LÄN</t>
        </is>
      </c>
      <c r="G80" t="inlineStr">
        <is>
          <t>ÖSTERÅKER</t>
        </is>
      </c>
      <c r="I80" t="n">
        <v>0.9</v>
      </c>
      <c r="J80" t="n">
        <v>0</v>
      </c>
      <c r="K80" t="n">
        <v>0</v>
      </c>
      <c r="L80" t="n">
        <v>0</v>
      </c>
      <c r="M80" t="n">
        <v>0</v>
      </c>
      <c r="N80" t="n">
        <v>0</v>
      </c>
      <c r="O80" t="n">
        <v>0</v>
      </c>
      <c r="P80" t="n">
        <v>0</v>
      </c>
      <c r="Q80" t="n">
        <v>0</v>
      </c>
      <c r="R80" t="n">
        <v>0</v>
      </c>
      <c r="S80" t="n">
        <v>0</v>
      </c>
      <c r="T80" t="n">
        <v>0</v>
      </c>
      <c r="U80" s="2" t="inlineStr"/>
    </row>
    <row r="81" ht="15" customHeight="1">
      <c r="A81" t="inlineStr">
        <is>
          <t>A 14776-2024</t>
        </is>
      </c>
      <c r="B81" t="inlineStr">
        <is>
          <t>avverkningsanmälan</t>
        </is>
      </c>
      <c r="C81" t="inlineStr">
        <is>
          <t>Föryngringsavverkning</t>
        </is>
      </c>
      <c r="D81" s="1" t="n">
        <v>45397</v>
      </c>
      <c r="E81" s="1" t="n">
        <v>46221</v>
      </c>
      <c r="F81" t="inlineStr">
        <is>
          <t>STOCKHOLMS LÄN</t>
        </is>
      </c>
      <c r="G81" t="inlineStr">
        <is>
          <t>ÖSTERÅKER</t>
        </is>
      </c>
      <c r="I81" t="n">
        <v>13.6</v>
      </c>
      <c r="J81" t="n">
        <v>0</v>
      </c>
      <c r="K81" t="n">
        <v>0</v>
      </c>
      <c r="L81" t="n">
        <v>0</v>
      </c>
      <c r="M81" t="n">
        <v>0</v>
      </c>
      <c r="N81" t="n">
        <v>0</v>
      </c>
      <c r="O81" t="n">
        <v>0</v>
      </c>
      <c r="P81" t="n">
        <v>0</v>
      </c>
      <c r="Q81" t="n">
        <v>0</v>
      </c>
      <c r="R81" t="n">
        <v>0</v>
      </c>
      <c r="S81" t="n">
        <v>0</v>
      </c>
      <c r="T81" t="n">
        <v>0</v>
      </c>
      <c r="U81" s="2" t="inlineStr"/>
    </row>
    <row r="82" ht="15" customHeight="1">
      <c r="A82" t="inlineStr">
        <is>
          <t>A 34038-2025</t>
        </is>
      </c>
      <c r="B82" t="inlineStr">
        <is>
          <t>avverkningsanmälan</t>
        </is>
      </c>
      <c r="C82" t="inlineStr">
        <is>
          <t>Föryngringsavverkning</t>
        </is>
      </c>
      <c r="D82" s="1" t="n">
        <v>45842</v>
      </c>
      <c r="E82" s="1" t="n">
        <v>46221</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s="2" t="inlineStr"/>
    </row>
    <row r="83" ht="15" customHeight="1">
      <c r="A83" t="inlineStr">
        <is>
          <t>A 61370-2022</t>
        </is>
      </c>
      <c r="B83" t="inlineStr">
        <is>
          <t>avverkningsanmälan</t>
        </is>
      </c>
      <c r="C83" t="inlineStr">
        <is>
          <t>Föryngringsavverkning</t>
        </is>
      </c>
      <c r="D83" s="1" t="n">
        <v>44915</v>
      </c>
      <c r="E83" s="1" t="n">
        <v>46221</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s="2" t="inlineStr"/>
    </row>
    <row r="84" ht="15" customHeight="1">
      <c r="A84" t="inlineStr">
        <is>
          <t>A 3817-2023</t>
        </is>
      </c>
      <c r="B84" t="inlineStr">
        <is>
          <t>avverkningsanmälan</t>
        </is>
      </c>
      <c r="C84" t="inlineStr">
        <is>
          <t>Föryngringsavverkning</t>
        </is>
      </c>
      <c r="D84" s="1" t="n">
        <v>44951</v>
      </c>
      <c r="E84" s="1" t="n">
        <v>46221</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s="2" t="inlineStr"/>
    </row>
    <row r="85" ht="15" customHeight="1">
      <c r="A85" t="inlineStr">
        <is>
          <t>A 3828-2023</t>
        </is>
      </c>
      <c r="B85" t="inlineStr">
        <is>
          <t>avverkningsanmälan</t>
        </is>
      </c>
      <c r="C85" t="inlineStr">
        <is>
          <t>Föryngringsavverkning</t>
        </is>
      </c>
      <c r="D85" s="1" t="n">
        <v>44951</v>
      </c>
      <c r="E85" s="1" t="n">
        <v>46221</v>
      </c>
      <c r="F85" t="inlineStr">
        <is>
          <t>STOCKHOLMS LÄN</t>
        </is>
      </c>
      <c r="G85" t="inlineStr">
        <is>
          <t>ÖSTERÅKER</t>
        </is>
      </c>
      <c r="H85" t="inlineStr">
        <is>
          <t>Kommuner</t>
        </is>
      </c>
      <c r="I85" t="n">
        <v>3.2</v>
      </c>
      <c r="J85" t="n">
        <v>0</v>
      </c>
      <c r="K85" t="n">
        <v>0</v>
      </c>
      <c r="L85" t="n">
        <v>0</v>
      </c>
      <c r="M85" t="n">
        <v>0</v>
      </c>
      <c r="N85" t="n">
        <v>0</v>
      </c>
      <c r="O85" t="n">
        <v>0</v>
      </c>
      <c r="P85" t="n">
        <v>0</v>
      </c>
      <c r="Q85" t="n">
        <v>0</v>
      </c>
      <c r="R85" t="n">
        <v>0</v>
      </c>
      <c r="S85" t="n">
        <v>0</v>
      </c>
      <c r="T85" t="n">
        <v>0</v>
      </c>
      <c r="U85" s="2" t="inlineStr"/>
    </row>
    <row r="86" ht="15" customHeight="1">
      <c r="A86" t="inlineStr">
        <is>
          <t>A 24499-2023</t>
        </is>
      </c>
      <c r="B86" t="inlineStr">
        <is>
          <t>avverkningsanmälan</t>
        </is>
      </c>
      <c r="C86" t="inlineStr">
        <is>
          <t>Föryngringsavverkning</t>
        </is>
      </c>
      <c r="D86" s="1" t="n">
        <v>45082</v>
      </c>
      <c r="E86" s="1" t="n">
        <v>46221</v>
      </c>
      <c r="F86" t="inlineStr">
        <is>
          <t>STOCKHOLMS LÄN</t>
        </is>
      </c>
      <c r="G86" t="inlineStr">
        <is>
          <t>ÖSTERÅKER</t>
        </is>
      </c>
      <c r="I86" t="n">
        <v>0.1</v>
      </c>
      <c r="J86" t="n">
        <v>0</v>
      </c>
      <c r="K86" t="n">
        <v>0</v>
      </c>
      <c r="L86" t="n">
        <v>0</v>
      </c>
      <c r="M86" t="n">
        <v>0</v>
      </c>
      <c r="N86" t="n">
        <v>0</v>
      </c>
      <c r="O86" t="n">
        <v>0</v>
      </c>
      <c r="P86" t="n">
        <v>0</v>
      </c>
      <c r="Q86" t="n">
        <v>0</v>
      </c>
      <c r="R86" t="n">
        <v>0</v>
      </c>
      <c r="S86" t="n">
        <v>0</v>
      </c>
      <c r="T86" t="n">
        <v>0</v>
      </c>
      <c r="U86" s="2" t="inlineStr"/>
    </row>
    <row r="87" ht="15" customHeight="1">
      <c r="A87" t="inlineStr">
        <is>
          <t>A 29443-2026</t>
        </is>
      </c>
      <c r="B87" t="inlineStr">
        <is>
          <t>avverkningsanmälan</t>
        </is>
      </c>
      <c r="C87" t="inlineStr">
        <is>
          <t>Föryngringsavverkning</t>
        </is>
      </c>
      <c r="D87" s="1" t="n">
        <v>46203</v>
      </c>
      <c r="E87" s="1" t="n">
        <v>46221</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s="2" t="inlineStr"/>
    </row>
    <row r="88" ht="15" customHeight="1">
      <c r="A88" t="inlineStr">
        <is>
          <t>A 17196-2022</t>
        </is>
      </c>
      <c r="B88" t="inlineStr">
        <is>
          <t>avverkningsanmälan</t>
        </is>
      </c>
      <c r="C88" t="inlineStr">
        <is>
          <t>Föryngringsavverkning</t>
        </is>
      </c>
      <c r="D88" s="1" t="n">
        <v>44677</v>
      </c>
      <c r="E88" s="1" t="n">
        <v>46221</v>
      </c>
      <c r="F88" t="inlineStr">
        <is>
          <t>STOCKHOLMS LÄN</t>
        </is>
      </c>
      <c r="G88" t="inlineStr">
        <is>
          <t>ÖSTERÅKER</t>
        </is>
      </c>
      <c r="I88" t="n">
        <v>5.9</v>
      </c>
      <c r="J88" t="n">
        <v>0</v>
      </c>
      <c r="K88" t="n">
        <v>0</v>
      </c>
      <c r="L88" t="n">
        <v>0</v>
      </c>
      <c r="M88" t="n">
        <v>0</v>
      </c>
      <c r="N88" t="n">
        <v>0</v>
      </c>
      <c r="O88" t="n">
        <v>0</v>
      </c>
      <c r="P88" t="n">
        <v>0</v>
      </c>
      <c r="Q88" t="n">
        <v>0</v>
      </c>
      <c r="R88" t="n">
        <v>0</v>
      </c>
      <c r="S88" t="n">
        <v>0</v>
      </c>
      <c r="T88" t="n">
        <v>0</v>
      </c>
      <c r="U88" s="2" t="inlineStr"/>
    </row>
    <row r="89" ht="15" customHeight="1">
      <c r="A89" t="inlineStr">
        <is>
          <t>A 23198-2026</t>
        </is>
      </c>
      <c r="B89" t="inlineStr">
        <is>
          <t>avverkningsanmälan</t>
        </is>
      </c>
      <c r="C89" t="inlineStr">
        <is>
          <t>Avverkning för annat ändamål</t>
        </is>
      </c>
      <c r="D89" s="1" t="n">
        <v>46161</v>
      </c>
      <c r="E89" s="1" t="n">
        <v>46221</v>
      </c>
      <c r="F89" t="inlineStr">
        <is>
          <t>STOCKHOLMS LÄN</t>
        </is>
      </c>
      <c r="G89" t="inlineStr">
        <is>
          <t>ÖSTERÅKER</t>
        </is>
      </c>
      <c r="I89" t="n">
        <v>0.6</v>
      </c>
      <c r="J89" t="n">
        <v>0</v>
      </c>
      <c r="K89" t="n">
        <v>0</v>
      </c>
      <c r="L89" t="n">
        <v>0</v>
      </c>
      <c r="M89" t="n">
        <v>0</v>
      </c>
      <c r="N89" t="n">
        <v>0</v>
      </c>
      <c r="O89" t="n">
        <v>0</v>
      </c>
      <c r="P89" t="n">
        <v>0</v>
      </c>
      <c r="Q89" t="n">
        <v>0</v>
      </c>
      <c r="R89" t="n">
        <v>0</v>
      </c>
      <c r="S89" t="n">
        <v>0</v>
      </c>
      <c r="T89" t="n">
        <v>0</v>
      </c>
      <c r="U89" s="2" t="inlineStr"/>
    </row>
    <row r="90" ht="15" customHeight="1">
      <c r="A90" t="inlineStr">
        <is>
          <t>A 30599-2026</t>
        </is>
      </c>
      <c r="B90" t="inlineStr">
        <is>
          <t>avverkningsanmälan</t>
        </is>
      </c>
      <c r="C90" t="inlineStr">
        <is>
          <t>Föryngringsavverkning</t>
        </is>
      </c>
      <c r="D90" s="1" t="n">
        <v>46210</v>
      </c>
      <c r="E90" s="1" t="n">
        <v>46221</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s="2" t="inlineStr"/>
    </row>
    <row r="91" ht="15" customHeight="1">
      <c r="A91" t="inlineStr">
        <is>
          <t>A 9865-2025</t>
        </is>
      </c>
      <c r="B91" t="inlineStr">
        <is>
          <t>avverkningsanmälan</t>
        </is>
      </c>
      <c r="C91" t="inlineStr">
        <is>
          <t>Föryngringsavverkning</t>
        </is>
      </c>
      <c r="D91" s="1" t="n">
        <v>45716</v>
      </c>
      <c r="E91" s="1" t="n">
        <v>46221</v>
      </c>
      <c r="F91" t="inlineStr">
        <is>
          <t>STOCKHOLMS LÄN</t>
        </is>
      </c>
      <c r="G91" t="inlineStr">
        <is>
          <t>ÖSTERÅKER</t>
        </is>
      </c>
      <c r="I91" t="n">
        <v>7</v>
      </c>
      <c r="J91" t="n">
        <v>0</v>
      </c>
      <c r="K91" t="n">
        <v>0</v>
      </c>
      <c r="L91" t="n">
        <v>0</v>
      </c>
      <c r="M91" t="n">
        <v>0</v>
      </c>
      <c r="N91" t="n">
        <v>0</v>
      </c>
      <c r="O91" t="n">
        <v>0</v>
      </c>
      <c r="P91" t="n">
        <v>0</v>
      </c>
      <c r="Q91" t="n">
        <v>0</v>
      </c>
      <c r="R91" t="n">
        <v>0</v>
      </c>
      <c r="S91" t="n">
        <v>0</v>
      </c>
      <c r="T91" t="n">
        <v>0</v>
      </c>
      <c r="U91" s="2" t="inlineStr"/>
    </row>
    <row r="92" ht="15" customHeight="1">
      <c r="A92" t="inlineStr">
        <is>
          <t>A 1603-2023</t>
        </is>
      </c>
      <c r="B92" t="inlineStr">
        <is>
          <t>avverkningsanmälan</t>
        </is>
      </c>
      <c r="C92" t="inlineStr">
        <is>
          <t>Föryngringsavverkning</t>
        </is>
      </c>
      <c r="D92" s="1" t="n">
        <v>44937</v>
      </c>
      <c r="E92" s="1" t="n">
        <v>46221</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s="2" t="inlineStr"/>
    </row>
    <row r="93" ht="15" customHeight="1">
      <c r="A93" t="inlineStr">
        <is>
          <t>A 1605-2023</t>
        </is>
      </c>
      <c r="B93" t="inlineStr">
        <is>
          <t>avverkningsanmälan</t>
        </is>
      </c>
      <c r="C93" t="inlineStr">
        <is>
          <t>Föryngringsavverkning</t>
        </is>
      </c>
      <c r="D93" s="1" t="n">
        <v>44937</v>
      </c>
      <c r="E93" s="1" t="n">
        <v>46221</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s="2" t="inlineStr"/>
    </row>
    <row r="94" ht="15" customHeight="1">
      <c r="A94" t="inlineStr">
        <is>
          <t>A 31146-2026</t>
        </is>
      </c>
      <c r="B94" t="inlineStr">
        <is>
          <t>avverkningsanmälan</t>
        </is>
      </c>
      <c r="C94" t="inlineStr">
        <is>
          <t>Föryngringsavverkning</t>
        </is>
      </c>
      <c r="D94" s="1" t="n">
        <v>46216</v>
      </c>
      <c r="E94" s="1" t="n">
        <v>46221</v>
      </c>
      <c r="F94" t="inlineStr">
        <is>
          <t>STOCKHOLMS LÄN</t>
        </is>
      </c>
      <c r="G94" t="inlineStr">
        <is>
          <t>ÖSTERÅKER</t>
        </is>
      </c>
      <c r="I94" t="n">
        <v>3.5</v>
      </c>
      <c r="J94" t="n">
        <v>0</v>
      </c>
      <c r="K94" t="n">
        <v>0</v>
      </c>
      <c r="L94" t="n">
        <v>0</v>
      </c>
      <c r="M94" t="n">
        <v>0</v>
      </c>
      <c r="N94" t="n">
        <v>0</v>
      </c>
      <c r="O94" t="n">
        <v>0</v>
      </c>
      <c r="P94" t="n">
        <v>0</v>
      </c>
      <c r="Q94" t="n">
        <v>0</v>
      </c>
      <c r="R94" t="n">
        <v>0</v>
      </c>
      <c r="S94" t="n">
        <v>0</v>
      </c>
      <c r="T94" t="n">
        <v>0</v>
      </c>
      <c r="U94" s="2" t="inlineStr"/>
    </row>
    <row r="95" ht="15" customHeight="1">
      <c r="A95" t="inlineStr">
        <is>
          <t>A 31149-2026</t>
        </is>
      </c>
      <c r="B95" t="inlineStr">
        <is>
          <t>avverkningsanmälan</t>
        </is>
      </c>
      <c r="C95" t="inlineStr">
        <is>
          <t>Föryngringsavverkning</t>
        </is>
      </c>
      <c r="D95" s="1" t="n">
        <v>46216</v>
      </c>
      <c r="E95" s="1" t="n">
        <v>46221</v>
      </c>
      <c r="F95" t="inlineStr">
        <is>
          <t>STOCKHOLMS LÄN</t>
        </is>
      </c>
      <c r="G95" t="inlineStr">
        <is>
          <t>ÖSTERÅKER</t>
        </is>
      </c>
      <c r="I95" t="n">
        <v>1.2</v>
      </c>
      <c r="J95" t="n">
        <v>0</v>
      </c>
      <c r="K95" t="n">
        <v>0</v>
      </c>
      <c r="L95" t="n">
        <v>0</v>
      </c>
      <c r="M95" t="n">
        <v>0</v>
      </c>
      <c r="N95" t="n">
        <v>0</v>
      </c>
      <c r="O95" t="n">
        <v>0</v>
      </c>
      <c r="P95" t="n">
        <v>0</v>
      </c>
      <c r="Q95" t="n">
        <v>0</v>
      </c>
      <c r="R95" t="n">
        <v>0</v>
      </c>
      <c r="S95" t="n">
        <v>0</v>
      </c>
      <c r="T95" t="n">
        <v>0</v>
      </c>
      <c r="U95" s="2" t="inlineStr"/>
    </row>
    <row r="96" ht="15" customHeight="1">
      <c r="A96" t="inlineStr">
        <is>
          <t>A 31154-2026</t>
        </is>
      </c>
      <c r="B96" t="inlineStr">
        <is>
          <t>avverkningsanmälan</t>
        </is>
      </c>
      <c r="C96" t="inlineStr">
        <is>
          <t>Föryngringsavverkning</t>
        </is>
      </c>
      <c r="D96" s="1" t="n">
        <v>46216</v>
      </c>
      <c r="E96" s="1" t="n">
        <v>46221</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s="2" t="inlineStr"/>
    </row>
    <row r="97" ht="15" customHeight="1">
      <c r="A97" t="inlineStr">
        <is>
          <t>A 31156-2026</t>
        </is>
      </c>
      <c r="B97" t="inlineStr">
        <is>
          <t>avverkningsanmälan</t>
        </is>
      </c>
      <c r="C97" t="inlineStr">
        <is>
          <t>Föryngringsavverkning</t>
        </is>
      </c>
      <c r="D97" s="1" t="n">
        <v>46216</v>
      </c>
      <c r="E97" s="1" t="n">
        <v>46221</v>
      </c>
      <c r="F97" t="inlineStr">
        <is>
          <t>STOCKHOLMS LÄN</t>
        </is>
      </c>
      <c r="G97" t="inlineStr">
        <is>
          <t>ÖSTERÅKER</t>
        </is>
      </c>
      <c r="I97" t="n">
        <v>5.1</v>
      </c>
      <c r="J97" t="n">
        <v>0</v>
      </c>
      <c r="K97" t="n">
        <v>0</v>
      </c>
      <c r="L97" t="n">
        <v>0</v>
      </c>
      <c r="M97" t="n">
        <v>0</v>
      </c>
      <c r="N97" t="n">
        <v>0</v>
      </c>
      <c r="O97" t="n">
        <v>0</v>
      </c>
      <c r="P97" t="n">
        <v>0</v>
      </c>
      <c r="Q97" t="n">
        <v>0</v>
      </c>
      <c r="R97" t="n">
        <v>0</v>
      </c>
      <c r="S97" t="n">
        <v>0</v>
      </c>
      <c r="T97" t="n">
        <v>0</v>
      </c>
      <c r="U97" s="2" t="inlineStr"/>
    </row>
    <row r="98" ht="15" customHeight="1">
      <c r="A98" t="inlineStr">
        <is>
          <t>A 5286-2025</t>
        </is>
      </c>
      <c r="B98" t="inlineStr">
        <is>
          <t>avverkningsanmälan</t>
        </is>
      </c>
      <c r="C98" t="inlineStr">
        <is>
          <t>Föryngringsavverkning</t>
        </is>
      </c>
      <c r="D98" s="1" t="n">
        <v>45692</v>
      </c>
      <c r="E98" s="1" t="n">
        <v>46221</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s="2" t="inlineStr"/>
    </row>
    <row r="99" ht="15" customHeight="1">
      <c r="A99" t="inlineStr">
        <is>
          <t>A 1136-2023</t>
        </is>
      </c>
      <c r="B99" t="inlineStr">
        <is>
          <t>avverkningsanmälan</t>
        </is>
      </c>
      <c r="C99" t="inlineStr">
        <is>
          <t>Avverkning för annat ändamål</t>
        </is>
      </c>
      <c r="D99" s="1" t="n">
        <v>44935</v>
      </c>
      <c r="E99" s="1" t="n">
        <v>46221</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s="2" t="inlineStr"/>
    </row>
    <row r="100" ht="15" customHeight="1">
      <c r="A100" t="inlineStr">
        <is>
          <t>A 39394-2023</t>
        </is>
      </c>
      <c r="B100" t="inlineStr">
        <is>
          <t>avverkningsanmälan</t>
        </is>
      </c>
      <c r="C100" t="inlineStr">
        <is>
          <t>Föryngringsavverkning</t>
        </is>
      </c>
      <c r="D100" s="1" t="n">
        <v>45166</v>
      </c>
      <c r="E100" s="1" t="n">
        <v>46221</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845-2024</t>
        </is>
      </c>
      <c r="B101" t="inlineStr">
        <is>
          <t>avverkningsanmälan</t>
        </is>
      </c>
      <c r="C101" t="inlineStr">
        <is>
          <t>Föryngringsavverkning</t>
        </is>
      </c>
      <c r="D101" s="1" t="n">
        <v>45300</v>
      </c>
      <c r="E101" s="1" t="n">
        <v>46221</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s="2" t="inlineStr"/>
    </row>
    <row r="102" ht="15" customHeight="1">
      <c r="A102" t="inlineStr">
        <is>
          <t>A 37037-2023</t>
        </is>
      </c>
      <c r="B102" t="inlineStr">
        <is>
          <t>avverkningsanmälan</t>
        </is>
      </c>
      <c r="C102" t="inlineStr">
        <is>
          <t>Föryngringsavverkning</t>
        </is>
      </c>
      <c r="D102" s="1" t="n">
        <v>45155</v>
      </c>
      <c r="E102" s="1" t="n">
        <v>46221</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46221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46221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46221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2026-07-18T01:22:43Z</dcterms:created>
  <dcterms:modified xmlns:dcterms="http://purl.org/dc/terms/" xmlns:xsi="http://www.w3.org/2001/XMLSchema-instance" xsi:type="dcterms:W3CDTF">2026-07-18T01:22:43Z</dcterms:modified>
</cp:coreProperties>
</file>