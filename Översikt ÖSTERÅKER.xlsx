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46239</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46239</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46239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46239</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46239</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46239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46239</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54703-2024</t>
        </is>
      </c>
      <c r="B14" t="inlineStr">
        <is>
          <t>avverkningsanmälan</t>
        </is>
      </c>
      <c r="C14" t="inlineStr">
        <is>
          <t>Avverkning för annat ändamål</t>
        </is>
      </c>
      <c r="D14" s="1" t="n">
        <v>45618</v>
      </c>
      <c r="E14" s="1" t="n">
        <v>46239</v>
      </c>
      <c r="F14" t="inlineStr">
        <is>
          <t>STOCKHOLMS LÄN</t>
        </is>
      </c>
      <c r="G14" t="inlineStr">
        <is>
          <t>ÖSTERÅKER</t>
        </is>
      </c>
      <c r="I14" t="n">
        <v>7.7</v>
      </c>
      <c r="J14" t="n">
        <v>2</v>
      </c>
      <c r="K14" t="n">
        <v>0</v>
      </c>
      <c r="L14" t="n">
        <v>1</v>
      </c>
      <c r="M14" t="n">
        <v>0</v>
      </c>
      <c r="N14" t="n">
        <v>0</v>
      </c>
      <c r="O14" t="n">
        <v>0</v>
      </c>
      <c r="P14" t="n">
        <v>0</v>
      </c>
      <c r="Q14" t="n">
        <v>1</v>
      </c>
      <c r="R14" t="n">
        <v>0</v>
      </c>
      <c r="S14" t="n">
        <v>3</v>
      </c>
      <c r="T14" t="n">
        <v>6</v>
      </c>
      <c r="U14" t="n">
        <v>0</v>
      </c>
      <c r="V14" s="2" t="inlineStr">
        <is>
          <t>Tallticka
Spillkråka
Kungsfågel</t>
        </is>
      </c>
      <c r="W14">
        <f>HYPERLINK("https://klasma.github.io/Logging_0117/artfynd/A 54703-2024 artfynd.xlsx", "A 54703-2024")</f>
        <v/>
      </c>
      <c r="X14">
        <f>HYPERLINK("https://klasma.github.io/Logging_0117/kartor/A 54703-2024 karta.png", "A 54703-2024")</f>
        <v/>
      </c>
      <c r="Y14">
        <f>HYPERLINK("https://klasma.github.io/Logging_0117/kartor_geotiff/A 54703-2024 georefererad karta.tif", "A 54703-2024")</f>
        <v/>
      </c>
      <c r="AA14">
        <f>HYPERLINK("https://klasma.github.io/Logging_0117/klagomål/A 54703-2024 FSC-klagomål.docx", "A 54703-2024")</f>
        <v/>
      </c>
      <c r="AB14">
        <f>HYPERLINK("https://klasma.github.io/Logging_0117/klagomålsmail/A 54703-2024 FSC-klagomål mail.docx", "A 54703-2024")</f>
        <v/>
      </c>
      <c r="AC14">
        <f>HYPERLINK("https://klasma.github.io/Logging_0117/tillsyn/A 54703-2024 tillsynsbegäran.docx", "A 54703-2024")</f>
        <v/>
      </c>
      <c r="AD14">
        <f>HYPERLINK("https://klasma.github.io/Logging_0117/tillsynsmail/A 54703-2024 tillsynsbegäran mail.docx", "A 54703-2024")</f>
        <v/>
      </c>
      <c r="AE14">
        <f>HYPERLINK("https://klasma.github.io/Logging_0117/fåglar/A 54703-2024 prioriterade fågelarter.docx", "A 54703-2024")</f>
        <v/>
      </c>
    </row>
    <row r="15" ht="15" customHeight="1">
      <c r="A15" t="inlineStr">
        <is>
          <t>A 61363-2022</t>
        </is>
      </c>
      <c r="B15" t="inlineStr">
        <is>
          <t>avverkningsanmälan</t>
        </is>
      </c>
      <c r="C15" t="inlineStr">
        <is>
          <t>Föryngringsavverkning</t>
        </is>
      </c>
      <c r="D15" s="1" t="n">
        <v>44915</v>
      </c>
      <c r="E15" s="1" t="n">
        <v>46239</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62578-2025</t>
        </is>
      </c>
      <c r="B16" t="inlineStr">
        <is>
          <t>avverkningsanmälan</t>
        </is>
      </c>
      <c r="C16" t="inlineStr">
        <is>
          <t>Föryngringsavverkning</t>
        </is>
      </c>
      <c r="D16" s="1" t="n">
        <v>46007</v>
      </c>
      <c r="E16" s="1" t="n">
        <v>46239</v>
      </c>
      <c r="F16" t="inlineStr">
        <is>
          <t>STOCKHOLMS LÄN</t>
        </is>
      </c>
      <c r="G16" t="inlineStr">
        <is>
          <t>ÖSTERÅKER</t>
        </is>
      </c>
      <c r="I16" t="n">
        <v>3.4</v>
      </c>
      <c r="J16" t="n">
        <v>0</v>
      </c>
      <c r="K16" t="n">
        <v>3</v>
      </c>
      <c r="L16" t="n">
        <v>0</v>
      </c>
      <c r="M16" t="n">
        <v>0</v>
      </c>
      <c r="N16" t="n">
        <v>0</v>
      </c>
      <c r="O16" t="n">
        <v>0</v>
      </c>
      <c r="P16" t="n">
        <v>0</v>
      </c>
      <c r="Q16" t="n">
        <v>0</v>
      </c>
      <c r="R16" t="n">
        <v>0</v>
      </c>
      <c r="S16" t="n">
        <v>3</v>
      </c>
      <c r="T16" t="n">
        <v>4</v>
      </c>
      <c r="U16" t="n">
        <v>0</v>
      </c>
      <c r="V16" s="2" t="inlineStr">
        <is>
          <t>Fällmossa
Mindre märgborre
Vedticka</t>
        </is>
      </c>
      <c r="W16">
        <f>HYPERLINK("https://klasma.github.io/Logging_0117/artfynd/A 62578-2025 artfynd.xlsx", "A 62578-2025")</f>
        <v/>
      </c>
      <c r="X16">
        <f>HYPERLINK("https://klasma.github.io/Logging_0117/kartor/A 62578-2025 karta.png", "A 62578-2025")</f>
        <v/>
      </c>
      <c r="Y16">
        <f>HYPERLINK("https://klasma.github.io/Logging_0117/kartor_geotiff/A 62578-2025 georefererad karta.tif", "A 62578-2025")</f>
        <v/>
      </c>
      <c r="AA16">
        <f>HYPERLINK("https://klasma.github.io/Logging_0117/klagomål/A 62578-2025 FSC-klagomål.docx", "A 62578-2025")</f>
        <v/>
      </c>
      <c r="AB16">
        <f>HYPERLINK("https://klasma.github.io/Logging_0117/klagomålsmail/A 62578-2025 FSC-klagomål mail.docx", "A 62578-2025")</f>
        <v/>
      </c>
      <c r="AC16">
        <f>HYPERLINK("https://klasma.github.io/Logging_0117/tillsyn/A 62578-2025 tillsynsbegäran.docx", "A 62578-2025")</f>
        <v/>
      </c>
      <c r="AD16">
        <f>HYPERLINK("https://klasma.github.io/Logging_0117/tillsynsmail/A 62578-2025 tillsynsbegäran mail.docx", "A 62578-2025")</f>
        <v/>
      </c>
    </row>
    <row r="17" ht="15" customHeight="1">
      <c r="A17" t="inlineStr">
        <is>
          <t>A 12620-2022</t>
        </is>
      </c>
      <c r="B17" t="inlineStr">
        <is>
          <t>avverkningsanmälan</t>
        </is>
      </c>
      <c r="C17" t="inlineStr">
        <is>
          <t>Föryngringsavverkning</t>
        </is>
      </c>
      <c r="D17" s="1" t="n">
        <v>44638</v>
      </c>
      <c r="E17" s="1" t="n">
        <v>46239</v>
      </c>
      <c r="F17" t="inlineStr">
        <is>
          <t>STOCKHOLMS LÄN</t>
        </is>
      </c>
      <c r="G17" t="inlineStr">
        <is>
          <t>ÖSTERÅKER</t>
        </is>
      </c>
      <c r="I17" t="n">
        <v>9.4</v>
      </c>
      <c r="J17" t="n">
        <v>1</v>
      </c>
      <c r="K17" t="n">
        <v>1</v>
      </c>
      <c r="L17" t="n">
        <v>0</v>
      </c>
      <c r="M17" t="n">
        <v>1</v>
      </c>
      <c r="N17" t="n">
        <v>0</v>
      </c>
      <c r="O17" t="n">
        <v>0</v>
      </c>
      <c r="P17" t="n">
        <v>0</v>
      </c>
      <c r="Q17" t="n">
        <v>1</v>
      </c>
      <c r="R17" t="n">
        <v>1</v>
      </c>
      <c r="S17" t="n">
        <v>3</v>
      </c>
      <c r="T17" t="n">
        <v>3</v>
      </c>
      <c r="U17" t="n">
        <v>3</v>
      </c>
      <c r="V17" s="2" t="inlineStr">
        <is>
          <t>Taggfingersvamp
Fällmossa
Blåsippa</t>
        </is>
      </c>
      <c r="W17">
        <f>HYPERLINK("https://klasma.github.io/Logging_0117/artfynd/A 12620-2022 artfynd.xlsx", "A 12620-2022")</f>
        <v/>
      </c>
      <c r="X17">
        <f>HYPERLINK("https://klasma.github.io/Logging_0117/kartor/A 12620-2022 karta.png", "A 12620-2022")</f>
        <v/>
      </c>
      <c r="Y17">
        <f>HYPERLINK("https://klasma.github.io/Logging_0117/kartor_geotiff/A 12620-2022 georefererad karta.tif", "A 12620-2022")</f>
        <v/>
      </c>
      <c r="AA17">
        <f>HYPERLINK("https://klasma.github.io/Logging_0117/klagomål/A 12620-2022 FSC-klagomål.docx", "A 12620-2022")</f>
        <v/>
      </c>
      <c r="AB17">
        <f>HYPERLINK("https://klasma.github.io/Logging_0117/klagomålsmail/A 12620-2022 FSC-klagomål mail.docx", "A 12620-2022")</f>
        <v/>
      </c>
      <c r="AC17">
        <f>HYPERLINK("https://klasma.github.io/Logging_0117/tillsyn/A 12620-2022 tillsynsbegäran.docx", "A 12620-2022")</f>
        <v/>
      </c>
      <c r="AD17">
        <f>HYPERLINK("https://klasma.github.io/Logging_0117/tillsynsmail/A 12620-2022 tillsynsbegäran mail.docx", "A 12620-2022")</f>
        <v/>
      </c>
    </row>
    <row r="18" ht="15" customHeight="1">
      <c r="A18" t="inlineStr">
        <is>
          <t>A 67244-2021</t>
        </is>
      </c>
      <c r="B18" t="inlineStr">
        <is>
          <t>avverkningsanmälan</t>
        </is>
      </c>
      <c r="C18" t="inlineStr">
        <is>
          <t>Avverkning för annat ändamål</t>
        </is>
      </c>
      <c r="D18" s="1" t="n">
        <v>44523</v>
      </c>
      <c r="E18" s="1" t="n">
        <v>46239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30949-2024</t>
        </is>
      </c>
      <c r="B20" t="inlineStr">
        <is>
          <t>avverkningsanmälan</t>
        </is>
      </c>
      <c r="C20" t="inlineStr">
        <is>
          <t>Föryngringsavverkning</t>
        </is>
      </c>
      <c r="D20" s="1" t="n">
        <v>45499</v>
      </c>
      <c r="E20" s="1" t="n">
        <v>46239</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43308-2024</t>
        </is>
      </c>
      <c r="B21" t="inlineStr">
        <is>
          <t>avverkningsanmälan</t>
        </is>
      </c>
      <c r="C21" t="inlineStr">
        <is>
          <t>Föryngringsavverkning</t>
        </is>
      </c>
      <c r="D21" s="1" t="n">
        <v>45568</v>
      </c>
      <c r="E21" s="1" t="n">
        <v>46239</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31575-2022</t>
        </is>
      </c>
      <c r="B22" t="inlineStr">
        <is>
          <t>avverkningsanmälan</t>
        </is>
      </c>
      <c r="C22" t="inlineStr">
        <is>
          <t>Föryngringsavverkning</t>
        </is>
      </c>
      <c r="D22" s="1" t="n">
        <v>44775</v>
      </c>
      <c r="E22" s="1" t="n">
        <v>46239</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46239</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46239</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67265-2021</t>
        </is>
      </c>
      <c r="B25" t="inlineStr">
        <is>
          <t>avverkningsanmälan</t>
        </is>
      </c>
      <c r="C25" t="inlineStr">
        <is>
          <t>Föryngringsavverkning</t>
        </is>
      </c>
      <c r="D25" s="1" t="n">
        <v>44523</v>
      </c>
      <c r="E25" s="1" t="n">
        <v>46239</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46239</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46239</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46239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46239</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46239</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28964-2022</t>
        </is>
      </c>
      <c r="B38" t="inlineStr">
        <is>
          <t>avverkningsanmälan</t>
        </is>
      </c>
      <c r="C38" t="inlineStr">
        <is>
          <t>Föryngringsavverkning</t>
        </is>
      </c>
      <c r="D38" s="1" t="n">
        <v>44749</v>
      </c>
      <c r="E38" s="1" t="n">
        <v>46239</v>
      </c>
      <c r="F38" t="inlineStr">
        <is>
          <t>STOCKHOLMS LÄN</t>
        </is>
      </c>
      <c r="G38" t="inlineStr">
        <is>
          <t>ÖSTERÅKER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46239</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46239</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46239</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10082-2022</t>
        </is>
      </c>
      <c r="B42" t="inlineStr">
        <is>
          <t>avverkningsanmälan</t>
        </is>
      </c>
      <c r="C42" t="inlineStr">
        <is>
          <t>Föryngringsavverkning</t>
        </is>
      </c>
      <c r="D42" s="1" t="n">
        <v>44621</v>
      </c>
      <c r="E42" s="1" t="n">
        <v>46239</v>
      </c>
      <c r="F42" t="inlineStr">
        <is>
          <t>STOCKHOLMS LÄN</t>
        </is>
      </c>
      <c r="G42" t="inlineStr">
        <is>
          <t>ÖSTERÅKER</t>
        </is>
      </c>
      <c r="I42" t="n">
        <v>6</v>
      </c>
      <c r="J42" t="n">
        <v>0</v>
      </c>
      <c r="K42" t="n">
        <v>0</v>
      </c>
      <c r="L42" t="n">
        <v>0</v>
      </c>
      <c r="M42" t="n">
        <v>0</v>
      </c>
      <c r="N42" t="n">
        <v>0</v>
      </c>
      <c r="O42" t="n">
        <v>0</v>
      </c>
      <c r="P42" t="n">
        <v>0</v>
      </c>
      <c r="Q42" t="n">
        <v>0</v>
      </c>
      <c r="R42" t="n">
        <v>0</v>
      </c>
      <c r="S42" t="n">
        <v>0</v>
      </c>
      <c r="T42" t="n">
        <v>0</v>
      </c>
      <c r="U42" t="n">
        <v>0</v>
      </c>
      <c r="V42" s="2" t="inlineStr"/>
    </row>
    <row r="43" ht="15" customHeight="1">
      <c r="A43" t="inlineStr">
        <is>
          <t>A 16728-2022</t>
        </is>
      </c>
      <c r="B43" t="inlineStr">
        <is>
          <t>avverkningsanmälan</t>
        </is>
      </c>
      <c r="C43" t="inlineStr">
        <is>
          <t>Föryngringsavverkning</t>
        </is>
      </c>
      <c r="D43" s="1" t="n">
        <v>44673</v>
      </c>
      <c r="E43" s="1" t="n">
        <v>46239</v>
      </c>
      <c r="F43" t="inlineStr">
        <is>
          <t>STOCKHOLMS LÄN</t>
        </is>
      </c>
      <c r="G43" t="inlineStr">
        <is>
          <t>ÖSTERÅKER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46239</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14776-2024</t>
        </is>
      </c>
      <c r="B45" t="inlineStr">
        <is>
          <t>avverkningsanmälan</t>
        </is>
      </c>
      <c r="C45" t="inlineStr">
        <is>
          <t>Föryngringsavverkning</t>
        </is>
      </c>
      <c r="D45" s="1" t="n">
        <v>45397</v>
      </c>
      <c r="E45" s="1" t="n">
        <v>46239</v>
      </c>
      <c r="F45" t="inlineStr">
        <is>
          <t>STOCKHOLMS LÄN</t>
        </is>
      </c>
      <c r="G45" t="inlineStr">
        <is>
          <t>ÖSTERÅKER</t>
        </is>
      </c>
      <c r="I45" t="n">
        <v>13.6</v>
      </c>
      <c r="J45" t="n">
        <v>0</v>
      </c>
      <c r="K45" t="n">
        <v>0</v>
      </c>
      <c r="L45" t="n">
        <v>0</v>
      </c>
      <c r="M45" t="n">
        <v>0</v>
      </c>
      <c r="N45" t="n">
        <v>0</v>
      </c>
      <c r="O45" t="n">
        <v>0</v>
      </c>
      <c r="P45" t="n">
        <v>0</v>
      </c>
      <c r="Q45" t="n">
        <v>0</v>
      </c>
      <c r="R45" t="n">
        <v>0</v>
      </c>
      <c r="S45" t="n">
        <v>0</v>
      </c>
      <c r="T45" t="n">
        <v>0</v>
      </c>
      <c r="U45" t="n">
        <v>0</v>
      </c>
      <c r="V45" s="2" t="inlineStr"/>
    </row>
    <row r="46" ht="15" customHeight="1">
      <c r="A46" t="inlineStr">
        <is>
          <t>A 27137-2025</t>
        </is>
      </c>
      <c r="B46" t="inlineStr">
        <is>
          <t>avverkningsanmälan</t>
        </is>
      </c>
      <c r="C46" t="inlineStr">
        <is>
          <t>Föryngringsavverkning</t>
        </is>
      </c>
      <c r="D46" s="1" t="n">
        <v>45811</v>
      </c>
      <c r="E46" s="1" t="n">
        <v>46239</v>
      </c>
      <c r="F46" t="inlineStr">
        <is>
          <t>STOCKHOLMS LÄN</t>
        </is>
      </c>
      <c r="G46" t="inlineStr">
        <is>
          <t>ÖSTERÅKER</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61370-2022</t>
        </is>
      </c>
      <c r="B47" t="inlineStr">
        <is>
          <t>avverkningsanmälan</t>
        </is>
      </c>
      <c r="C47" t="inlineStr">
        <is>
          <t>Föryngringsavverkning</t>
        </is>
      </c>
      <c r="D47" s="1" t="n">
        <v>44915</v>
      </c>
      <c r="E47" s="1" t="n">
        <v>46239</v>
      </c>
      <c r="F47" t="inlineStr">
        <is>
          <t>STOCKHOLMS LÄN</t>
        </is>
      </c>
      <c r="G47" t="inlineStr">
        <is>
          <t>ÖSTERÅKER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34034-2025</t>
        </is>
      </c>
      <c r="B48" t="inlineStr">
        <is>
          <t>avverkningsanmälan</t>
        </is>
      </c>
      <c r="C48" t="inlineStr">
        <is>
          <t>Föryngringsavverkning</t>
        </is>
      </c>
      <c r="D48" s="1" t="n">
        <v>45842</v>
      </c>
      <c r="E48" s="1" t="n">
        <v>46239</v>
      </c>
      <c r="F48" t="inlineStr">
        <is>
          <t>STOCKHOLMS LÄN</t>
        </is>
      </c>
      <c r="G48" t="inlineStr">
        <is>
          <t>ÖSTERÅKER</t>
        </is>
      </c>
      <c r="H48" t="inlineStr">
        <is>
          <t>Övriga Aktiebolag</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46688-2022</t>
        </is>
      </c>
      <c r="B49" t="inlineStr">
        <is>
          <t>avverkningsanmälan</t>
        </is>
      </c>
      <c r="C49" t="inlineStr">
        <is>
          <t>Föryngringsavverkning</t>
        </is>
      </c>
      <c r="D49" s="1" t="n">
        <v>44851</v>
      </c>
      <c r="E49" s="1" t="n">
        <v>46239</v>
      </c>
      <c r="F49" t="inlineStr">
        <is>
          <t>STOCKHOLMS LÄN</t>
        </is>
      </c>
      <c r="G49" t="inlineStr">
        <is>
          <t>ÖSTERÅKER</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3817-2023</t>
        </is>
      </c>
      <c r="B50" t="inlineStr">
        <is>
          <t>avverkningsanmälan</t>
        </is>
      </c>
      <c r="C50" t="inlineStr">
        <is>
          <t>Föryngringsavverkning</t>
        </is>
      </c>
      <c r="D50" s="1" t="n">
        <v>44951</v>
      </c>
      <c r="E50" s="1" t="n">
        <v>46239</v>
      </c>
      <c r="F50" t="inlineStr">
        <is>
          <t>STOCKHOLMS LÄN</t>
        </is>
      </c>
      <c r="G50" t="inlineStr">
        <is>
          <t>ÖSTERÅKER</t>
        </is>
      </c>
      <c r="H50" t="inlineStr">
        <is>
          <t>Kommuner</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3828-2023</t>
        </is>
      </c>
      <c r="B51" t="inlineStr">
        <is>
          <t>avverkningsanmälan</t>
        </is>
      </c>
      <c r="C51" t="inlineStr">
        <is>
          <t>Föryngringsavverkning</t>
        </is>
      </c>
      <c r="D51" s="1" t="n">
        <v>44951</v>
      </c>
      <c r="E51" s="1" t="n">
        <v>46239</v>
      </c>
      <c r="F51" t="inlineStr">
        <is>
          <t>STOCKHOLMS LÄN</t>
        </is>
      </c>
      <c r="G51" t="inlineStr">
        <is>
          <t>ÖSTERÅKER</t>
        </is>
      </c>
      <c r="H51" t="inlineStr">
        <is>
          <t>Kommuner</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3917-2023</t>
        </is>
      </c>
      <c r="B52" t="inlineStr">
        <is>
          <t>avverkningsanmälan</t>
        </is>
      </c>
      <c r="C52" t="inlineStr">
        <is>
          <t>Föryngringsavverkning</t>
        </is>
      </c>
      <c r="D52" s="1" t="n">
        <v>44952</v>
      </c>
      <c r="E52" s="1" t="n">
        <v>46239</v>
      </c>
      <c r="F52" t="inlineStr">
        <is>
          <t>STOCKHOLMS LÄN</t>
        </is>
      </c>
      <c r="G52" t="inlineStr">
        <is>
          <t>ÖSTERÅKER</t>
        </is>
      </c>
      <c r="H52" t="inlineStr">
        <is>
          <t>Kommuner</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46239</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24499-2023</t>
        </is>
      </c>
      <c r="B54" t="inlineStr">
        <is>
          <t>avverkningsanmälan</t>
        </is>
      </c>
      <c r="C54" t="inlineStr">
        <is>
          <t>Föryngringsavverkning</t>
        </is>
      </c>
      <c r="D54" s="1" t="n">
        <v>45082</v>
      </c>
      <c r="E54" s="1" t="n">
        <v>46239</v>
      </c>
      <c r="F54" t="inlineStr">
        <is>
          <t>STOCKHOLMS LÄN</t>
        </is>
      </c>
      <c r="G54" t="inlineStr">
        <is>
          <t>ÖSTERÅKER</t>
        </is>
      </c>
      <c r="I54" t="n">
        <v>0.1</v>
      </c>
      <c r="J54" t="n">
        <v>0</v>
      </c>
      <c r="K54" t="n">
        <v>0</v>
      </c>
      <c r="L54" t="n">
        <v>0</v>
      </c>
      <c r="M54" t="n">
        <v>0</v>
      </c>
      <c r="N54" t="n">
        <v>0</v>
      </c>
      <c r="O54" t="n">
        <v>0</v>
      </c>
      <c r="P54" t="n">
        <v>0</v>
      </c>
      <c r="Q54" t="n">
        <v>0</v>
      </c>
      <c r="R54" t="n">
        <v>0</v>
      </c>
      <c r="S54" t="n">
        <v>0</v>
      </c>
      <c r="T54" t="n">
        <v>0</v>
      </c>
      <c r="U54" t="n">
        <v>0</v>
      </c>
      <c r="V54" s="2" t="inlineStr"/>
    </row>
    <row r="55" ht="15" customHeight="1">
      <c r="A55" t="inlineStr">
        <is>
          <t>A 28143-2024</t>
        </is>
      </c>
      <c r="B55" t="inlineStr">
        <is>
          <t>avverkningsanmälan</t>
        </is>
      </c>
      <c r="C55" t="inlineStr">
        <is>
          <t>Föryngringsavverkning</t>
        </is>
      </c>
      <c r="D55" s="1" t="n">
        <v>45476</v>
      </c>
      <c r="E55" s="1" t="n">
        <v>46239</v>
      </c>
      <c r="F55" t="inlineStr">
        <is>
          <t>STOCKHOLMS LÄN</t>
        </is>
      </c>
      <c r="G55" t="inlineStr">
        <is>
          <t>ÖSTERÅKER</t>
        </is>
      </c>
      <c r="H55" t="inlineStr">
        <is>
          <t>Övriga Aktiebolag</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17196-2022</t>
        </is>
      </c>
      <c r="B56" t="inlineStr">
        <is>
          <t>avverkningsanmälan</t>
        </is>
      </c>
      <c r="C56" t="inlineStr">
        <is>
          <t>Föryngringsavverkning</t>
        </is>
      </c>
      <c r="D56" s="1" t="n">
        <v>44677</v>
      </c>
      <c r="E56" s="1" t="n">
        <v>46239</v>
      </c>
      <c r="F56" t="inlineStr">
        <is>
          <t>STOCKHOLMS LÄN</t>
        </is>
      </c>
      <c r="G56" t="inlineStr">
        <is>
          <t>ÖSTERÅKER</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1603-2023</t>
        </is>
      </c>
      <c r="B57" t="inlineStr">
        <is>
          <t>avverkningsanmälan</t>
        </is>
      </c>
      <c r="C57" t="inlineStr">
        <is>
          <t>Föryngringsavverkning</t>
        </is>
      </c>
      <c r="D57" s="1" t="n">
        <v>44937</v>
      </c>
      <c r="E57" s="1" t="n">
        <v>46239</v>
      </c>
      <c r="F57" t="inlineStr">
        <is>
          <t>STOCKHOLMS LÄN</t>
        </is>
      </c>
      <c r="G57" t="inlineStr">
        <is>
          <t>ÖSTERÅKER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1605-2023</t>
        </is>
      </c>
      <c r="B58" t="inlineStr">
        <is>
          <t>avverkningsanmälan</t>
        </is>
      </c>
      <c r="C58" t="inlineStr">
        <is>
          <t>Föryngringsavverkning</t>
        </is>
      </c>
      <c r="D58" s="1" t="n">
        <v>44937</v>
      </c>
      <c r="E58" s="1" t="n">
        <v>46239</v>
      </c>
      <c r="F58" t="inlineStr">
        <is>
          <t>STOCKHOLMS LÄN</t>
        </is>
      </c>
      <c r="G58" t="inlineStr">
        <is>
          <t>ÖSTERÅKER</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28146-2024</t>
        </is>
      </c>
      <c r="B59" t="inlineStr">
        <is>
          <t>avverkningsanmälan</t>
        </is>
      </c>
      <c r="C59" t="inlineStr">
        <is>
          <t>Föryngringsavverkning</t>
        </is>
      </c>
      <c r="D59" s="1" t="n">
        <v>45476</v>
      </c>
      <c r="E59" s="1" t="n">
        <v>46239</v>
      </c>
      <c r="F59" t="inlineStr">
        <is>
          <t>STOCKHOLMS LÄN</t>
        </is>
      </c>
      <c r="G59" t="inlineStr">
        <is>
          <t>ÖSTERÅKER</t>
        </is>
      </c>
      <c r="H59" t="inlineStr">
        <is>
          <t>Övriga Aktiebolag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46239</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16803-2022</t>
        </is>
      </c>
      <c r="B61" t="inlineStr">
        <is>
          <t>avverkningsanmälan</t>
        </is>
      </c>
      <c r="C61" t="inlineStr">
        <is>
          <t>Föryngringsavverkning</t>
        </is>
      </c>
      <c r="D61" s="1" t="n">
        <v>44673</v>
      </c>
      <c r="E61" s="1" t="n">
        <v>46239</v>
      </c>
      <c r="F61" t="inlineStr">
        <is>
          <t>STOCKHOLMS LÄN</t>
        </is>
      </c>
      <c r="G61" t="inlineStr">
        <is>
          <t>ÖSTERÅKER</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5286-2025</t>
        </is>
      </c>
      <c r="B62" t="inlineStr">
        <is>
          <t>avverkningsanmälan</t>
        </is>
      </c>
      <c r="C62" t="inlineStr">
        <is>
          <t>Föryngringsavverkning</t>
        </is>
      </c>
      <c r="D62" s="1" t="n">
        <v>45692</v>
      </c>
      <c r="E62" s="1" t="n">
        <v>46239</v>
      </c>
      <c r="F62" t="inlineStr">
        <is>
          <t>STOCKHOLMS LÄN</t>
        </is>
      </c>
      <c r="G62" t="inlineStr">
        <is>
          <t>ÖSTERÅKER</t>
        </is>
      </c>
      <c r="I62" t="n">
        <v>11.2</v>
      </c>
      <c r="J62" t="n">
        <v>0</v>
      </c>
      <c r="K62" t="n">
        <v>0</v>
      </c>
      <c r="L62" t="n">
        <v>0</v>
      </c>
      <c r="M62" t="n">
        <v>0</v>
      </c>
      <c r="N62" t="n">
        <v>0</v>
      </c>
      <c r="O62" t="n">
        <v>0</v>
      </c>
      <c r="P62" t="n">
        <v>0</v>
      </c>
      <c r="Q62" t="n">
        <v>0</v>
      </c>
      <c r="R62" t="n">
        <v>0</v>
      </c>
      <c r="S62" t="n">
        <v>0</v>
      </c>
      <c r="T62" t="n">
        <v>0</v>
      </c>
      <c r="U62" t="n">
        <v>0</v>
      </c>
      <c r="V62" s="2" t="inlineStr"/>
    </row>
    <row r="63" ht="15" customHeight="1">
      <c r="A63" t="inlineStr">
        <is>
          <t>A 1136-2023</t>
        </is>
      </c>
      <c r="B63" t="inlineStr">
        <is>
          <t>avverkningsanmälan</t>
        </is>
      </c>
      <c r="C63" t="inlineStr">
        <is>
          <t>Avverkning för annat ändamål</t>
        </is>
      </c>
      <c r="D63" s="1" t="n">
        <v>44935</v>
      </c>
      <c r="E63" s="1" t="n">
        <v>46239</v>
      </c>
      <c r="F63" t="inlineStr">
        <is>
          <t>STOCKHOLMS LÄN</t>
        </is>
      </c>
      <c r="G63" t="inlineStr">
        <is>
          <t>ÖSTERÅKER</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39394-2023</t>
        </is>
      </c>
      <c r="B64" t="inlineStr">
        <is>
          <t>avverkningsanmälan</t>
        </is>
      </c>
      <c r="C64" t="inlineStr">
        <is>
          <t>Föryngringsavverkning</t>
        </is>
      </c>
      <c r="D64" s="1" t="n">
        <v>45166</v>
      </c>
      <c r="E64" s="1" t="n">
        <v>46239</v>
      </c>
      <c r="F64" t="inlineStr">
        <is>
          <t>STOCKHOLMS LÄN</t>
        </is>
      </c>
      <c r="G64" t="inlineStr">
        <is>
          <t>ÖSTERÅKER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61710-2022</t>
        </is>
      </c>
      <c r="B65" t="inlineStr">
        <is>
          <t>avverkningsanmälan</t>
        </is>
      </c>
      <c r="C65" t="inlineStr">
        <is>
          <t>Föryngringsavverkning</t>
        </is>
      </c>
      <c r="D65" s="1" t="n">
        <v>44917</v>
      </c>
      <c r="E65" s="1" t="n">
        <v>46239</v>
      </c>
      <c r="F65" t="inlineStr">
        <is>
          <t>STOCKHOLMS LÄN</t>
        </is>
      </c>
      <c r="G65" t="inlineStr">
        <is>
          <t>ÖSTERÅKER</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17353-2025</t>
        </is>
      </c>
      <c r="B66" t="inlineStr">
        <is>
          <t>avverkningsanmälan</t>
        </is>
      </c>
      <c r="C66" t="inlineStr">
        <is>
          <t>Föryngringsavverkning</t>
        </is>
      </c>
      <c r="D66" s="1" t="n">
        <v>45756</v>
      </c>
      <c r="E66" s="1" t="n">
        <v>46239</v>
      </c>
      <c r="F66" t="inlineStr">
        <is>
          <t>STOCKHOLMS LÄN</t>
        </is>
      </c>
      <c r="G66" t="inlineStr">
        <is>
          <t>ÖSTERÅKER</t>
        </is>
      </c>
      <c r="H66" t="inlineStr">
        <is>
          <t>Övriga Aktiebolag</t>
        </is>
      </c>
      <c r="I66" t="n">
        <v>5.5</v>
      </c>
      <c r="J66" t="n">
        <v>0</v>
      </c>
      <c r="K66" t="n">
        <v>0</v>
      </c>
      <c r="L66" t="n">
        <v>0</v>
      </c>
      <c r="M66" t="n">
        <v>0</v>
      </c>
      <c r="N66" t="n">
        <v>0</v>
      </c>
      <c r="O66" t="n">
        <v>0</v>
      </c>
      <c r="P66" t="n">
        <v>0</v>
      </c>
      <c r="Q66" t="n">
        <v>0</v>
      </c>
      <c r="R66" t="n">
        <v>0</v>
      </c>
      <c r="S66" t="n">
        <v>0</v>
      </c>
      <c r="T66" t="n">
        <v>0</v>
      </c>
      <c r="U66" t="n">
        <v>0</v>
      </c>
      <c r="V66" s="2" t="inlineStr"/>
    </row>
    <row r="67" ht="15" customHeight="1">
      <c r="A67" t="inlineStr">
        <is>
          <t>A 845-2024</t>
        </is>
      </c>
      <c r="B67" t="inlineStr">
        <is>
          <t>avverkningsanmälan</t>
        </is>
      </c>
      <c r="C67" t="inlineStr">
        <is>
          <t>Föryngringsavverkning</t>
        </is>
      </c>
      <c r="D67" s="1" t="n">
        <v>45300</v>
      </c>
      <c r="E67" s="1" t="n">
        <v>46239</v>
      </c>
      <c r="F67" t="inlineStr">
        <is>
          <t>STOCKHOLMS LÄN</t>
        </is>
      </c>
      <c r="G67" t="inlineStr">
        <is>
          <t>ÖSTERÅKER</t>
        </is>
      </c>
      <c r="I67" t="n">
        <v>10.1</v>
      </c>
      <c r="J67" t="n">
        <v>0</v>
      </c>
      <c r="K67" t="n">
        <v>0</v>
      </c>
      <c r="L67" t="n">
        <v>0</v>
      </c>
      <c r="M67" t="n">
        <v>0</v>
      </c>
      <c r="N67" t="n">
        <v>0</v>
      </c>
      <c r="O67" t="n">
        <v>0</v>
      </c>
      <c r="P67" t="n">
        <v>0</v>
      </c>
      <c r="Q67" t="n">
        <v>0</v>
      </c>
      <c r="R67" t="n">
        <v>0</v>
      </c>
      <c r="S67" t="n">
        <v>0</v>
      </c>
      <c r="T67" t="n">
        <v>0</v>
      </c>
      <c r="U67" t="n">
        <v>0</v>
      </c>
      <c r="V67" s="2" t="inlineStr"/>
    </row>
    <row r="68" ht="15" customHeight="1">
      <c r="A68" t="inlineStr">
        <is>
          <t>A 37037-2023</t>
        </is>
      </c>
      <c r="B68" t="inlineStr">
        <is>
          <t>avverkningsanmälan</t>
        </is>
      </c>
      <c r="C68" t="inlineStr">
        <is>
          <t>Föryngringsavverkning</t>
        </is>
      </c>
      <c r="D68" s="1" t="n">
        <v>45155</v>
      </c>
      <c r="E68" s="1" t="n">
        <v>46239</v>
      </c>
      <c r="F68" t="inlineStr">
        <is>
          <t>STOCKHOLMS LÄN</t>
        </is>
      </c>
      <c r="G68" t="inlineStr">
        <is>
          <t>ÖSTERÅKER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544-2023</t>
        </is>
      </c>
      <c r="B69" t="inlineStr">
        <is>
          <t>avverkningsanmälan</t>
        </is>
      </c>
      <c r="C69" t="inlineStr">
        <is>
          <t>Avverkning för annat ändamål</t>
        </is>
      </c>
      <c r="D69" s="1" t="n">
        <v>44924</v>
      </c>
      <c r="E69" s="1" t="n">
        <v>46239</v>
      </c>
      <c r="F69" t="inlineStr">
        <is>
          <t>STOCKHOLMS LÄN</t>
        </is>
      </c>
      <c r="G69" t="inlineStr">
        <is>
          <t>ÖSTERÅKER</t>
        </is>
      </c>
      <c r="H69" t="inlineStr">
        <is>
          <t>Övriga Aktiebolag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34038-2025</t>
        </is>
      </c>
      <c r="B70" t="inlineStr">
        <is>
          <t>avverkningsanmälan</t>
        </is>
      </c>
      <c r="C70" t="inlineStr">
        <is>
          <t>Föryngringsavverkning</t>
        </is>
      </c>
      <c r="D70" s="1" t="n">
        <v>45842</v>
      </c>
      <c r="E70" s="1" t="n">
        <v>46239</v>
      </c>
      <c r="F70" t="inlineStr">
        <is>
          <t>STOCKHOLMS LÄN</t>
        </is>
      </c>
      <c r="G70" t="inlineStr">
        <is>
          <t>ÖSTERÅKER</t>
        </is>
      </c>
      <c r="H70" t="inlineStr">
        <is>
          <t>Övriga Aktiebolag</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52220-2025</t>
        </is>
      </c>
      <c r="B71" t="inlineStr">
        <is>
          <t>avverkningsanmälan</t>
        </is>
      </c>
      <c r="C71" t="inlineStr">
        <is>
          <t>Avverkning för annat ändamål</t>
        </is>
      </c>
      <c r="D71" s="1" t="n">
        <v>45953</v>
      </c>
      <c r="E71" s="1" t="n">
        <v>46239</v>
      </c>
      <c r="F71" t="inlineStr">
        <is>
          <t>STOCKHOLMS LÄN</t>
        </is>
      </c>
      <c r="G71" t="inlineStr">
        <is>
          <t>ÖSTERÅKER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29443-2026</t>
        </is>
      </c>
      <c r="B72" t="inlineStr">
        <is>
          <t>avverkningsanmälan</t>
        </is>
      </c>
      <c r="C72" t="inlineStr">
        <is>
          <t>Föryngringsavverkning</t>
        </is>
      </c>
      <c r="D72" s="1" t="n">
        <v>46203</v>
      </c>
      <c r="E72" s="1" t="n">
        <v>46239</v>
      </c>
      <c r="F72" t="inlineStr">
        <is>
          <t>STOCKHOLMS LÄN</t>
        </is>
      </c>
      <c r="G72" t="inlineStr">
        <is>
          <t>ÖSTERÅKER</t>
        </is>
      </c>
      <c r="I72" t="n">
        <v>13.8</v>
      </c>
      <c r="J72" t="n">
        <v>0</v>
      </c>
      <c r="K72" t="n">
        <v>0</v>
      </c>
      <c r="L72" t="n">
        <v>0</v>
      </c>
      <c r="M72" t="n">
        <v>0</v>
      </c>
      <c r="N72" t="n">
        <v>0</v>
      </c>
      <c r="O72" t="n">
        <v>0</v>
      </c>
      <c r="P72" t="n">
        <v>0</v>
      </c>
      <c r="Q72" t="n">
        <v>0</v>
      </c>
      <c r="R72" t="n">
        <v>0</v>
      </c>
      <c r="S72" t="n">
        <v>0</v>
      </c>
      <c r="T72" t="n">
        <v>0</v>
      </c>
      <c r="U72" t="n">
        <v>0</v>
      </c>
      <c r="V72" s="2" t="inlineStr"/>
    </row>
    <row r="73" ht="15" customHeight="1">
      <c r="A73" t="inlineStr">
        <is>
          <t>A 23198-2026</t>
        </is>
      </c>
      <c r="B73" t="inlineStr">
        <is>
          <t>avverkningsanmälan</t>
        </is>
      </c>
      <c r="C73" t="inlineStr">
        <is>
          <t>Avverkning för annat ändamål</t>
        </is>
      </c>
      <c r="D73" s="1" t="n">
        <v>46161</v>
      </c>
      <c r="E73" s="1" t="n">
        <v>46239</v>
      </c>
      <c r="F73" t="inlineStr">
        <is>
          <t>STOCKHOLMS LÄN</t>
        </is>
      </c>
      <c r="G73" t="inlineStr">
        <is>
          <t>ÖSTERÅKER</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30599-2026</t>
        </is>
      </c>
      <c r="B74" t="inlineStr">
        <is>
          <t>avverkningsanmälan</t>
        </is>
      </c>
      <c r="C74" t="inlineStr">
        <is>
          <t>Föryngringsavverkning</t>
        </is>
      </c>
      <c r="D74" s="1" t="n">
        <v>46210</v>
      </c>
      <c r="E74" s="1" t="n">
        <v>46239</v>
      </c>
      <c r="F74" t="inlineStr">
        <is>
          <t>STOCKHOLMS LÄN</t>
        </is>
      </c>
      <c r="G74" t="inlineStr">
        <is>
          <t>ÖSTERÅKER</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9865-2025</t>
        </is>
      </c>
      <c r="B75" t="inlineStr">
        <is>
          <t>avverkningsanmälan</t>
        </is>
      </c>
      <c r="C75" t="inlineStr">
        <is>
          <t>Föryngringsavverkning</t>
        </is>
      </c>
      <c r="D75" s="1" t="n">
        <v>45716</v>
      </c>
      <c r="E75" s="1" t="n">
        <v>46239</v>
      </c>
      <c r="F75" t="inlineStr">
        <is>
          <t>STOCKHOLMS LÄN</t>
        </is>
      </c>
      <c r="G75" t="inlineStr">
        <is>
          <t>ÖSTERÅKER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31146-2026</t>
        </is>
      </c>
      <c r="B76" t="inlineStr">
        <is>
          <t>avverkningsanmälan</t>
        </is>
      </c>
      <c r="C76" t="inlineStr">
        <is>
          <t>Föryngringsavverkning</t>
        </is>
      </c>
      <c r="D76" s="1" t="n">
        <v>46216</v>
      </c>
      <c r="E76" s="1" t="n">
        <v>46239</v>
      </c>
      <c r="F76" t="inlineStr">
        <is>
          <t>STOCKHOLMS LÄN</t>
        </is>
      </c>
      <c r="G76" t="inlineStr">
        <is>
          <t>ÖSTERÅKER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31149-2026</t>
        </is>
      </c>
      <c r="B77" t="inlineStr">
        <is>
          <t>avverkningsanmälan</t>
        </is>
      </c>
      <c r="C77" t="inlineStr">
        <is>
          <t>Föryngringsavverkning</t>
        </is>
      </c>
      <c r="D77" s="1" t="n">
        <v>46216</v>
      </c>
      <c r="E77" s="1" t="n">
        <v>46239</v>
      </c>
      <c r="F77" t="inlineStr">
        <is>
          <t>STOCKHOLMS LÄN</t>
        </is>
      </c>
      <c r="G77" t="inlineStr">
        <is>
          <t>ÖSTERÅKER</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31154-2026</t>
        </is>
      </c>
      <c r="B78" t="inlineStr">
        <is>
          <t>avverkningsanmälan</t>
        </is>
      </c>
      <c r="C78" t="inlineStr">
        <is>
          <t>Föryngringsavverkning</t>
        </is>
      </c>
      <c r="D78" s="1" t="n">
        <v>46216</v>
      </c>
      <c r="E78" s="1" t="n">
        <v>46239</v>
      </c>
      <c r="F78" t="inlineStr">
        <is>
          <t>STOCKHOLMS LÄN</t>
        </is>
      </c>
      <c r="G78" t="inlineStr">
        <is>
          <t>ÖSTERÅKER</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31156-2026</t>
        </is>
      </c>
      <c r="B79" t="inlineStr">
        <is>
          <t>avverkningsanmälan</t>
        </is>
      </c>
      <c r="C79" t="inlineStr">
        <is>
          <t>Föryngringsavverkning</t>
        </is>
      </c>
      <c r="D79" s="1" t="n">
        <v>46216</v>
      </c>
      <c r="E79" s="1" t="n">
        <v>46239</v>
      </c>
      <c r="F79" t="inlineStr">
        <is>
          <t>STOCKHOLMS LÄN</t>
        </is>
      </c>
      <c r="G79" t="inlineStr">
        <is>
          <t>ÖSTERÅKER</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26249-2026</t>
        </is>
      </c>
      <c r="B80" t="inlineStr">
        <is>
          <t>avverkningsanmälan</t>
        </is>
      </c>
      <c r="C80" t="inlineStr">
        <is>
          <t>Avverkning för annat ändamål</t>
        </is>
      </c>
      <c r="D80" s="1" t="n">
        <v>46182</v>
      </c>
      <c r="E80" s="1" t="n">
        <v>46239</v>
      </c>
      <c r="F80" t="inlineStr">
        <is>
          <t>STOCKHOLMS LÄN</t>
        </is>
      </c>
      <c r="G80" t="inlineStr">
        <is>
          <t>ÖSTERÅKER</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5038-2026</t>
        </is>
      </c>
      <c r="B81" t="inlineStr">
        <is>
          <t>avverkningsanmälan</t>
        </is>
      </c>
      <c r="C81" t="inlineStr">
        <is>
          <t>Föryngringsavverkning</t>
        </is>
      </c>
      <c r="D81" s="1" t="n">
        <v>46049</v>
      </c>
      <c r="E81" s="1" t="n">
        <v>46239</v>
      </c>
      <c r="F81" t="inlineStr">
        <is>
          <t>STOCKHOLMS LÄN</t>
        </is>
      </c>
      <c r="G81" t="inlineStr">
        <is>
          <t>ÖSTERÅKER</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470-2022</t>
        </is>
      </c>
      <c r="B82" t="inlineStr">
        <is>
          <t>avverkningsanmälan</t>
        </is>
      </c>
      <c r="C82" t="inlineStr">
        <is>
          <t>Föryngringsavverkning</t>
        </is>
      </c>
      <c r="D82" s="1" t="n">
        <v>44565</v>
      </c>
      <c r="E82" s="1" t="n">
        <v>46239</v>
      </c>
      <c r="F82" t="inlineStr">
        <is>
          <t>STOCKHOLMS LÄN</t>
        </is>
      </c>
      <c r="G82" t="inlineStr">
        <is>
          <t>ÖSTERÅKER</t>
        </is>
      </c>
      <c r="H82" t="inlineStr">
        <is>
          <t>Övriga Aktiebolag</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33158-2024</t>
        </is>
      </c>
      <c r="B83" t="inlineStr">
        <is>
          <t>avverkningsanmälan</t>
        </is>
      </c>
      <c r="C83" t="inlineStr">
        <is>
          <t>Avverkning för annat ändamål</t>
        </is>
      </c>
      <c r="D83" s="1" t="n">
        <v>45518</v>
      </c>
      <c r="E83" s="1" t="n">
        <v>46239</v>
      </c>
      <c r="F83" t="inlineStr">
        <is>
          <t>STOCKHOLMS LÄN</t>
        </is>
      </c>
      <c r="G83" t="inlineStr">
        <is>
          <t>ÖSTERÅKER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13366-2024</t>
        </is>
      </c>
      <c r="B84" t="inlineStr">
        <is>
          <t>avverkningsanmälan</t>
        </is>
      </c>
      <c r="C84" t="inlineStr">
        <is>
          <t>Föryngringsavverkning</t>
        </is>
      </c>
      <c r="D84" s="1" t="n">
        <v>45387</v>
      </c>
      <c r="E84" s="1" t="n">
        <v>46239</v>
      </c>
      <c r="F84" t="inlineStr">
        <is>
          <t>STOCKHOLMS LÄN</t>
        </is>
      </c>
      <c r="G84" t="inlineStr">
        <is>
          <t>ÖSTERÅKER</t>
        </is>
      </c>
      <c r="I84" t="n">
        <v>13.7</v>
      </c>
      <c r="J84" t="n">
        <v>0</v>
      </c>
      <c r="K84" t="n">
        <v>0</v>
      </c>
      <c r="L84" t="n">
        <v>0</v>
      </c>
      <c r="M84" t="n">
        <v>0</v>
      </c>
      <c r="N84" t="n">
        <v>0</v>
      </c>
      <c r="O84" t="n">
        <v>0</v>
      </c>
      <c r="P84" t="n">
        <v>0</v>
      </c>
      <c r="Q84" t="n">
        <v>0</v>
      </c>
      <c r="R84" t="n">
        <v>0</v>
      </c>
      <c r="S84" t="n">
        <v>0</v>
      </c>
      <c r="T84" t="n">
        <v>0</v>
      </c>
      <c r="U84" t="n">
        <v>0</v>
      </c>
      <c r="V84" s="2" t="inlineStr"/>
    </row>
    <row r="85" ht="15" customHeight="1">
      <c r="A85" t="inlineStr">
        <is>
          <t>A 61360-2022</t>
        </is>
      </c>
      <c r="B85" t="inlineStr">
        <is>
          <t>avverkningsanmälan</t>
        </is>
      </c>
      <c r="C85" t="inlineStr">
        <is>
          <t>Föryngringsavverkning</t>
        </is>
      </c>
      <c r="D85" s="1" t="n">
        <v>44915</v>
      </c>
      <c r="E85" s="1" t="n">
        <v>46239</v>
      </c>
      <c r="F85" t="inlineStr">
        <is>
          <t>STOCKHOLMS LÄN</t>
        </is>
      </c>
      <c r="G85" t="inlineStr">
        <is>
          <t>ÖSTERÅKER</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12345-2026</t>
        </is>
      </c>
      <c r="B86" t="inlineStr">
        <is>
          <t>avverkningsanmälan</t>
        </is>
      </c>
      <c r="C86" t="inlineStr">
        <is>
          <t>Föryngringsavverkning</t>
        </is>
      </c>
      <c r="D86" s="1" t="n">
        <v>46087</v>
      </c>
      <c r="E86" s="1" t="n">
        <v>46239</v>
      </c>
      <c r="F86" t="inlineStr">
        <is>
          <t>STOCKHOLMS LÄN</t>
        </is>
      </c>
      <c r="G86" t="inlineStr">
        <is>
          <t>ÖSTERÅKER</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62108-2022</t>
        </is>
      </c>
      <c r="B87" t="inlineStr">
        <is>
          <t>avverkningsanmälan</t>
        </is>
      </c>
      <c r="C87" t="inlineStr">
        <is>
          <t>Föryngringsavverkning</t>
        </is>
      </c>
      <c r="D87" s="1" t="n">
        <v>44920</v>
      </c>
      <c r="E87" s="1" t="n">
        <v>46239</v>
      </c>
      <c r="F87" t="inlineStr">
        <is>
          <t>STOCKHOLMS LÄN</t>
        </is>
      </c>
      <c r="G87" t="inlineStr">
        <is>
          <t>ÖSTERÅKER</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6655-2023</t>
        </is>
      </c>
      <c r="B88" t="inlineStr">
        <is>
          <t>avverkningsanmälan</t>
        </is>
      </c>
      <c r="C88" t="inlineStr">
        <is>
          <t>Föryngringsavverkning</t>
        </is>
      </c>
      <c r="D88" s="1" t="n">
        <v>44966</v>
      </c>
      <c r="E88" s="1" t="n">
        <v>46239</v>
      </c>
      <c r="F88" t="inlineStr">
        <is>
          <t>STOCKHOLMS LÄN</t>
        </is>
      </c>
      <c r="G88" t="inlineStr">
        <is>
          <t>ÖSTERÅKER</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31134-2023</t>
        </is>
      </c>
      <c r="B89" t="inlineStr">
        <is>
          <t>avverkningsanmälan</t>
        </is>
      </c>
      <c r="C89" t="inlineStr">
        <is>
          <t>Föryngringsavverkning</t>
        </is>
      </c>
      <c r="D89" s="1" t="n">
        <v>45113</v>
      </c>
      <c r="E89" s="1" t="n">
        <v>46239</v>
      </c>
      <c r="F89" t="inlineStr">
        <is>
          <t>STOCKHOLMS LÄN</t>
        </is>
      </c>
      <c r="G89" t="inlineStr">
        <is>
          <t>ÖSTERÅKER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57048-2024</t>
        </is>
      </c>
      <c r="B90" t="inlineStr">
        <is>
          <t>avverkningsanmälan</t>
        </is>
      </c>
      <c r="C90" t="inlineStr">
        <is>
          <t>Föryngringsavverkning</t>
        </is>
      </c>
      <c r="D90" s="1" t="n">
        <v>45629</v>
      </c>
      <c r="E90" s="1" t="n">
        <v>46239</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57055-2024</t>
        </is>
      </c>
      <c r="B91" t="inlineStr">
        <is>
          <t>avverkningsanmälan</t>
        </is>
      </c>
      <c r="C91" t="inlineStr">
        <is>
          <t>Föryngringsavverkning</t>
        </is>
      </c>
      <c r="D91" s="1" t="n">
        <v>45629</v>
      </c>
      <c r="E91" s="1" t="n">
        <v>46239</v>
      </c>
      <c r="F91" t="inlineStr">
        <is>
          <t>STOCKHOLMS LÄN</t>
        </is>
      </c>
      <c r="G91" t="inlineStr">
        <is>
          <t>ÖSTERÅKER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21796-2025</t>
        </is>
      </c>
      <c r="B92" t="inlineStr">
        <is>
          <t>avverkningsanmälan</t>
        </is>
      </c>
      <c r="C92" t="inlineStr">
        <is>
          <t>Föryngringsavverkning</t>
        </is>
      </c>
      <c r="D92" s="1" t="n">
        <v>45783</v>
      </c>
      <c r="E92" s="1" t="n">
        <v>46239</v>
      </c>
      <c r="F92" t="inlineStr">
        <is>
          <t>STOCKHOLMS LÄN</t>
        </is>
      </c>
      <c r="G92" t="inlineStr">
        <is>
          <t>ÖSTERÅKER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3326-2022</t>
        </is>
      </c>
      <c r="B93" t="inlineStr">
        <is>
          <t>avverkningsanmälan</t>
        </is>
      </c>
      <c r="C93" t="inlineStr">
        <is>
          <t>Föryngringsavverkning</t>
        </is>
      </c>
      <c r="D93" s="1" t="n">
        <v>44583</v>
      </c>
      <c r="E93" s="1" t="n">
        <v>46239</v>
      </c>
      <c r="F93" t="inlineStr">
        <is>
          <t>STOCKHOLMS LÄN</t>
        </is>
      </c>
      <c r="G93" t="inlineStr">
        <is>
          <t>ÖSTERÅKER</t>
        </is>
      </c>
      <c r="H93" t="inlineStr">
        <is>
          <t>Övriga Aktiebolag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60482-2025</t>
        </is>
      </c>
      <c r="B94" t="inlineStr">
        <is>
          <t>avverkningsanmälan</t>
        </is>
      </c>
      <c r="C94" t="inlineStr">
        <is>
          <t>Föryngringsavverkning</t>
        </is>
      </c>
      <c r="D94" s="1" t="n">
        <v>45995</v>
      </c>
      <c r="E94" s="1" t="n">
        <v>46239</v>
      </c>
      <c r="F94" t="inlineStr">
        <is>
          <t>STOCKHOLMS LÄN</t>
        </is>
      </c>
      <c r="G94" t="inlineStr">
        <is>
          <t>ÖSTERÅKER</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18711-2023</t>
        </is>
      </c>
      <c r="B95" t="inlineStr">
        <is>
          <t>avverkningsanmälan</t>
        </is>
      </c>
      <c r="C95" t="inlineStr">
        <is>
          <t>Föryngringsavverkning</t>
        </is>
      </c>
      <c r="D95" s="1" t="n">
        <v>45043</v>
      </c>
      <c r="E95" s="1" t="n">
        <v>46239</v>
      </c>
      <c r="F95" t="inlineStr">
        <is>
          <t>STOCKHOLMS LÄN</t>
        </is>
      </c>
      <c r="G95" t="inlineStr">
        <is>
          <t>ÖSTERÅKER</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56909-2024</t>
        </is>
      </c>
      <c r="B96" t="inlineStr">
        <is>
          <t>avverkningsanmälan</t>
        </is>
      </c>
      <c r="C96" t="inlineStr">
        <is>
          <t>Avverkning för att bevara och utveckla /försöksver</t>
        </is>
      </c>
      <c r="D96" s="1" t="n">
        <v>45628</v>
      </c>
      <c r="E96" s="1" t="n">
        <v>46239</v>
      </c>
      <c r="F96" t="inlineStr">
        <is>
          <t>STOCKHOLMS LÄN</t>
        </is>
      </c>
      <c r="G96" t="inlineStr">
        <is>
          <t>ÖSTERÅKER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34713-2025</t>
        </is>
      </c>
      <c r="B97" t="inlineStr">
        <is>
          <t>avverkningsanmälan</t>
        </is>
      </c>
      <c r="C97" t="inlineStr">
        <is>
          <t>Föryngringsavverkning</t>
        </is>
      </c>
      <c r="D97" s="1" t="n">
        <v>45848</v>
      </c>
      <c r="E97" s="1" t="n">
        <v>46239</v>
      </c>
      <c r="F97" t="inlineStr">
        <is>
          <t>STOCKHOLMS LÄN</t>
        </is>
      </c>
      <c r="G97" t="inlineStr">
        <is>
          <t>ÖSTERÅKER</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16738-2022</t>
        </is>
      </c>
      <c r="B98" t="inlineStr">
        <is>
          <t>avverkningsanmälan</t>
        </is>
      </c>
      <c r="C98" t="inlineStr">
        <is>
          <t>Avverkning för annat ändamål</t>
        </is>
      </c>
      <c r="D98" s="1" t="n">
        <v>44673</v>
      </c>
      <c r="E98" s="1" t="n">
        <v>46239</v>
      </c>
      <c r="F98" t="inlineStr">
        <is>
          <t>STOCKHOLMS LÄN</t>
        </is>
      </c>
      <c r="G98" t="inlineStr">
        <is>
          <t>ÖSTERÅKER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23144-2024</t>
        </is>
      </c>
      <c r="B99" t="inlineStr">
        <is>
          <t>avverkningsanmälan</t>
        </is>
      </c>
      <c r="C99" t="inlineStr">
        <is>
          <t>Föryngringsavverkning</t>
        </is>
      </c>
      <c r="D99" s="1" t="n">
        <v>45450</v>
      </c>
      <c r="E99" s="1" t="n">
        <v>46239</v>
      </c>
      <c r="F99" t="inlineStr">
        <is>
          <t>STOCKHOLMS LÄN</t>
        </is>
      </c>
      <c r="G99" t="inlineStr">
        <is>
          <t>ÖSTERÅKER</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17263-2022</t>
        </is>
      </c>
      <c r="B100" t="inlineStr">
        <is>
          <t>avverkningsanmälan</t>
        </is>
      </c>
      <c r="C100" t="inlineStr">
        <is>
          <t>Föryngringsavverkning</t>
        </is>
      </c>
      <c r="D100" s="1" t="n">
        <v>44678</v>
      </c>
      <c r="E100" s="1" t="n">
        <v>46239</v>
      </c>
      <c r="F100" t="inlineStr">
        <is>
          <t>STOCKHOLMS LÄN</t>
        </is>
      </c>
      <c r="G100" t="inlineStr">
        <is>
          <t>ÖSTERÅKER</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59379-2022</t>
        </is>
      </c>
      <c r="B101" t="inlineStr">
        <is>
          <t>avverkningsanmälan</t>
        </is>
      </c>
      <c r="C101" t="inlineStr">
        <is>
          <t>Föryngringsavverkning</t>
        </is>
      </c>
      <c r="D101" s="1" t="n">
        <v>44905</v>
      </c>
      <c r="E101" s="1" t="n">
        <v>46239</v>
      </c>
      <c r="F101" t="inlineStr">
        <is>
          <t>STOCKHOLMS LÄN</t>
        </is>
      </c>
      <c r="G101" t="inlineStr">
        <is>
          <t>ÖSTERÅKER</t>
        </is>
      </c>
      <c r="H101" t="inlineStr">
        <is>
          <t>Kommuner</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10185-2025</t>
        </is>
      </c>
      <c r="B102" t="inlineStr">
        <is>
          <t>avverkningsanmälan</t>
        </is>
      </c>
      <c r="C102" t="inlineStr">
        <is>
          <t>Föryngringsavverkning</t>
        </is>
      </c>
      <c r="D102" s="1" t="n">
        <v>45719</v>
      </c>
      <c r="E102" s="1" t="n">
        <v>46239</v>
      </c>
      <c r="F102" t="inlineStr">
        <is>
          <t>STOCKHOLMS LÄN</t>
        </is>
      </c>
      <c r="G102" t="inlineStr">
        <is>
          <t>ÖSTERÅKER</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2026-08-05T20:38:14Z</dcterms:created>
  <dcterms:modified xmlns:dcterms="http://purl.org/dc/terms/" xmlns:xsi="http://www.w3.org/2001/XMLSchema-instance" xsi:type="dcterms:W3CDTF">2026-08-05T20:38:15Z</dcterms:modified>
</cp:coreProperties>
</file>