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46133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46133</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46133</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46133</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46133</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46133</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22172-2022</t>
        </is>
      </c>
      <c r="B9" s="1" t="n">
        <v>44712</v>
      </c>
      <c r="C9" s="1" t="n">
        <v>46133</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46133</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46133</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46133</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46133</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62578-2025</t>
        </is>
      </c>
      <c r="B14" s="1" t="n">
        <v>46007</v>
      </c>
      <c r="C14" s="1" t="n">
        <v>46133</v>
      </c>
      <c r="D14" t="inlineStr">
        <is>
          <t>STOCKHOLMS LÄN</t>
        </is>
      </c>
      <c r="E14" t="inlineStr">
        <is>
          <t>ÖSTERÅKER</t>
        </is>
      </c>
      <c r="G14" t="n">
        <v>3.4</v>
      </c>
      <c r="H14" t="n">
        <v>0</v>
      </c>
      <c r="I14" t="n">
        <v>2</v>
      </c>
      <c r="J14" t="n">
        <v>0</v>
      </c>
      <c r="K14" t="n">
        <v>0</v>
      </c>
      <c r="L14" t="n">
        <v>0</v>
      </c>
      <c r="M14" t="n">
        <v>0</v>
      </c>
      <c r="N14" t="n">
        <v>0</v>
      </c>
      <c r="O14" t="n">
        <v>0</v>
      </c>
      <c r="P14" t="n">
        <v>0</v>
      </c>
      <c r="Q14" t="n">
        <v>2</v>
      </c>
      <c r="R14" s="2" t="inlineStr">
        <is>
          <t>Fällmossa
Mindre märgborre</t>
        </is>
      </c>
      <c r="S14">
        <f>HYPERLINK("https://klasma.github.io/Logging_0117/artfynd/A 62578-2025 artfynd.xlsx", "A 62578-2025")</f>
        <v/>
      </c>
      <c r="T14">
        <f>HYPERLINK("https://klasma.github.io/Logging_0117/kartor/A 62578-2025 karta.png", "A 62578-2025")</f>
        <v/>
      </c>
      <c r="V14">
        <f>HYPERLINK("https://klasma.github.io/Logging_0117/klagomål/A 62578-2025 FSC-klagomål.docx", "A 62578-2025")</f>
        <v/>
      </c>
      <c r="W14">
        <f>HYPERLINK("https://klasma.github.io/Logging_0117/klagomålsmail/A 62578-2025 FSC-klagomål mail.docx", "A 62578-2025")</f>
        <v/>
      </c>
      <c r="X14">
        <f>HYPERLINK("https://klasma.github.io/Logging_0117/tillsyn/A 62578-2025 tillsynsbegäran.docx", "A 62578-2025")</f>
        <v/>
      </c>
      <c r="Y14">
        <f>HYPERLINK("https://klasma.github.io/Logging_0117/tillsynsmail/A 62578-2025 tillsynsbegäran mail.docx", "A 62578-2025")</f>
        <v/>
      </c>
    </row>
    <row r="15" ht="15" customHeight="1">
      <c r="A15" t="inlineStr">
        <is>
          <t>A 34721-2025</t>
        </is>
      </c>
      <c r="B15" s="1" t="n">
        <v>45848</v>
      </c>
      <c r="C15" s="1" t="n">
        <v>46133</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36366-2025</t>
        </is>
      </c>
      <c r="B16" s="1" t="n">
        <v>45868</v>
      </c>
      <c r="C16" s="1" t="n">
        <v>46133</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3914-2023</t>
        </is>
      </c>
      <c r="B17" s="1" t="n">
        <v>44952.30934027778</v>
      </c>
      <c r="C17" s="1" t="n">
        <v>46133</v>
      </c>
      <c r="D17" t="inlineStr">
        <is>
          <t>STOCKHOLMS LÄN</t>
        </is>
      </c>
      <c r="E17" t="inlineStr">
        <is>
          <t>ÖSTERÅKER</t>
        </is>
      </c>
      <c r="F17" t="inlineStr">
        <is>
          <t>Kommuner</t>
        </is>
      </c>
      <c r="G17" t="n">
        <v>15.3</v>
      </c>
      <c r="H17" t="n">
        <v>2</v>
      </c>
      <c r="I17" t="n">
        <v>0</v>
      </c>
      <c r="J17" t="n">
        <v>1</v>
      </c>
      <c r="K17" t="n">
        <v>0</v>
      </c>
      <c r="L17" t="n">
        <v>0</v>
      </c>
      <c r="M17" t="n">
        <v>0</v>
      </c>
      <c r="N17" t="n">
        <v>0</v>
      </c>
      <c r="O17" t="n">
        <v>1</v>
      </c>
      <c r="P17" t="n">
        <v>0</v>
      </c>
      <c r="Q17" t="n">
        <v>2</v>
      </c>
      <c r="R17" s="2" t="inlineStr">
        <is>
          <t>Kråka
Järnsparv</t>
        </is>
      </c>
      <c r="S17">
        <f>HYPERLINK("https://klasma.github.io/Logging_0117/artfynd/A 3914-2023 artfynd.xlsx", "A 3914-2023")</f>
        <v/>
      </c>
      <c r="T17">
        <f>HYPERLINK("https://klasma.github.io/Logging_0117/kartor/A 3914-2023 karta.png", "A 3914-2023")</f>
        <v/>
      </c>
      <c r="V17">
        <f>HYPERLINK("https://klasma.github.io/Logging_0117/klagomål/A 3914-2023 FSC-klagomål.docx", "A 3914-2023")</f>
        <v/>
      </c>
      <c r="W17">
        <f>HYPERLINK("https://klasma.github.io/Logging_0117/klagomålsmail/A 3914-2023 FSC-klagomål mail.docx", "A 3914-2023")</f>
        <v/>
      </c>
      <c r="X17">
        <f>HYPERLINK("https://klasma.github.io/Logging_0117/tillsyn/A 3914-2023 tillsynsbegäran.docx", "A 3914-2023")</f>
        <v/>
      </c>
      <c r="Y17">
        <f>HYPERLINK("https://klasma.github.io/Logging_0117/tillsynsmail/A 3914-2023 tillsynsbegäran mail.docx", "A 3914-2023")</f>
        <v/>
      </c>
      <c r="Z17">
        <f>HYPERLINK("https://klasma.github.io/Logging_0117/fåglar/A 3914-2023 prioriterade fågelarter.docx", "A 3914-2023")</f>
        <v/>
      </c>
    </row>
    <row r="18" ht="15" customHeight="1">
      <c r="A18" t="inlineStr">
        <is>
          <t>A 43308-2024</t>
        </is>
      </c>
      <c r="B18" s="1" t="n">
        <v>45568</v>
      </c>
      <c r="C18" s="1" t="n">
        <v>46133</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31523-2022</t>
        </is>
      </c>
      <c r="B19" s="1" t="n">
        <v>44775.22490740741</v>
      </c>
      <c r="C19" s="1" t="n">
        <v>46133</v>
      </c>
      <c r="D19" t="inlineStr">
        <is>
          <t>STOCKHOLMS LÄN</t>
        </is>
      </c>
      <c r="E19" t="inlineStr">
        <is>
          <t>ÖSTERÅKER</t>
        </is>
      </c>
      <c r="G19" t="n">
        <v>9</v>
      </c>
      <c r="H19" t="n">
        <v>0</v>
      </c>
      <c r="I19" t="n">
        <v>0</v>
      </c>
      <c r="J19" t="n">
        <v>2</v>
      </c>
      <c r="K19" t="n">
        <v>0</v>
      </c>
      <c r="L19" t="n">
        <v>0</v>
      </c>
      <c r="M19" t="n">
        <v>0</v>
      </c>
      <c r="N19" t="n">
        <v>0</v>
      </c>
      <c r="O19" t="n">
        <v>2</v>
      </c>
      <c r="P19" t="n">
        <v>0</v>
      </c>
      <c r="Q19" t="n">
        <v>2</v>
      </c>
      <c r="R19" s="2" t="inlineStr">
        <is>
          <t>Garnlav
Tallticka</t>
        </is>
      </c>
      <c r="S19">
        <f>HYPERLINK("https://klasma.github.io/Logging_0117/artfynd/A 31523-2022 artfynd.xlsx", "A 31523-2022")</f>
        <v/>
      </c>
      <c r="T19">
        <f>HYPERLINK("https://klasma.github.io/Logging_0117/kartor/A 31523-2022 karta.png", "A 31523-2022")</f>
        <v/>
      </c>
      <c r="V19">
        <f>HYPERLINK("https://klasma.github.io/Logging_0117/klagomål/A 31523-2022 FSC-klagomål.docx", "A 31523-2022")</f>
        <v/>
      </c>
      <c r="W19">
        <f>HYPERLINK("https://klasma.github.io/Logging_0117/klagomålsmail/A 31523-2022 FSC-klagomål mail.docx", "A 31523-2022")</f>
        <v/>
      </c>
      <c r="X19">
        <f>HYPERLINK("https://klasma.github.io/Logging_0117/tillsyn/A 31523-2022 tillsynsbegäran.docx", "A 31523-2022")</f>
        <v/>
      </c>
      <c r="Y19">
        <f>HYPERLINK("https://klasma.github.io/Logging_0117/tillsynsmail/A 31523-2022 tillsynsbegäran mail.docx", "A 31523-2022")</f>
        <v/>
      </c>
    </row>
    <row r="20" ht="15" customHeight="1">
      <c r="A20" t="inlineStr">
        <is>
          <t>A 61363-2022</t>
        </is>
      </c>
      <c r="B20" s="1" t="n">
        <v>44915</v>
      </c>
      <c r="C20" s="1" t="n">
        <v>46133</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54703-2024</t>
        </is>
      </c>
      <c r="B21" s="1" t="n">
        <v>45618</v>
      </c>
      <c r="C21" s="1" t="n">
        <v>46133</v>
      </c>
      <c r="D21" t="inlineStr">
        <is>
          <t>STOCKHOLMS LÄN</t>
        </is>
      </c>
      <c r="E21" t="inlineStr">
        <is>
          <t>ÖSTERÅKER</t>
        </is>
      </c>
      <c r="G21" t="n">
        <v>7.7</v>
      </c>
      <c r="H21" t="n">
        <v>1</v>
      </c>
      <c r="I21" t="n">
        <v>0</v>
      </c>
      <c r="J21" t="n">
        <v>2</v>
      </c>
      <c r="K21" t="n">
        <v>0</v>
      </c>
      <c r="L21" t="n">
        <v>0</v>
      </c>
      <c r="M21" t="n">
        <v>0</v>
      </c>
      <c r="N21" t="n">
        <v>0</v>
      </c>
      <c r="O21" t="n">
        <v>2</v>
      </c>
      <c r="P21" t="n">
        <v>0</v>
      </c>
      <c r="Q21" t="n">
        <v>2</v>
      </c>
      <c r="R21" s="2" t="inlineStr">
        <is>
          <t>Spillkråka
Tallticka</t>
        </is>
      </c>
      <c r="S21">
        <f>HYPERLINK("https://klasma.github.io/Logging_0117/artfynd/A 54703-2024 artfynd.xlsx", "A 54703-2024")</f>
        <v/>
      </c>
      <c r="T21">
        <f>HYPERLINK("https://klasma.github.io/Logging_0117/kartor/A 54703-2024 karta.png", "A 54703-2024")</f>
        <v/>
      </c>
      <c r="V21">
        <f>HYPERLINK("https://klasma.github.io/Logging_0117/klagomål/A 54703-2024 FSC-klagomål.docx", "A 54703-2024")</f>
        <v/>
      </c>
      <c r="W21">
        <f>HYPERLINK("https://klasma.github.io/Logging_0117/klagomålsmail/A 54703-2024 FSC-klagomål mail.docx", "A 54703-2024")</f>
        <v/>
      </c>
      <c r="X21">
        <f>HYPERLINK("https://klasma.github.io/Logging_0117/tillsyn/A 54703-2024 tillsynsbegäran.docx", "A 54703-2024")</f>
        <v/>
      </c>
      <c r="Y21">
        <f>HYPERLINK("https://klasma.github.io/Logging_0117/tillsynsmail/A 54703-2024 tillsynsbegäran mail.docx", "A 54703-2024")</f>
        <v/>
      </c>
      <c r="Z21">
        <f>HYPERLINK("https://klasma.github.io/Logging_0117/fåglar/A 54703-2024 prioriterade fågelarter.docx", "A 54703-2024")</f>
        <v/>
      </c>
    </row>
    <row r="22" ht="15" customHeight="1">
      <c r="A22" t="inlineStr">
        <is>
          <t>A 27921-2025</t>
        </is>
      </c>
      <c r="B22" s="1" t="n">
        <v>45817.4846875</v>
      </c>
      <c r="C22" s="1" t="n">
        <v>46133</v>
      </c>
      <c r="D22" t="inlineStr">
        <is>
          <t>STOCKHOLMS LÄN</t>
        </is>
      </c>
      <c r="E22" t="inlineStr">
        <is>
          <t>ÖSTERÅKER</t>
        </is>
      </c>
      <c r="G22" t="n">
        <v>11.8</v>
      </c>
      <c r="H22" t="n">
        <v>1</v>
      </c>
      <c r="I22" t="n">
        <v>0</v>
      </c>
      <c r="J22" t="n">
        <v>0</v>
      </c>
      <c r="K22" t="n">
        <v>0</v>
      </c>
      <c r="L22" t="n">
        <v>0</v>
      </c>
      <c r="M22" t="n">
        <v>0</v>
      </c>
      <c r="N22" t="n">
        <v>0</v>
      </c>
      <c r="O22" t="n">
        <v>0</v>
      </c>
      <c r="P22" t="n">
        <v>0</v>
      </c>
      <c r="Q22" t="n">
        <v>1</v>
      </c>
      <c r="R22" s="2" t="inlineStr">
        <is>
          <t>Mindre vattensalamander</t>
        </is>
      </c>
      <c r="S22">
        <f>HYPERLINK("https://klasma.github.io/Logging_0117/artfynd/A 27921-2025 artfynd.xlsx", "A 27921-2025")</f>
        <v/>
      </c>
      <c r="T22">
        <f>HYPERLINK("https://klasma.github.io/Logging_0117/kartor/A 27921-2025 karta.png", "A 27921-2025")</f>
        <v/>
      </c>
      <c r="V22">
        <f>HYPERLINK("https://klasma.github.io/Logging_0117/klagomål/A 27921-2025 FSC-klagomål.docx", "A 27921-2025")</f>
        <v/>
      </c>
      <c r="W22">
        <f>HYPERLINK("https://klasma.github.io/Logging_0117/klagomålsmail/A 27921-2025 FSC-klagomål mail.docx", "A 27921-2025")</f>
        <v/>
      </c>
      <c r="X22">
        <f>HYPERLINK("https://klasma.github.io/Logging_0117/tillsyn/A 27921-2025 tillsynsbegäran.docx", "A 27921-2025")</f>
        <v/>
      </c>
      <c r="Y22">
        <f>HYPERLINK("https://klasma.github.io/Logging_0117/tillsynsmail/A 27921-2025 tillsynsbegäran mail.docx", "A 27921-2025")</f>
        <v/>
      </c>
    </row>
    <row r="23" ht="15" customHeight="1">
      <c r="A23" t="inlineStr">
        <is>
          <t>A 31716-2025</t>
        </is>
      </c>
      <c r="B23" s="1" t="n">
        <v>45834</v>
      </c>
      <c r="C23" s="1" t="n">
        <v>46133</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46133</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13652-2026</t>
        </is>
      </c>
      <c r="B25" s="1" t="n">
        <v>46097</v>
      </c>
      <c r="C25" s="1" t="n">
        <v>46133</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46133</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46133</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46133</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46133</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46133</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46133</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46133</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46133</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46133</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46133</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46133</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46133</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46133</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46133</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46133</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46133</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46133</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61370-2022</t>
        </is>
      </c>
      <c r="B44" s="1" t="n">
        <v>44915</v>
      </c>
      <c r="C44" s="1" t="n">
        <v>46133</v>
      </c>
      <c r="D44" t="inlineStr">
        <is>
          <t>STOCKHOLMS LÄN</t>
        </is>
      </c>
      <c r="E44" t="inlineStr">
        <is>
          <t>ÖSTERÅKER</t>
        </is>
      </c>
      <c r="G44" t="n">
        <v>3.2</v>
      </c>
      <c r="H44" t="n">
        <v>0</v>
      </c>
      <c r="I44" t="n">
        <v>0</v>
      </c>
      <c r="J44" t="n">
        <v>0</v>
      </c>
      <c r="K44" t="n">
        <v>0</v>
      </c>
      <c r="L44" t="n">
        <v>0</v>
      </c>
      <c r="M44" t="n">
        <v>0</v>
      </c>
      <c r="N44" t="n">
        <v>0</v>
      </c>
      <c r="O44" t="n">
        <v>0</v>
      </c>
      <c r="P44" t="n">
        <v>0</v>
      </c>
      <c r="Q44" t="n">
        <v>0</v>
      </c>
      <c r="R44" s="2" t="inlineStr"/>
    </row>
    <row r="45" ht="15" customHeight="1">
      <c r="A45" t="inlineStr">
        <is>
          <t>A 1603-2023</t>
        </is>
      </c>
      <c r="B45" s="1" t="n">
        <v>44937.68086805556</v>
      </c>
      <c r="C45" s="1" t="n">
        <v>46133</v>
      </c>
      <c r="D45" t="inlineStr">
        <is>
          <t>STOCKHOLMS LÄN</t>
        </is>
      </c>
      <c r="E45" t="inlineStr">
        <is>
          <t>ÖSTERÅKER</t>
        </is>
      </c>
      <c r="G45" t="n">
        <v>1.7</v>
      </c>
      <c r="H45" t="n">
        <v>0</v>
      </c>
      <c r="I45" t="n">
        <v>0</v>
      </c>
      <c r="J45" t="n">
        <v>0</v>
      </c>
      <c r="K45" t="n">
        <v>0</v>
      </c>
      <c r="L45" t="n">
        <v>0</v>
      </c>
      <c r="M45" t="n">
        <v>0</v>
      </c>
      <c r="N45" t="n">
        <v>0</v>
      </c>
      <c r="O45" t="n">
        <v>0</v>
      </c>
      <c r="P45" t="n">
        <v>0</v>
      </c>
      <c r="Q45" t="n">
        <v>0</v>
      </c>
      <c r="R45" s="2" t="inlineStr"/>
    </row>
    <row r="46" ht="15" customHeight="1">
      <c r="A46" t="inlineStr">
        <is>
          <t>A 1605-2023</t>
        </is>
      </c>
      <c r="B46" s="1" t="n">
        <v>44937.68299768519</v>
      </c>
      <c r="C46" s="1" t="n">
        <v>46133</v>
      </c>
      <c r="D46" t="inlineStr">
        <is>
          <t>STOCKHOLMS LÄN</t>
        </is>
      </c>
      <c r="E46" t="inlineStr">
        <is>
          <t>ÖSTERÅKER</t>
        </is>
      </c>
      <c r="G46" t="n">
        <v>2.9</v>
      </c>
      <c r="H46" t="n">
        <v>0</v>
      </c>
      <c r="I46" t="n">
        <v>0</v>
      </c>
      <c r="J46" t="n">
        <v>0</v>
      </c>
      <c r="K46" t="n">
        <v>0</v>
      </c>
      <c r="L46" t="n">
        <v>0</v>
      </c>
      <c r="M46" t="n">
        <v>0</v>
      </c>
      <c r="N46" t="n">
        <v>0</v>
      </c>
      <c r="O46" t="n">
        <v>0</v>
      </c>
      <c r="P46" t="n">
        <v>0</v>
      </c>
      <c r="Q46" t="n">
        <v>0</v>
      </c>
      <c r="R46" s="2" t="inlineStr"/>
    </row>
    <row r="47" ht="15" customHeight="1">
      <c r="A47" t="inlineStr">
        <is>
          <t>A 37037-2023</t>
        </is>
      </c>
      <c r="B47" s="1" t="n">
        <v>45155</v>
      </c>
      <c r="C47" s="1" t="n">
        <v>46133</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3828-2023</t>
        </is>
      </c>
      <c r="B48" s="1" t="n">
        <v>44951</v>
      </c>
      <c r="C48" s="1" t="n">
        <v>46133</v>
      </c>
      <c r="D48" t="inlineStr">
        <is>
          <t>STOCKHOLMS LÄN</t>
        </is>
      </c>
      <c r="E48" t="inlineStr">
        <is>
          <t>ÖSTERÅKER</t>
        </is>
      </c>
      <c r="F48" t="inlineStr">
        <is>
          <t>Kommuner</t>
        </is>
      </c>
      <c r="G48" t="n">
        <v>3.2</v>
      </c>
      <c r="H48" t="n">
        <v>0</v>
      </c>
      <c r="I48" t="n">
        <v>0</v>
      </c>
      <c r="J48" t="n">
        <v>0</v>
      </c>
      <c r="K48" t="n">
        <v>0</v>
      </c>
      <c r="L48" t="n">
        <v>0</v>
      </c>
      <c r="M48" t="n">
        <v>0</v>
      </c>
      <c r="N48" t="n">
        <v>0</v>
      </c>
      <c r="O48" t="n">
        <v>0</v>
      </c>
      <c r="P48" t="n">
        <v>0</v>
      </c>
      <c r="Q48" t="n">
        <v>0</v>
      </c>
      <c r="R48" s="2" t="inlineStr"/>
    </row>
    <row r="49" ht="15" customHeight="1">
      <c r="A49" t="inlineStr">
        <is>
          <t>A 33158-2024</t>
        </is>
      </c>
      <c r="B49" s="1" t="n">
        <v>45518</v>
      </c>
      <c r="C49" s="1" t="n">
        <v>46133</v>
      </c>
      <c r="D49" t="inlineStr">
        <is>
          <t>STOCKHOLMS LÄN</t>
        </is>
      </c>
      <c r="E49" t="inlineStr">
        <is>
          <t>ÖSTERÅKER</t>
        </is>
      </c>
      <c r="G49" t="n">
        <v>1.6</v>
      </c>
      <c r="H49" t="n">
        <v>0</v>
      </c>
      <c r="I49" t="n">
        <v>0</v>
      </c>
      <c r="J49" t="n">
        <v>0</v>
      </c>
      <c r="K49" t="n">
        <v>0</v>
      </c>
      <c r="L49" t="n">
        <v>0</v>
      </c>
      <c r="M49" t="n">
        <v>0</v>
      </c>
      <c r="N49" t="n">
        <v>0</v>
      </c>
      <c r="O49" t="n">
        <v>0</v>
      </c>
      <c r="P49" t="n">
        <v>0</v>
      </c>
      <c r="Q49" t="n">
        <v>0</v>
      </c>
      <c r="R49" s="2" t="inlineStr"/>
    </row>
    <row r="50" ht="15" customHeight="1">
      <c r="A50" t="inlineStr">
        <is>
          <t>A 61781-2025</t>
        </is>
      </c>
      <c r="B50" s="1" t="n">
        <v>46002</v>
      </c>
      <c r="C50" s="1" t="n">
        <v>46133</v>
      </c>
      <c r="D50" t="inlineStr">
        <is>
          <t>STOCKHOLMS LÄN</t>
        </is>
      </c>
      <c r="E50" t="inlineStr">
        <is>
          <t>ÖSTERÅKER</t>
        </is>
      </c>
      <c r="G50" t="n">
        <v>4.9</v>
      </c>
      <c r="H50" t="n">
        <v>0</v>
      </c>
      <c r="I50" t="n">
        <v>0</v>
      </c>
      <c r="J50" t="n">
        <v>0</v>
      </c>
      <c r="K50" t="n">
        <v>0</v>
      </c>
      <c r="L50" t="n">
        <v>0</v>
      </c>
      <c r="M50" t="n">
        <v>0</v>
      </c>
      <c r="N50" t="n">
        <v>0</v>
      </c>
      <c r="O50" t="n">
        <v>0</v>
      </c>
      <c r="P50" t="n">
        <v>0</v>
      </c>
      <c r="Q50" t="n">
        <v>0</v>
      </c>
      <c r="R50" s="2" t="inlineStr"/>
    </row>
    <row r="51" ht="15" customHeight="1">
      <c r="A51" t="inlineStr">
        <is>
          <t>A 27137-2025</t>
        </is>
      </c>
      <c r="B51" s="1" t="n">
        <v>45811.95890046296</v>
      </c>
      <c r="C51" s="1" t="n">
        <v>46133</v>
      </c>
      <c r="D51" t="inlineStr">
        <is>
          <t>STOCKHOLMS LÄN</t>
        </is>
      </c>
      <c r="E51" t="inlineStr">
        <is>
          <t>ÖSTERÅKER</t>
        </is>
      </c>
      <c r="G51" t="n">
        <v>3.8</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46133</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46133</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46133</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46133</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31456-2025</t>
        </is>
      </c>
      <c r="B56" s="1" t="n">
        <v>45833.5402662037</v>
      </c>
      <c r="C56" s="1" t="n">
        <v>46133</v>
      </c>
      <c r="D56" t="inlineStr">
        <is>
          <t>STOCKHOLMS LÄN</t>
        </is>
      </c>
      <c r="E56" t="inlineStr">
        <is>
          <t>ÖSTERÅKER</t>
        </is>
      </c>
      <c r="G56" t="n">
        <v>4.3</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46133</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61360-2022</t>
        </is>
      </c>
      <c r="B58" s="1" t="n">
        <v>44915</v>
      </c>
      <c r="C58" s="1" t="n">
        <v>46133</v>
      </c>
      <c r="D58" t="inlineStr">
        <is>
          <t>STOCKHOLMS LÄN</t>
        </is>
      </c>
      <c r="E58" t="inlineStr">
        <is>
          <t>ÖSTERÅKER</t>
        </is>
      </c>
      <c r="G58" t="n">
        <v>2.3</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46133</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46133</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46133</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34079-2025</t>
        </is>
      </c>
      <c r="B62" s="1" t="n">
        <v>45842</v>
      </c>
      <c r="C62" s="1" t="n">
        <v>46133</v>
      </c>
      <c r="D62" t="inlineStr">
        <is>
          <t>STOCKHOLMS LÄN</t>
        </is>
      </c>
      <c r="E62" t="inlineStr">
        <is>
          <t>ÖSTERÅKER</t>
        </is>
      </c>
      <c r="F62" t="inlineStr">
        <is>
          <t>Övriga Aktiebolag</t>
        </is>
      </c>
      <c r="G62" t="n">
        <v>4.1</v>
      </c>
      <c r="H62" t="n">
        <v>0</v>
      </c>
      <c r="I62" t="n">
        <v>0</v>
      </c>
      <c r="J62" t="n">
        <v>0</v>
      </c>
      <c r="K62" t="n">
        <v>0</v>
      </c>
      <c r="L62" t="n">
        <v>0</v>
      </c>
      <c r="M62" t="n">
        <v>0</v>
      </c>
      <c r="N62" t="n">
        <v>0</v>
      </c>
      <c r="O62" t="n">
        <v>0</v>
      </c>
      <c r="P62" t="n">
        <v>0</v>
      </c>
      <c r="Q62" t="n">
        <v>0</v>
      </c>
      <c r="R62" s="2" t="inlineStr"/>
    </row>
    <row r="63" ht="15" customHeight="1">
      <c r="A63" t="inlineStr">
        <is>
          <t>A 34034-2025</t>
        </is>
      </c>
      <c r="B63" s="1" t="n">
        <v>45842</v>
      </c>
      <c r="C63" s="1" t="n">
        <v>46133</v>
      </c>
      <c r="D63" t="inlineStr">
        <is>
          <t>STOCKHOLMS LÄN</t>
        </is>
      </c>
      <c r="E63" t="inlineStr">
        <is>
          <t>ÖSTERÅKER</t>
        </is>
      </c>
      <c r="F63" t="inlineStr">
        <is>
          <t>Övriga Aktiebolag</t>
        </is>
      </c>
      <c r="G63" t="n">
        <v>3.9</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46133</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1136-2023</t>
        </is>
      </c>
      <c r="B65" s="1" t="n">
        <v>44935</v>
      </c>
      <c r="C65" s="1" t="n">
        <v>46133</v>
      </c>
      <c r="D65" t="inlineStr">
        <is>
          <t>STOCKHOLMS LÄN</t>
        </is>
      </c>
      <c r="E65" t="inlineStr">
        <is>
          <t>ÖSTERÅKER</t>
        </is>
      </c>
      <c r="G65" t="n">
        <v>0.5</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46133</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35656-2025</t>
        </is>
      </c>
      <c r="B67" s="1" t="n">
        <v>45859</v>
      </c>
      <c r="C67" s="1" t="n">
        <v>46133</v>
      </c>
      <c r="D67" t="inlineStr">
        <is>
          <t>STOCKHOLMS LÄN</t>
        </is>
      </c>
      <c r="E67" t="inlineStr">
        <is>
          <t>ÖSTERÅKER</t>
        </is>
      </c>
      <c r="G67" t="n">
        <v>1.5</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46133</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35819-2025</t>
        </is>
      </c>
      <c r="B69" s="1" t="n">
        <v>45861</v>
      </c>
      <c r="C69" s="1" t="n">
        <v>46133</v>
      </c>
      <c r="D69" t="inlineStr">
        <is>
          <t>STOCKHOLMS LÄN</t>
        </is>
      </c>
      <c r="E69" t="inlineStr">
        <is>
          <t>ÖSTERÅKER</t>
        </is>
      </c>
      <c r="F69" t="inlineStr">
        <is>
          <t>Övriga Aktiebolag</t>
        </is>
      </c>
      <c r="G69" t="n">
        <v>8</v>
      </c>
      <c r="H69" t="n">
        <v>0</v>
      </c>
      <c r="I69" t="n">
        <v>0</v>
      </c>
      <c r="J69" t="n">
        <v>0</v>
      </c>
      <c r="K69" t="n">
        <v>0</v>
      </c>
      <c r="L69" t="n">
        <v>0</v>
      </c>
      <c r="M69" t="n">
        <v>0</v>
      </c>
      <c r="N69" t="n">
        <v>0</v>
      </c>
      <c r="O69" t="n">
        <v>0</v>
      </c>
      <c r="P69" t="n">
        <v>0</v>
      </c>
      <c r="Q69" t="n">
        <v>0</v>
      </c>
      <c r="R69" s="2" t="inlineStr"/>
    </row>
    <row r="70" ht="15" customHeight="1">
      <c r="A70" t="inlineStr">
        <is>
          <t>A 36611-2025</t>
        </is>
      </c>
      <c r="B70" s="1" t="n">
        <v>45870</v>
      </c>
      <c r="C70" s="1" t="n">
        <v>46133</v>
      </c>
      <c r="D70" t="inlineStr">
        <is>
          <t>STOCKHOLMS LÄN</t>
        </is>
      </c>
      <c r="E70" t="inlineStr">
        <is>
          <t>ÖSTERÅKER</t>
        </is>
      </c>
      <c r="F70" t="inlineStr">
        <is>
          <t>Övriga Aktiebolag</t>
        </is>
      </c>
      <c r="G70" t="n">
        <v>2.6</v>
      </c>
      <c r="H70" t="n">
        <v>0</v>
      </c>
      <c r="I70" t="n">
        <v>0</v>
      </c>
      <c r="J70" t="n">
        <v>0</v>
      </c>
      <c r="K70" t="n">
        <v>0</v>
      </c>
      <c r="L70" t="n">
        <v>0</v>
      </c>
      <c r="M70" t="n">
        <v>0</v>
      </c>
      <c r="N70" t="n">
        <v>0</v>
      </c>
      <c r="O70" t="n">
        <v>0</v>
      </c>
      <c r="P70" t="n">
        <v>0</v>
      </c>
      <c r="Q70" t="n">
        <v>0</v>
      </c>
      <c r="R70" s="2" t="inlineStr"/>
    </row>
    <row r="71" ht="15" customHeight="1">
      <c r="A71" t="inlineStr">
        <is>
          <t>A 36614-2025</t>
        </is>
      </c>
      <c r="B71" s="1" t="n">
        <v>45870</v>
      </c>
      <c r="C71" s="1" t="n">
        <v>46133</v>
      </c>
      <c r="D71" t="inlineStr">
        <is>
          <t>STOCKHOLMS LÄN</t>
        </is>
      </c>
      <c r="E71" t="inlineStr">
        <is>
          <t>ÖSTERÅKER</t>
        </is>
      </c>
      <c r="G71" t="n">
        <v>1.7</v>
      </c>
      <c r="H71" t="n">
        <v>0</v>
      </c>
      <c r="I71" t="n">
        <v>0</v>
      </c>
      <c r="J71" t="n">
        <v>0</v>
      </c>
      <c r="K71" t="n">
        <v>0</v>
      </c>
      <c r="L71" t="n">
        <v>0</v>
      </c>
      <c r="M71" t="n">
        <v>0</v>
      </c>
      <c r="N71" t="n">
        <v>0</v>
      </c>
      <c r="O71" t="n">
        <v>0</v>
      </c>
      <c r="P71" t="n">
        <v>0</v>
      </c>
      <c r="Q71" t="n">
        <v>0</v>
      </c>
      <c r="R71" s="2" t="inlineStr"/>
    </row>
    <row r="72" ht="15" customHeight="1">
      <c r="A72" t="inlineStr">
        <is>
          <t>A 36612-2025</t>
        </is>
      </c>
      <c r="B72" s="1" t="n">
        <v>45870</v>
      </c>
      <c r="C72" s="1" t="n">
        <v>46133</v>
      </c>
      <c r="D72" t="inlineStr">
        <is>
          <t>STOCKHOLMS LÄN</t>
        </is>
      </c>
      <c r="E72" t="inlineStr">
        <is>
          <t>ÖSTERÅKER</t>
        </is>
      </c>
      <c r="F72" t="inlineStr">
        <is>
          <t>Övriga Aktiebolag</t>
        </is>
      </c>
      <c r="G72" t="n">
        <v>2.1</v>
      </c>
      <c r="H72" t="n">
        <v>0</v>
      </c>
      <c r="I72" t="n">
        <v>0</v>
      </c>
      <c r="J72" t="n">
        <v>0</v>
      </c>
      <c r="K72" t="n">
        <v>0</v>
      </c>
      <c r="L72" t="n">
        <v>0</v>
      </c>
      <c r="M72" t="n">
        <v>0</v>
      </c>
      <c r="N72" t="n">
        <v>0</v>
      </c>
      <c r="O72" t="n">
        <v>0</v>
      </c>
      <c r="P72" t="n">
        <v>0</v>
      </c>
      <c r="Q72" t="n">
        <v>0</v>
      </c>
      <c r="R72" s="2" t="inlineStr"/>
    </row>
    <row r="73" ht="15" customHeight="1">
      <c r="A73" t="inlineStr">
        <is>
          <t>A 28143-2024</t>
        </is>
      </c>
      <c r="B73" s="1" t="n">
        <v>45476</v>
      </c>
      <c r="C73" s="1" t="n">
        <v>46133</v>
      </c>
      <c r="D73" t="inlineStr">
        <is>
          <t>STOCKHOLMS LÄN</t>
        </is>
      </c>
      <c r="E73" t="inlineStr">
        <is>
          <t>ÖSTERÅKER</t>
        </is>
      </c>
      <c r="F73" t="inlineStr">
        <is>
          <t>Övriga Aktiebolag</t>
        </is>
      </c>
      <c r="G73" t="n">
        <v>2.2</v>
      </c>
      <c r="H73" t="n">
        <v>0</v>
      </c>
      <c r="I73" t="n">
        <v>0</v>
      </c>
      <c r="J73" t="n">
        <v>0</v>
      </c>
      <c r="K73" t="n">
        <v>0</v>
      </c>
      <c r="L73" t="n">
        <v>0</v>
      </c>
      <c r="M73" t="n">
        <v>0</v>
      </c>
      <c r="N73" t="n">
        <v>0</v>
      </c>
      <c r="O73" t="n">
        <v>0</v>
      </c>
      <c r="P73" t="n">
        <v>0</v>
      </c>
      <c r="Q73" t="n">
        <v>0</v>
      </c>
      <c r="R73" s="2" t="inlineStr"/>
    </row>
    <row r="74" ht="15" customHeight="1">
      <c r="A74" t="inlineStr">
        <is>
          <t>A 52220-2025</t>
        </is>
      </c>
      <c r="B74" s="1" t="n">
        <v>45953</v>
      </c>
      <c r="C74" s="1" t="n">
        <v>46133</v>
      </c>
      <c r="D74" t="inlineStr">
        <is>
          <t>STOCKHOLMS LÄN</t>
        </is>
      </c>
      <c r="E74" t="inlineStr">
        <is>
          <t>ÖSTERÅKER</t>
        </is>
      </c>
      <c r="G74" t="n">
        <v>0.8</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46133</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5038-2026</t>
        </is>
      </c>
      <c r="B76" s="1" t="n">
        <v>46049.46427083333</v>
      </c>
      <c r="C76" s="1" t="n">
        <v>46133</v>
      </c>
      <c r="D76" t="inlineStr">
        <is>
          <t>STOCKHOLMS LÄN</t>
        </is>
      </c>
      <c r="E76" t="inlineStr">
        <is>
          <t>ÖSTERÅKER</t>
        </is>
      </c>
      <c r="G76" t="n">
        <v>2.1</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46133</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46133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46133</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60482-2025</t>
        </is>
      </c>
      <c r="B80" s="1" t="n">
        <v>45995.59832175926</v>
      </c>
      <c r="C80" s="1" t="n">
        <v>46133</v>
      </c>
      <c r="D80" t="inlineStr">
        <is>
          <t>STOCKHOLMS LÄN</t>
        </is>
      </c>
      <c r="E80" t="inlineStr">
        <is>
          <t>ÖSTERÅKER</t>
        </is>
      </c>
      <c r="G80" t="n">
        <v>1.4</v>
      </c>
      <c r="H80" t="n">
        <v>0</v>
      </c>
      <c r="I80" t="n">
        <v>0</v>
      </c>
      <c r="J80" t="n">
        <v>0</v>
      </c>
      <c r="K80" t="n">
        <v>0</v>
      </c>
      <c r="L80" t="n">
        <v>0</v>
      </c>
      <c r="M80" t="n">
        <v>0</v>
      </c>
      <c r="N80" t="n">
        <v>0</v>
      </c>
      <c r="O80" t="n">
        <v>0</v>
      </c>
      <c r="P80" t="n">
        <v>0</v>
      </c>
      <c r="Q80" t="n">
        <v>0</v>
      </c>
      <c r="R80" s="2" t="inlineStr"/>
    </row>
    <row r="81" ht="15" customHeight="1">
      <c r="A81" t="inlineStr">
        <is>
          <t>A 23144-2024</t>
        </is>
      </c>
      <c r="B81" s="1" t="n">
        <v>45450.63202546296</v>
      </c>
      <c r="C81" s="1" t="n">
        <v>46133</v>
      </c>
      <c r="D81" t="inlineStr">
        <is>
          <t>STOCKHOLMS LÄN</t>
        </is>
      </c>
      <c r="E81" t="inlineStr">
        <is>
          <t>ÖSTERÅKER</t>
        </is>
      </c>
      <c r="F81" t="inlineStr">
        <is>
          <t>Övriga Aktiebolag</t>
        </is>
      </c>
      <c r="G81" t="n">
        <v>4.7</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46133</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46133</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9842-2025</t>
        </is>
      </c>
      <c r="B84" s="1" t="n">
        <v>45716</v>
      </c>
      <c r="C84" s="1" t="n">
        <v>46133</v>
      </c>
      <c r="D84" t="inlineStr">
        <is>
          <t>STOCKHOLMS LÄN</t>
        </is>
      </c>
      <c r="E84" t="inlineStr">
        <is>
          <t>ÖSTERÅKER</t>
        </is>
      </c>
      <c r="G84" t="n">
        <v>4.8</v>
      </c>
      <c r="H84" t="n">
        <v>0</v>
      </c>
      <c r="I84" t="n">
        <v>0</v>
      </c>
      <c r="J84" t="n">
        <v>0</v>
      </c>
      <c r="K84" t="n">
        <v>0</v>
      </c>
      <c r="L84" t="n">
        <v>0</v>
      </c>
      <c r="M84" t="n">
        <v>0</v>
      </c>
      <c r="N84" t="n">
        <v>0</v>
      </c>
      <c r="O84" t="n">
        <v>0</v>
      </c>
      <c r="P84" t="n">
        <v>0</v>
      </c>
      <c r="Q84" t="n">
        <v>0</v>
      </c>
      <c r="R84" s="2" t="inlineStr"/>
    </row>
    <row r="85" ht="15" customHeight="1">
      <c r="A85" t="inlineStr">
        <is>
          <t>A 56909-2024</t>
        </is>
      </c>
      <c r="B85" s="1" t="n">
        <v>45628.59060185185</v>
      </c>
      <c r="C85" s="1" t="n">
        <v>46133</v>
      </c>
      <c r="D85" t="inlineStr">
        <is>
          <t>STOCKHOLMS LÄN</t>
        </is>
      </c>
      <c r="E85" t="inlineStr">
        <is>
          <t>ÖSTERÅKER</t>
        </is>
      </c>
      <c r="G85" t="n">
        <v>1</v>
      </c>
      <c r="H85" t="n">
        <v>0</v>
      </c>
      <c r="I85" t="n">
        <v>0</v>
      </c>
      <c r="J85" t="n">
        <v>0</v>
      </c>
      <c r="K85" t="n">
        <v>0</v>
      </c>
      <c r="L85" t="n">
        <v>0</v>
      </c>
      <c r="M85" t="n">
        <v>0</v>
      </c>
      <c r="N85" t="n">
        <v>0</v>
      </c>
      <c r="O85" t="n">
        <v>0</v>
      </c>
      <c r="P85" t="n">
        <v>0</v>
      </c>
      <c r="Q85" t="n">
        <v>0</v>
      </c>
      <c r="R85" s="2" t="inlineStr"/>
    </row>
    <row r="86" ht="15" customHeight="1">
      <c r="A86" t="inlineStr">
        <is>
          <t>A 30949-2024</t>
        </is>
      </c>
      <c r="B86" s="1" t="n">
        <v>45499</v>
      </c>
      <c r="C86" s="1" t="n">
        <v>46133</v>
      </c>
      <c r="D86" t="inlineStr">
        <is>
          <t>STOCKHOLMS LÄN</t>
        </is>
      </c>
      <c r="E86" t="inlineStr">
        <is>
          <t>ÖSTERÅKER</t>
        </is>
      </c>
      <c r="F86" t="inlineStr">
        <is>
          <t>Övriga Aktiebolag</t>
        </is>
      </c>
      <c r="G86" t="n">
        <v>3.2</v>
      </c>
      <c r="H86" t="n">
        <v>0</v>
      </c>
      <c r="I86" t="n">
        <v>0</v>
      </c>
      <c r="J86" t="n">
        <v>0</v>
      </c>
      <c r="K86" t="n">
        <v>0</v>
      </c>
      <c r="L86" t="n">
        <v>0</v>
      </c>
      <c r="M86" t="n">
        <v>0</v>
      </c>
      <c r="N86" t="n">
        <v>0</v>
      </c>
      <c r="O86" t="n">
        <v>0</v>
      </c>
      <c r="P86" t="n">
        <v>0</v>
      </c>
      <c r="Q86" t="n">
        <v>0</v>
      </c>
      <c r="R86" s="2" t="inlineStr"/>
    </row>
    <row r="87" ht="15" customHeight="1">
      <c r="A87" t="inlineStr">
        <is>
          <t>A 62839-2025</t>
        </is>
      </c>
      <c r="B87" s="1" t="n">
        <v>46008</v>
      </c>
      <c r="C87" s="1" t="n">
        <v>46133</v>
      </c>
      <c r="D87" t="inlineStr">
        <is>
          <t>STOCKHOLMS LÄN</t>
        </is>
      </c>
      <c r="E87" t="inlineStr">
        <is>
          <t>ÖSTERÅKER</t>
        </is>
      </c>
      <c r="G87" t="n">
        <v>1.4</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46133</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62831-2025</t>
        </is>
      </c>
      <c r="B89" s="1" t="n">
        <v>46008</v>
      </c>
      <c r="C89" s="1" t="n">
        <v>46133</v>
      </c>
      <c r="D89" t="inlineStr">
        <is>
          <t>STOCKHOLMS LÄN</t>
        </is>
      </c>
      <c r="E89" t="inlineStr">
        <is>
          <t>ÖSTERÅKER</t>
        </is>
      </c>
      <c r="G89" t="n">
        <v>1.2</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46133</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31575-2022</t>
        </is>
      </c>
      <c r="B91" s="1" t="n">
        <v>44775.45063657407</v>
      </c>
      <c r="C91" s="1" t="n">
        <v>46133</v>
      </c>
      <c r="D91" t="inlineStr">
        <is>
          <t>STOCKHOLMS LÄN</t>
        </is>
      </c>
      <c r="E91" t="inlineStr">
        <is>
          <t>ÖSTERÅKER</t>
        </is>
      </c>
      <c r="G91" t="n">
        <v>5</v>
      </c>
      <c r="H91" t="n">
        <v>0</v>
      </c>
      <c r="I91" t="n">
        <v>0</v>
      </c>
      <c r="J91" t="n">
        <v>0</v>
      </c>
      <c r="K91" t="n">
        <v>0</v>
      </c>
      <c r="L91" t="n">
        <v>0</v>
      </c>
      <c r="M91" t="n">
        <v>0</v>
      </c>
      <c r="N91" t="n">
        <v>0</v>
      </c>
      <c r="O91" t="n">
        <v>0</v>
      </c>
      <c r="P91" t="n">
        <v>0</v>
      </c>
      <c r="Q91" t="n">
        <v>0</v>
      </c>
      <c r="R91" s="2" t="inlineStr"/>
    </row>
    <row r="92" ht="15" customHeight="1">
      <c r="A92" t="inlineStr">
        <is>
          <t>A 12345-2026</t>
        </is>
      </c>
      <c r="B92" s="1" t="n">
        <v>46087.67776620371</v>
      </c>
      <c r="C92" s="1" t="n">
        <v>46133</v>
      </c>
      <c r="D92" t="inlineStr">
        <is>
          <t>STOCKHOLMS LÄN</t>
        </is>
      </c>
      <c r="E92" t="inlineStr">
        <is>
          <t>ÖSTERÅKER</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10185-2025</t>
        </is>
      </c>
      <c r="B93" s="1" t="n">
        <v>45719</v>
      </c>
      <c r="C93" s="1" t="n">
        <v>46133</v>
      </c>
      <c r="D93" t="inlineStr">
        <is>
          <t>STOCKHOLMS LÄN</t>
        </is>
      </c>
      <c r="E93" t="inlineStr">
        <is>
          <t>ÖSTERÅKER</t>
        </is>
      </c>
      <c r="G93" t="n">
        <v>4.1</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46133</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18711-2023</t>
        </is>
      </c>
      <c r="B95" s="1" t="n">
        <v>45043.6433912037</v>
      </c>
      <c r="C95" s="1" t="n">
        <v>46133</v>
      </c>
      <c r="D95" t="inlineStr">
        <is>
          <t>STOCKHOLMS LÄN</t>
        </is>
      </c>
      <c r="E95" t="inlineStr">
        <is>
          <t>ÖSTERÅKER</t>
        </is>
      </c>
      <c r="G95" t="n">
        <v>3</v>
      </c>
      <c r="H95" t="n">
        <v>0</v>
      </c>
      <c r="I95" t="n">
        <v>0</v>
      </c>
      <c r="J95" t="n">
        <v>0</v>
      </c>
      <c r="K95" t="n">
        <v>0</v>
      </c>
      <c r="L95" t="n">
        <v>0</v>
      </c>
      <c r="M95" t="n">
        <v>0</v>
      </c>
      <c r="N95" t="n">
        <v>0</v>
      </c>
      <c r="O95" t="n">
        <v>0</v>
      </c>
      <c r="P95" t="n">
        <v>0</v>
      </c>
      <c r="Q95" t="n">
        <v>0</v>
      </c>
      <c r="R95" s="2" t="inlineStr"/>
    </row>
    <row r="96" ht="15" customHeight="1">
      <c r="A96" t="inlineStr">
        <is>
          <t>A 24499-2023</t>
        </is>
      </c>
      <c r="B96" s="1" t="n">
        <v>45082</v>
      </c>
      <c r="C96" s="1" t="n">
        <v>46133</v>
      </c>
      <c r="D96" t="inlineStr">
        <is>
          <t>STOCKHOLMS LÄN</t>
        </is>
      </c>
      <c r="E96" t="inlineStr">
        <is>
          <t>ÖSTERÅKER</t>
        </is>
      </c>
      <c r="G96" t="n">
        <v>0.1</v>
      </c>
      <c r="H96" t="n">
        <v>0</v>
      </c>
      <c r="I96" t="n">
        <v>0</v>
      </c>
      <c r="J96" t="n">
        <v>0</v>
      </c>
      <c r="K96" t="n">
        <v>0</v>
      </c>
      <c r="L96" t="n">
        <v>0</v>
      </c>
      <c r="M96" t="n">
        <v>0</v>
      </c>
      <c r="N96" t="n">
        <v>0</v>
      </c>
      <c r="O96" t="n">
        <v>0</v>
      </c>
      <c r="P96" t="n">
        <v>0</v>
      </c>
      <c r="Q96" t="n">
        <v>0</v>
      </c>
      <c r="R96" s="2" t="inlineStr"/>
    </row>
    <row r="97" ht="15" customHeight="1">
      <c r="A97" t="inlineStr">
        <is>
          <t>A 28146-2024</t>
        </is>
      </c>
      <c r="B97" s="1" t="n">
        <v>45476</v>
      </c>
      <c r="C97" s="1" t="n">
        <v>46133</v>
      </c>
      <c r="D97" t="inlineStr">
        <is>
          <t>STOCKHOLMS LÄN</t>
        </is>
      </c>
      <c r="E97" t="inlineStr">
        <is>
          <t>ÖSTERÅKER</t>
        </is>
      </c>
      <c r="F97" t="inlineStr">
        <is>
          <t>Övriga Aktiebolag</t>
        </is>
      </c>
      <c r="G97" t="n">
        <v>2.7</v>
      </c>
      <c r="H97" t="n">
        <v>0</v>
      </c>
      <c r="I97" t="n">
        <v>0</v>
      </c>
      <c r="J97" t="n">
        <v>0</v>
      </c>
      <c r="K97" t="n">
        <v>0</v>
      </c>
      <c r="L97" t="n">
        <v>0</v>
      </c>
      <c r="M97" t="n">
        <v>0</v>
      </c>
      <c r="N97" t="n">
        <v>0</v>
      </c>
      <c r="O97" t="n">
        <v>0</v>
      </c>
      <c r="P97" t="n">
        <v>0</v>
      </c>
      <c r="Q97" t="n">
        <v>0</v>
      </c>
      <c r="R97" s="2" t="inlineStr"/>
    </row>
    <row r="98" ht="15" customHeight="1">
      <c r="A98" t="inlineStr">
        <is>
          <t>A 57048-2024</t>
        </is>
      </c>
      <c r="B98" s="1" t="n">
        <v>45629.33938657407</v>
      </c>
      <c r="C98" s="1" t="n">
        <v>46133</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46133</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3817-2023</t>
        </is>
      </c>
      <c r="B100" s="1" t="n">
        <v>44951</v>
      </c>
      <c r="C100" s="1" t="n">
        <v>46133</v>
      </c>
      <c r="D100" t="inlineStr">
        <is>
          <t>STOCKHOLMS LÄN</t>
        </is>
      </c>
      <c r="E100" t="inlineStr">
        <is>
          <t>ÖSTERÅKER</t>
        </is>
      </c>
      <c r="F100" t="inlineStr">
        <is>
          <t>Kommuner</t>
        </is>
      </c>
      <c r="G100" t="n">
        <v>4.7</v>
      </c>
      <c r="H100" t="n">
        <v>0</v>
      </c>
      <c r="I100" t="n">
        <v>0</v>
      </c>
      <c r="J100" t="n">
        <v>0</v>
      </c>
      <c r="K100" t="n">
        <v>0</v>
      </c>
      <c r="L100" t="n">
        <v>0</v>
      </c>
      <c r="M100" t="n">
        <v>0</v>
      </c>
      <c r="N100" t="n">
        <v>0</v>
      </c>
      <c r="O100" t="n">
        <v>0</v>
      </c>
      <c r="P100" t="n">
        <v>0</v>
      </c>
      <c r="Q100" t="n">
        <v>0</v>
      </c>
      <c r="R100" s="2" t="inlineStr"/>
    </row>
    <row r="101" ht="15" customHeight="1">
      <c r="A101" t="inlineStr">
        <is>
          <t>A 544-2023</t>
        </is>
      </c>
      <c r="B101" s="1" t="n">
        <v>44924</v>
      </c>
      <c r="C101" s="1" t="n">
        <v>46133</v>
      </c>
      <c r="D101" t="inlineStr">
        <is>
          <t>STOCKHOLMS LÄN</t>
        </is>
      </c>
      <c r="E101" t="inlineStr">
        <is>
          <t>ÖSTERÅKER</t>
        </is>
      </c>
      <c r="F101" t="inlineStr">
        <is>
          <t>Övriga Aktiebolag</t>
        </is>
      </c>
      <c r="G101" t="n">
        <v>0.9</v>
      </c>
      <c r="H101" t="n">
        <v>0</v>
      </c>
      <c r="I101" t="n">
        <v>0</v>
      </c>
      <c r="J101" t="n">
        <v>0</v>
      </c>
      <c r="K101" t="n">
        <v>0</v>
      </c>
      <c r="L101" t="n">
        <v>0</v>
      </c>
      <c r="M101" t="n">
        <v>0</v>
      </c>
      <c r="N101" t="n">
        <v>0</v>
      </c>
      <c r="O101" t="n">
        <v>0</v>
      </c>
      <c r="P101" t="n">
        <v>0</v>
      </c>
      <c r="Q101" t="n">
        <v>0</v>
      </c>
      <c r="R101" s="2" t="inlineStr"/>
    </row>
    <row r="102" ht="15" customHeight="1">
      <c r="A102" t="inlineStr">
        <is>
          <t>A 3326-2022</t>
        </is>
      </c>
      <c r="B102" s="1" t="n">
        <v>44583</v>
      </c>
      <c r="C102" s="1" t="n">
        <v>46133</v>
      </c>
      <c r="D102" t="inlineStr">
        <is>
          <t>STOCKHOLMS LÄN</t>
        </is>
      </c>
      <c r="E102" t="inlineStr">
        <is>
          <t>ÖSTERÅKER</t>
        </is>
      </c>
      <c r="F102" t="inlineStr">
        <is>
          <t>Övriga Aktiebolag</t>
        </is>
      </c>
      <c r="G102" t="n">
        <v>2.7</v>
      </c>
      <c r="H102" t="n">
        <v>0</v>
      </c>
      <c r="I102" t="n">
        <v>0</v>
      </c>
      <c r="J102" t="n">
        <v>0</v>
      </c>
      <c r="K102" t="n">
        <v>0</v>
      </c>
      <c r="L102" t="n">
        <v>0</v>
      </c>
      <c r="M102" t="n">
        <v>0</v>
      </c>
      <c r="N102" t="n">
        <v>0</v>
      </c>
      <c r="O102" t="n">
        <v>0</v>
      </c>
      <c r="P102" t="n">
        <v>0</v>
      </c>
      <c r="Q102" t="n">
        <v>0</v>
      </c>
      <c r="R102" s="2" t="inlineStr"/>
    </row>
    <row r="103" ht="15" customHeight="1">
      <c r="A103" t="inlineStr">
        <is>
          <t>A 13366-2024</t>
        </is>
      </c>
      <c r="B103" s="1" t="n">
        <v>45387</v>
      </c>
      <c r="C103" s="1" t="n">
        <v>46133</v>
      </c>
      <c r="D103" t="inlineStr">
        <is>
          <t>STOCKHOLMS LÄN</t>
        </is>
      </c>
      <c r="E103" t="inlineStr">
        <is>
          <t>ÖSTERÅKER</t>
        </is>
      </c>
      <c r="G103" t="n">
        <v>13.7</v>
      </c>
      <c r="H103" t="n">
        <v>0</v>
      </c>
      <c r="I103" t="n">
        <v>0</v>
      </c>
      <c r="J103" t="n">
        <v>0</v>
      </c>
      <c r="K103" t="n">
        <v>0</v>
      </c>
      <c r="L103" t="n">
        <v>0</v>
      </c>
      <c r="M103" t="n">
        <v>0</v>
      </c>
      <c r="N103" t="n">
        <v>0</v>
      </c>
      <c r="O103" t="n">
        <v>0</v>
      </c>
      <c r="P103" t="n">
        <v>0</v>
      </c>
      <c r="Q103" t="n">
        <v>0</v>
      </c>
      <c r="R103" s="2" t="inlineStr"/>
    </row>
    <row r="104" ht="15" customHeight="1">
      <c r="A104" t="inlineStr">
        <is>
          <t>A 57055-2024</t>
        </is>
      </c>
      <c r="B104" s="1" t="n">
        <v>45629.34627314815</v>
      </c>
      <c r="C104" s="1" t="n">
        <v>46133</v>
      </c>
      <c r="D104" t="inlineStr">
        <is>
          <t>STOCKHOLMS LÄN</t>
        </is>
      </c>
      <c r="E104" t="inlineStr">
        <is>
          <t>ÖSTERÅKER</t>
        </is>
      </c>
      <c r="G104" t="n">
        <v>0.5</v>
      </c>
      <c r="H104" t="n">
        <v>0</v>
      </c>
      <c r="I104" t="n">
        <v>0</v>
      </c>
      <c r="J104" t="n">
        <v>0</v>
      </c>
      <c r="K104" t="n">
        <v>0</v>
      </c>
      <c r="L104" t="n">
        <v>0</v>
      </c>
      <c r="M104" t="n">
        <v>0</v>
      </c>
      <c r="N104" t="n">
        <v>0</v>
      </c>
      <c r="O104" t="n">
        <v>0</v>
      </c>
      <c r="P104" t="n">
        <v>0</v>
      </c>
      <c r="Q104" t="n">
        <v>0</v>
      </c>
      <c r="R104" s="2" t="inlineStr"/>
    </row>
    <row r="105" ht="15" customHeight="1">
      <c r="A105" t="inlineStr">
        <is>
          <t>A 59379-2022</t>
        </is>
      </c>
      <c r="B105" s="1" t="n">
        <v>44905</v>
      </c>
      <c r="C105" s="1" t="n">
        <v>46133</v>
      </c>
      <c r="D105" t="inlineStr">
        <is>
          <t>STOCKHOLMS LÄN</t>
        </is>
      </c>
      <c r="E105" t="inlineStr">
        <is>
          <t>ÖSTERÅKER</t>
        </is>
      </c>
      <c r="F105" t="inlineStr">
        <is>
          <t>Kommuner</t>
        </is>
      </c>
      <c r="G105" t="n">
        <v>4.7</v>
      </c>
      <c r="H105" t="n">
        <v>0</v>
      </c>
      <c r="I105" t="n">
        <v>0</v>
      </c>
      <c r="J105" t="n">
        <v>0</v>
      </c>
      <c r="K105" t="n">
        <v>0</v>
      </c>
      <c r="L105" t="n">
        <v>0</v>
      </c>
      <c r="M105" t="n">
        <v>0</v>
      </c>
      <c r="N105" t="n">
        <v>0</v>
      </c>
      <c r="O105" t="n">
        <v>0</v>
      </c>
      <c r="P105" t="n">
        <v>0</v>
      </c>
      <c r="Q105" t="n">
        <v>0</v>
      </c>
      <c r="R105" s="2" t="inlineStr"/>
    </row>
    <row r="106" ht="15" customHeight="1">
      <c r="A106" t="inlineStr">
        <is>
          <t>A 46688-2022</t>
        </is>
      </c>
      <c r="B106" s="1" t="n">
        <v>44851</v>
      </c>
      <c r="C106" s="1" t="n">
        <v>46133</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16738-2022</t>
        </is>
      </c>
      <c r="B107" s="1" t="n">
        <v>44673</v>
      </c>
      <c r="C107" s="1" t="n">
        <v>46133</v>
      </c>
      <c r="D107" t="inlineStr">
        <is>
          <t>STOCKHOLMS LÄN</t>
        </is>
      </c>
      <c r="E107" t="inlineStr">
        <is>
          <t>ÖSTERÅKER</t>
        </is>
      </c>
      <c r="G107" t="n">
        <v>1.1</v>
      </c>
      <c r="H107" t="n">
        <v>0</v>
      </c>
      <c r="I107" t="n">
        <v>0</v>
      </c>
      <c r="J107" t="n">
        <v>0</v>
      </c>
      <c r="K107" t="n">
        <v>0</v>
      </c>
      <c r="L107" t="n">
        <v>0</v>
      </c>
      <c r="M107" t="n">
        <v>0</v>
      </c>
      <c r="N107" t="n">
        <v>0</v>
      </c>
      <c r="O107" t="n">
        <v>0</v>
      </c>
      <c r="P107" t="n">
        <v>0</v>
      </c>
      <c r="Q107" t="n">
        <v>0</v>
      </c>
      <c r="R107" s="2" t="inlineStr"/>
    </row>
    <row r="108" ht="15" customHeight="1">
      <c r="A108" t="inlineStr">
        <is>
          <t>A 17196-2022</t>
        </is>
      </c>
      <c r="B108" s="1" t="n">
        <v>44677</v>
      </c>
      <c r="C108" s="1" t="n">
        <v>46133</v>
      </c>
      <c r="D108" t="inlineStr">
        <is>
          <t>STOCKHOLMS LÄN</t>
        </is>
      </c>
      <c r="E108" t="inlineStr">
        <is>
          <t>ÖSTERÅKER</t>
        </is>
      </c>
      <c r="G108" t="n">
        <v>5.9</v>
      </c>
      <c r="H108" t="n">
        <v>0</v>
      </c>
      <c r="I108" t="n">
        <v>0</v>
      </c>
      <c r="J108" t="n">
        <v>0</v>
      </c>
      <c r="K108" t="n">
        <v>0</v>
      </c>
      <c r="L108" t="n">
        <v>0</v>
      </c>
      <c r="M108" t="n">
        <v>0</v>
      </c>
      <c r="N108" t="n">
        <v>0</v>
      </c>
      <c r="O108" t="n">
        <v>0</v>
      </c>
      <c r="P108" t="n">
        <v>0</v>
      </c>
      <c r="Q108" t="n">
        <v>0</v>
      </c>
      <c r="R108" s="2" t="inlineStr"/>
    </row>
    <row r="109" ht="15" customHeight="1">
      <c r="A109" t="inlineStr">
        <is>
          <t>A 3917-2023</t>
        </is>
      </c>
      <c r="B109" s="1" t="n">
        <v>44952</v>
      </c>
      <c r="C109" s="1" t="n">
        <v>46133</v>
      </c>
      <c r="D109" t="inlineStr">
        <is>
          <t>STOCKHOLMS LÄN</t>
        </is>
      </c>
      <c r="E109" t="inlineStr">
        <is>
          <t>ÖSTERÅKER</t>
        </is>
      </c>
      <c r="F109" t="inlineStr">
        <is>
          <t>Kommuner</t>
        </is>
      </c>
      <c r="G109" t="n">
        <v>2.8</v>
      </c>
      <c r="H109" t="n">
        <v>0</v>
      </c>
      <c r="I109" t="n">
        <v>0</v>
      </c>
      <c r="J109" t="n">
        <v>0</v>
      </c>
      <c r="K109" t="n">
        <v>0</v>
      </c>
      <c r="L109" t="n">
        <v>0</v>
      </c>
      <c r="M109" t="n">
        <v>0</v>
      </c>
      <c r="N109" t="n">
        <v>0</v>
      </c>
      <c r="O109" t="n">
        <v>0</v>
      </c>
      <c r="P109" t="n">
        <v>0</v>
      </c>
      <c r="Q109" t="n">
        <v>0</v>
      </c>
      <c r="R109" s="2" t="inlineStr"/>
    </row>
    <row r="110" ht="15" customHeight="1">
      <c r="A110" t="inlineStr">
        <is>
          <t>A 62108-2022</t>
        </is>
      </c>
      <c r="B110" s="1" t="n">
        <v>44920</v>
      </c>
      <c r="C110" s="1" t="n">
        <v>46133</v>
      </c>
      <c r="D110" t="inlineStr">
        <is>
          <t>STOCKHOLMS LÄN</t>
        </is>
      </c>
      <c r="E110" t="inlineStr">
        <is>
          <t>ÖSTERÅKER</t>
        </is>
      </c>
      <c r="G110" t="n">
        <v>1.5</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46133</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21796-2025</t>
        </is>
      </c>
      <c r="B112" s="1" t="n">
        <v>45783.68135416666</v>
      </c>
      <c r="C112" s="1" t="n">
        <v>46133</v>
      </c>
      <c r="D112" t="inlineStr">
        <is>
          <t>STOCKHOLMS LÄN</t>
        </is>
      </c>
      <c r="E112" t="inlineStr">
        <is>
          <t>ÖSTERÅKER</t>
        </is>
      </c>
      <c r="G112" t="n">
        <v>2.5</v>
      </c>
      <c r="H112" t="n">
        <v>0</v>
      </c>
      <c r="I112" t="n">
        <v>0</v>
      </c>
      <c r="J112" t="n">
        <v>0</v>
      </c>
      <c r="K112" t="n">
        <v>0</v>
      </c>
      <c r="L112" t="n">
        <v>0</v>
      </c>
      <c r="M112" t="n">
        <v>0</v>
      </c>
      <c r="N112" t="n">
        <v>0</v>
      </c>
      <c r="O112" t="n">
        <v>0</v>
      </c>
      <c r="P112" t="n">
        <v>0</v>
      </c>
      <c r="Q112" t="n">
        <v>0</v>
      </c>
      <c r="R112" s="2" t="inlineStr"/>
    </row>
    <row r="113">
      <c r="A113" t="inlineStr">
        <is>
          <t>A 21786-2025</t>
        </is>
      </c>
      <c r="B113" s="1" t="n">
        <v>45783.67215277778</v>
      </c>
      <c r="C113" s="1" t="n">
        <v>46133</v>
      </c>
      <c r="D113" t="inlineStr">
        <is>
          <t>STOCKHOLMS LÄN</t>
        </is>
      </c>
      <c r="E113" t="inlineStr">
        <is>
          <t>ÖSTERÅKER</t>
        </is>
      </c>
      <c r="G113" t="n">
        <v>3.8</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2026-04-21T10:52:07Z</dcterms:created>
  <dcterms:modified xmlns:dcterms="http://purl.org/dc/terms/" xmlns:xsi="http://www.w3.org/2001/XMLSchema-instance" xsi:type="dcterms:W3CDTF">2026-04-21T10:52:08Z</dcterms:modified>
</cp:coreProperties>
</file>