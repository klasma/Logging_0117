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45933</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45933</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45933</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45933</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34721-2025</t>
        </is>
      </c>
      <c r="B11" s="1" t="n">
        <v>45848</v>
      </c>
      <c r="C11" s="1" t="n">
        <v>45933</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36366-2025</t>
        </is>
      </c>
      <c r="B12" s="1" t="n">
        <v>45868</v>
      </c>
      <c r="C12" s="1" t="n">
        <v>45933</v>
      </c>
      <c r="D12" t="inlineStr">
        <is>
          <t>STOCKHOLMS LÄN</t>
        </is>
      </c>
      <c r="E12" t="inlineStr">
        <is>
          <t>ÖSTERÅKER</t>
        </is>
      </c>
      <c r="G12" t="n">
        <v>7.2</v>
      </c>
      <c r="H12" t="n">
        <v>0</v>
      </c>
      <c r="I12" t="n">
        <v>1</v>
      </c>
      <c r="J12" t="n">
        <v>1</v>
      </c>
      <c r="K12" t="n">
        <v>0</v>
      </c>
      <c r="L12" t="n">
        <v>0</v>
      </c>
      <c r="M12" t="n">
        <v>0</v>
      </c>
      <c r="N12" t="n">
        <v>0</v>
      </c>
      <c r="O12" t="n">
        <v>1</v>
      </c>
      <c r="P12" t="n">
        <v>0</v>
      </c>
      <c r="Q12" t="n">
        <v>2</v>
      </c>
      <c r="R12" s="2" t="inlineStr">
        <is>
          <t>Garnlav
Björksplintborre</t>
        </is>
      </c>
      <c r="S12">
        <f>HYPERLINK("https://klasma.github.io/Logging_0117/artfynd/A 36366-2025 artfynd.xlsx", "A 36366-2025")</f>
        <v/>
      </c>
      <c r="T12">
        <f>HYPERLINK("https://klasma.github.io/Logging_0117/kartor/A 36366-2025 karta.png", "A 36366-2025")</f>
        <v/>
      </c>
      <c r="V12">
        <f>HYPERLINK("https://klasma.github.io/Logging_0117/klagomål/A 36366-2025 FSC-klagomål.docx", "A 36366-2025")</f>
        <v/>
      </c>
      <c r="W12">
        <f>HYPERLINK("https://klasma.github.io/Logging_0117/klagomålsmail/A 36366-2025 FSC-klagomål mail.docx", "A 36366-2025")</f>
        <v/>
      </c>
      <c r="X12">
        <f>HYPERLINK("https://klasma.github.io/Logging_0117/tillsyn/A 36366-2025 tillsynsbegäran.docx", "A 36366-2025")</f>
        <v/>
      </c>
      <c r="Y12">
        <f>HYPERLINK("https://klasma.github.io/Logging_0117/tillsynsmail/A 36366-2025 tillsynsbegäran mail.docx", "A 36366-2025")</f>
        <v/>
      </c>
    </row>
    <row r="13" ht="15" customHeight="1">
      <c r="A13" t="inlineStr">
        <is>
          <t>A 43308-2024</t>
        </is>
      </c>
      <c r="B13" s="1" t="n">
        <v>45568</v>
      </c>
      <c r="C13" s="1" t="n">
        <v>45933</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45933</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45933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45933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45933</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45933</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3919-2023</t>
        </is>
      </c>
      <c r="B19" s="1" t="n">
        <v>44952</v>
      </c>
      <c r="C19" s="1" t="n">
        <v>45933</v>
      </c>
      <c r="D19" t="inlineStr">
        <is>
          <t>STOCKHOLMS LÄN</t>
        </is>
      </c>
      <c r="E19" t="inlineStr">
        <is>
          <t>ÖSTERÅKER</t>
        </is>
      </c>
      <c r="F19" t="inlineStr">
        <is>
          <t>Kommuner</t>
        </is>
      </c>
      <c r="G19" t="n">
        <v>4.9</v>
      </c>
      <c r="H19" t="n">
        <v>0</v>
      </c>
      <c r="I19" t="n">
        <v>0</v>
      </c>
      <c r="J19" t="n">
        <v>1</v>
      </c>
      <c r="K19" t="n">
        <v>0</v>
      </c>
      <c r="L19" t="n">
        <v>0</v>
      </c>
      <c r="M19" t="n">
        <v>0</v>
      </c>
      <c r="N19" t="n">
        <v>0</v>
      </c>
      <c r="O19" t="n">
        <v>1</v>
      </c>
      <c r="P19" t="n">
        <v>0</v>
      </c>
      <c r="Q19" t="n">
        <v>1</v>
      </c>
      <c r="R19" s="2" t="inlineStr">
        <is>
          <t>Tallticka</t>
        </is>
      </c>
      <c r="S19">
        <f>HYPERLINK("https://klasma.github.io/Logging_0117/artfynd/A 3919-2023 artfynd.xlsx", "A 3919-2023")</f>
        <v/>
      </c>
      <c r="T19">
        <f>HYPERLINK("https://klasma.github.io/Logging_0117/kartor/A 3919-2023 karta.png", "A 3919-2023")</f>
        <v/>
      </c>
      <c r="V19">
        <f>HYPERLINK("https://klasma.github.io/Logging_0117/klagomål/A 3919-2023 FSC-klagomål.docx", "A 3919-2023")</f>
        <v/>
      </c>
      <c r="W19">
        <f>HYPERLINK("https://klasma.github.io/Logging_0117/klagomålsmail/A 3919-2023 FSC-klagomål mail.docx", "A 3919-2023")</f>
        <v/>
      </c>
      <c r="X19">
        <f>HYPERLINK("https://klasma.github.io/Logging_0117/tillsyn/A 3919-2023 tillsynsbegäran.docx", "A 3919-2023")</f>
        <v/>
      </c>
      <c r="Y19">
        <f>HYPERLINK("https://klasma.github.io/Logging_0117/tillsynsmail/A 3919-2023 tillsynsbegäran mail.docx", "A 3919-2023")</f>
        <v/>
      </c>
    </row>
    <row r="20" ht="15" customHeight="1">
      <c r="A20" t="inlineStr">
        <is>
          <t>A 38968-2025</t>
        </is>
      </c>
      <c r="B20" s="1" t="n">
        <v>45887.70863425926</v>
      </c>
      <c r="C20" s="1" t="n">
        <v>45933</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45933</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45933</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45933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45933</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13921-2021</t>
        </is>
      </c>
      <c r="B32" s="1" t="n">
        <v>44277</v>
      </c>
      <c r="C32" s="1" t="n">
        <v>45933</v>
      </c>
      <c r="D32" t="inlineStr">
        <is>
          <t>STOCKHOLMS LÄN</t>
        </is>
      </c>
      <c r="E32" t="inlineStr">
        <is>
          <t>ÖSTERÅKER</t>
        </is>
      </c>
      <c r="G32" t="n">
        <v>0.9</v>
      </c>
      <c r="H32" t="n">
        <v>0</v>
      </c>
      <c r="I32" t="n">
        <v>0</v>
      </c>
      <c r="J32" t="n">
        <v>0</v>
      </c>
      <c r="K32" t="n">
        <v>0</v>
      </c>
      <c r="L32" t="n">
        <v>0</v>
      </c>
      <c r="M32" t="n">
        <v>0</v>
      </c>
      <c r="N32" t="n">
        <v>0</v>
      </c>
      <c r="O32" t="n">
        <v>0</v>
      </c>
      <c r="P32" t="n">
        <v>0</v>
      </c>
      <c r="Q32" t="n">
        <v>0</v>
      </c>
      <c r="R32" s="2" t="inlineStr"/>
    </row>
    <row r="33" ht="15" customHeight="1">
      <c r="A33" t="inlineStr">
        <is>
          <t>A 19934-2022</t>
        </is>
      </c>
      <c r="B33" s="1" t="n">
        <v>44697.46248842592</v>
      </c>
      <c r="C33" s="1" t="n">
        <v>45933</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44697.47424768518</v>
      </c>
      <c r="C34" s="1" t="n">
        <v>45933</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45933</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45933</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28964-2022</t>
        </is>
      </c>
      <c r="B37" s="1" t="n">
        <v>44749</v>
      </c>
      <c r="C37" s="1" t="n">
        <v>45933</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45933</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45933</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45933</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45933</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22080-2024</t>
        </is>
      </c>
      <c r="B42" s="1" t="n">
        <v>45443.64962962963</v>
      </c>
      <c r="C42" s="1" t="n">
        <v>45933</v>
      </c>
      <c r="D42" t="inlineStr">
        <is>
          <t>STOCKHOLMS LÄN</t>
        </is>
      </c>
      <c r="E42" t="inlineStr">
        <is>
          <t>ÖSTERÅKER</t>
        </is>
      </c>
      <c r="F42" t="inlineStr">
        <is>
          <t>Övriga Aktiebolag</t>
        </is>
      </c>
      <c r="G42" t="n">
        <v>2.1</v>
      </c>
      <c r="H42" t="n">
        <v>0</v>
      </c>
      <c r="I42" t="n">
        <v>0</v>
      </c>
      <c r="J42" t="n">
        <v>0</v>
      </c>
      <c r="K42" t="n">
        <v>0</v>
      </c>
      <c r="L42" t="n">
        <v>0</v>
      </c>
      <c r="M42" t="n">
        <v>0</v>
      </c>
      <c r="N42" t="n">
        <v>0</v>
      </c>
      <c r="O42" t="n">
        <v>0</v>
      </c>
      <c r="P42" t="n">
        <v>0</v>
      </c>
      <c r="Q42" t="n">
        <v>0</v>
      </c>
      <c r="R42" s="2" t="inlineStr"/>
    </row>
    <row r="43" ht="15" customHeight="1">
      <c r="A43" t="inlineStr">
        <is>
          <t>A 28143-2024</t>
        </is>
      </c>
      <c r="B43" s="1" t="n">
        <v>45476</v>
      </c>
      <c r="C43" s="1" t="n">
        <v>45933</v>
      </c>
      <c r="D43" t="inlineStr">
        <is>
          <t>STOCKHOLMS LÄN</t>
        </is>
      </c>
      <c r="E43" t="inlineStr">
        <is>
          <t>ÖSTERÅKER</t>
        </is>
      </c>
      <c r="F43" t="inlineStr">
        <is>
          <t>Övriga Aktiebolag</t>
        </is>
      </c>
      <c r="G43" t="n">
        <v>2.2</v>
      </c>
      <c r="H43" t="n">
        <v>0</v>
      </c>
      <c r="I43" t="n">
        <v>0</v>
      </c>
      <c r="J43" t="n">
        <v>0</v>
      </c>
      <c r="K43" t="n">
        <v>0</v>
      </c>
      <c r="L43" t="n">
        <v>0</v>
      </c>
      <c r="M43" t="n">
        <v>0</v>
      </c>
      <c r="N43" t="n">
        <v>0</v>
      </c>
      <c r="O43" t="n">
        <v>0</v>
      </c>
      <c r="P43" t="n">
        <v>0</v>
      </c>
      <c r="Q43" t="n">
        <v>0</v>
      </c>
      <c r="R43" s="2" t="inlineStr"/>
    </row>
    <row r="44" ht="15" customHeight="1">
      <c r="A44" t="inlineStr">
        <is>
          <t>A 6655-2023</t>
        </is>
      </c>
      <c r="B44" s="1" t="n">
        <v>44966.60668981481</v>
      </c>
      <c r="C44" s="1" t="n">
        <v>45933</v>
      </c>
      <c r="D44" t="inlineStr">
        <is>
          <t>STOCKHOLMS LÄN</t>
        </is>
      </c>
      <c r="E44" t="inlineStr">
        <is>
          <t>ÖSTERÅKER</t>
        </is>
      </c>
      <c r="G44" t="n">
        <v>0.8</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45933</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27137-2025</t>
        </is>
      </c>
      <c r="B46" s="1" t="n">
        <v>45811.95890046296</v>
      </c>
      <c r="C46" s="1" t="n">
        <v>45933</v>
      </c>
      <c r="D46" t="inlineStr">
        <is>
          <t>STOCKHOLMS LÄN</t>
        </is>
      </c>
      <c r="E46" t="inlineStr">
        <is>
          <t>ÖSTERÅKER</t>
        </is>
      </c>
      <c r="G46" t="n">
        <v>3.8</v>
      </c>
      <c r="H46" t="n">
        <v>0</v>
      </c>
      <c r="I46" t="n">
        <v>0</v>
      </c>
      <c r="J46" t="n">
        <v>0</v>
      </c>
      <c r="K46" t="n">
        <v>0</v>
      </c>
      <c r="L46" t="n">
        <v>0</v>
      </c>
      <c r="M46" t="n">
        <v>0</v>
      </c>
      <c r="N46" t="n">
        <v>0</v>
      </c>
      <c r="O46" t="n">
        <v>0</v>
      </c>
      <c r="P46" t="n">
        <v>0</v>
      </c>
      <c r="Q46" t="n">
        <v>0</v>
      </c>
      <c r="R46" s="2" t="inlineStr"/>
    </row>
    <row r="47" ht="15" customHeight="1">
      <c r="A47" t="inlineStr">
        <is>
          <t>A 31134-2023</t>
        </is>
      </c>
      <c r="B47" s="1" t="n">
        <v>45113</v>
      </c>
      <c r="C47" s="1" t="n">
        <v>45933</v>
      </c>
      <c r="D47" t="inlineStr">
        <is>
          <t>STOCKHOLMS LÄN</t>
        </is>
      </c>
      <c r="E47" t="inlineStr">
        <is>
          <t>ÖSTERÅKER</t>
        </is>
      </c>
      <c r="G47" t="n">
        <v>2.1</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45933</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27948-2025</t>
        </is>
      </c>
      <c r="B49" s="1" t="n">
        <v>45817.52460648148</v>
      </c>
      <c r="C49" s="1" t="n">
        <v>45933</v>
      </c>
      <c r="D49" t="inlineStr">
        <is>
          <t>STOCKHOLMS LÄN</t>
        </is>
      </c>
      <c r="E49" t="inlineStr">
        <is>
          <t>ÖSTERÅKER</t>
        </is>
      </c>
      <c r="G49" t="n">
        <v>5.6</v>
      </c>
      <c r="H49" t="n">
        <v>0</v>
      </c>
      <c r="I49" t="n">
        <v>0</v>
      </c>
      <c r="J49" t="n">
        <v>0</v>
      </c>
      <c r="K49" t="n">
        <v>0</v>
      </c>
      <c r="L49" t="n">
        <v>0</v>
      </c>
      <c r="M49" t="n">
        <v>0</v>
      </c>
      <c r="N49" t="n">
        <v>0</v>
      </c>
      <c r="O49" t="n">
        <v>0</v>
      </c>
      <c r="P49" t="n">
        <v>0</v>
      </c>
      <c r="Q49" t="n">
        <v>0</v>
      </c>
      <c r="R49" s="2" t="inlineStr"/>
    </row>
    <row r="50" ht="15" customHeight="1">
      <c r="A50" t="inlineStr">
        <is>
          <t>A 61323-2022</t>
        </is>
      </c>
      <c r="B50" s="1" t="n">
        <v>44915</v>
      </c>
      <c r="C50" s="1" t="n">
        <v>45933</v>
      </c>
      <c r="D50" t="inlineStr">
        <is>
          <t>STOCKHOLMS LÄN</t>
        </is>
      </c>
      <c r="E50" t="inlineStr">
        <is>
          <t>ÖSTERÅKER</t>
        </is>
      </c>
      <c r="G50" t="n">
        <v>2.7</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45933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57048-2024</t>
        </is>
      </c>
      <c r="B52" s="1" t="n">
        <v>45629.33938657407</v>
      </c>
      <c r="C52" s="1" t="n">
        <v>45933</v>
      </c>
      <c r="D52" t="inlineStr">
        <is>
          <t>STOCKHOLMS LÄN</t>
        </is>
      </c>
      <c r="E52" t="inlineStr">
        <is>
          <t>ÖSTERÅKER</t>
        </is>
      </c>
      <c r="G52" t="n">
        <v>3</v>
      </c>
      <c r="H52" t="n">
        <v>0</v>
      </c>
      <c r="I52" t="n">
        <v>0</v>
      </c>
      <c r="J52" t="n">
        <v>0</v>
      </c>
      <c r="K52" t="n">
        <v>0</v>
      </c>
      <c r="L52" t="n">
        <v>0</v>
      </c>
      <c r="M52" t="n">
        <v>0</v>
      </c>
      <c r="N52" t="n">
        <v>0</v>
      </c>
      <c r="O52" t="n">
        <v>0</v>
      </c>
      <c r="P52" t="n">
        <v>0</v>
      </c>
      <c r="Q52" t="n">
        <v>0</v>
      </c>
      <c r="R52" s="2" t="inlineStr"/>
    </row>
    <row r="53" ht="15" customHeight="1">
      <c r="A53" t="inlineStr">
        <is>
          <t>A 57055-2024</t>
        </is>
      </c>
      <c r="B53" s="1" t="n">
        <v>45629.34627314815</v>
      </c>
      <c r="C53" s="1" t="n">
        <v>45933</v>
      </c>
      <c r="D53" t="inlineStr">
        <is>
          <t>STOCKHOLMS LÄN</t>
        </is>
      </c>
      <c r="E53" t="inlineStr">
        <is>
          <t>ÖSTERÅKER</t>
        </is>
      </c>
      <c r="G53" t="n">
        <v>0.5</v>
      </c>
      <c r="H53" t="n">
        <v>0</v>
      </c>
      <c r="I53" t="n">
        <v>0</v>
      </c>
      <c r="J53" t="n">
        <v>0</v>
      </c>
      <c r="K53" t="n">
        <v>0</v>
      </c>
      <c r="L53" t="n">
        <v>0</v>
      </c>
      <c r="M53" t="n">
        <v>0</v>
      </c>
      <c r="N53" t="n">
        <v>0</v>
      </c>
      <c r="O53" t="n">
        <v>0</v>
      </c>
      <c r="P53" t="n">
        <v>0</v>
      </c>
      <c r="Q53" t="n">
        <v>0</v>
      </c>
      <c r="R53" s="2" t="inlineStr"/>
    </row>
    <row r="54" ht="15" customHeight="1">
      <c r="A54" t="inlineStr">
        <is>
          <t>A 28146-2024</t>
        </is>
      </c>
      <c r="B54" s="1" t="n">
        <v>45476</v>
      </c>
      <c r="C54" s="1" t="n">
        <v>45933</v>
      </c>
      <c r="D54" t="inlineStr">
        <is>
          <t>STOCKHOLMS LÄN</t>
        </is>
      </c>
      <c r="E54" t="inlineStr">
        <is>
          <t>ÖSTERÅKER</t>
        </is>
      </c>
      <c r="F54" t="inlineStr">
        <is>
          <t>Övriga Aktiebolag</t>
        </is>
      </c>
      <c r="G54" t="n">
        <v>2.7</v>
      </c>
      <c r="H54" t="n">
        <v>0</v>
      </c>
      <c r="I54" t="n">
        <v>0</v>
      </c>
      <c r="J54" t="n">
        <v>0</v>
      </c>
      <c r="K54" t="n">
        <v>0</v>
      </c>
      <c r="L54" t="n">
        <v>0</v>
      </c>
      <c r="M54" t="n">
        <v>0</v>
      </c>
      <c r="N54" t="n">
        <v>0</v>
      </c>
      <c r="O54" t="n">
        <v>0</v>
      </c>
      <c r="P54" t="n">
        <v>0</v>
      </c>
      <c r="Q54" t="n">
        <v>0</v>
      </c>
      <c r="R54" s="2" t="inlineStr"/>
    </row>
    <row r="55" ht="15" customHeight="1">
      <c r="A55" t="inlineStr">
        <is>
          <t>A 23144-2024</t>
        </is>
      </c>
      <c r="B55" s="1" t="n">
        <v>45450.63202546296</v>
      </c>
      <c r="C55" s="1" t="n">
        <v>45933</v>
      </c>
      <c r="D55" t="inlineStr">
        <is>
          <t>STOCKHOLMS LÄN</t>
        </is>
      </c>
      <c r="E55" t="inlineStr">
        <is>
          <t>ÖSTERÅKER</t>
        </is>
      </c>
      <c r="F55" t="inlineStr">
        <is>
          <t>Övriga Aktiebolag</t>
        </is>
      </c>
      <c r="G55" t="n">
        <v>4.7</v>
      </c>
      <c r="H55" t="n">
        <v>0</v>
      </c>
      <c r="I55" t="n">
        <v>0</v>
      </c>
      <c r="J55" t="n">
        <v>0</v>
      </c>
      <c r="K55" t="n">
        <v>0</v>
      </c>
      <c r="L55" t="n">
        <v>0</v>
      </c>
      <c r="M55" t="n">
        <v>0</v>
      </c>
      <c r="N55" t="n">
        <v>0</v>
      </c>
      <c r="O55" t="n">
        <v>0</v>
      </c>
      <c r="P55" t="n">
        <v>0</v>
      </c>
      <c r="Q55" t="n">
        <v>0</v>
      </c>
      <c r="R55" s="2" t="inlineStr"/>
    </row>
    <row r="56" ht="15" customHeight="1">
      <c r="A56" t="inlineStr">
        <is>
          <t>A 22528-2024</t>
        </is>
      </c>
      <c r="B56" s="1" t="n">
        <v>45447.44967592593</v>
      </c>
      <c r="C56" s="1" t="n">
        <v>45933</v>
      </c>
      <c r="D56" t="inlineStr">
        <is>
          <t>STOCKHOLMS LÄN</t>
        </is>
      </c>
      <c r="E56" t="inlineStr">
        <is>
          <t>ÖSTERÅKER</t>
        </is>
      </c>
      <c r="F56" t="inlineStr">
        <is>
          <t>Övriga Aktiebolag</t>
        </is>
      </c>
      <c r="G56" t="n">
        <v>1.4</v>
      </c>
      <c r="H56" t="n">
        <v>0</v>
      </c>
      <c r="I56" t="n">
        <v>0</v>
      </c>
      <c r="J56" t="n">
        <v>0</v>
      </c>
      <c r="K56" t="n">
        <v>0</v>
      </c>
      <c r="L56" t="n">
        <v>0</v>
      </c>
      <c r="M56" t="n">
        <v>0</v>
      </c>
      <c r="N56" t="n">
        <v>0</v>
      </c>
      <c r="O56" t="n">
        <v>0</v>
      </c>
      <c r="P56" t="n">
        <v>0</v>
      </c>
      <c r="Q56" t="n">
        <v>0</v>
      </c>
      <c r="R56" s="2" t="inlineStr"/>
    </row>
    <row r="57" ht="15" customHeight="1">
      <c r="A57" t="inlineStr">
        <is>
          <t>A 16803-2022</t>
        </is>
      </c>
      <c r="B57" s="1" t="n">
        <v>44673</v>
      </c>
      <c r="C57" s="1" t="n">
        <v>45933</v>
      </c>
      <c r="D57" t="inlineStr">
        <is>
          <t>STOCKHOLMS LÄN</t>
        </is>
      </c>
      <c r="E57" t="inlineStr">
        <is>
          <t>ÖSTERÅKER</t>
        </is>
      </c>
      <c r="G57" t="n">
        <v>1.9</v>
      </c>
      <c r="H57" t="n">
        <v>0</v>
      </c>
      <c r="I57" t="n">
        <v>0</v>
      </c>
      <c r="J57" t="n">
        <v>0</v>
      </c>
      <c r="K57" t="n">
        <v>0</v>
      </c>
      <c r="L57" t="n">
        <v>0</v>
      </c>
      <c r="M57" t="n">
        <v>0</v>
      </c>
      <c r="N57" t="n">
        <v>0</v>
      </c>
      <c r="O57" t="n">
        <v>0</v>
      </c>
      <c r="P57" t="n">
        <v>0</v>
      </c>
      <c r="Q57" t="n">
        <v>0</v>
      </c>
      <c r="R57" s="2" t="inlineStr"/>
    </row>
    <row r="58" ht="15" customHeight="1">
      <c r="A58" t="inlineStr">
        <is>
          <t>A 3326-2022</t>
        </is>
      </c>
      <c r="B58" s="1" t="n">
        <v>44583</v>
      </c>
      <c r="C58" s="1" t="n">
        <v>45933</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13118-2021</t>
        </is>
      </c>
      <c r="B59" s="1" t="n">
        <v>44272</v>
      </c>
      <c r="C59" s="1" t="n">
        <v>45933</v>
      </c>
      <c r="D59" t="inlineStr">
        <is>
          <t>STOCKHOLMS LÄN</t>
        </is>
      </c>
      <c r="E59" t="inlineStr">
        <is>
          <t>ÖSTERÅKER</t>
        </is>
      </c>
      <c r="F59" t="inlineStr">
        <is>
          <t>Kyrkan</t>
        </is>
      </c>
      <c r="G59" t="n">
        <v>4</v>
      </c>
      <c r="H59" t="n">
        <v>0</v>
      </c>
      <c r="I59" t="n">
        <v>0</v>
      </c>
      <c r="J59" t="n">
        <v>0</v>
      </c>
      <c r="K59" t="n">
        <v>0</v>
      </c>
      <c r="L59" t="n">
        <v>0</v>
      </c>
      <c r="M59" t="n">
        <v>0</v>
      </c>
      <c r="N59" t="n">
        <v>0</v>
      </c>
      <c r="O59" t="n">
        <v>0</v>
      </c>
      <c r="P59" t="n">
        <v>0</v>
      </c>
      <c r="Q59" t="n">
        <v>0</v>
      </c>
      <c r="R59" s="2" t="inlineStr"/>
    </row>
    <row r="60" ht="15" customHeight="1">
      <c r="A60" t="inlineStr">
        <is>
          <t>A 31456-2025</t>
        </is>
      </c>
      <c r="B60" s="1" t="n">
        <v>45833.5402662037</v>
      </c>
      <c r="C60" s="1" t="n">
        <v>45933</v>
      </c>
      <c r="D60" t="inlineStr">
        <is>
          <t>STOCKHOLMS LÄN</t>
        </is>
      </c>
      <c r="E60" t="inlineStr">
        <is>
          <t>ÖSTERÅKER</t>
        </is>
      </c>
      <c r="G60" t="n">
        <v>4.3</v>
      </c>
      <c r="H60" t="n">
        <v>0</v>
      </c>
      <c r="I60" t="n">
        <v>0</v>
      </c>
      <c r="J60" t="n">
        <v>0</v>
      </c>
      <c r="K60" t="n">
        <v>0</v>
      </c>
      <c r="L60" t="n">
        <v>0</v>
      </c>
      <c r="M60" t="n">
        <v>0</v>
      </c>
      <c r="N60" t="n">
        <v>0</v>
      </c>
      <c r="O60" t="n">
        <v>0</v>
      </c>
      <c r="P60" t="n">
        <v>0</v>
      </c>
      <c r="Q60" t="n">
        <v>0</v>
      </c>
      <c r="R60" s="2" t="inlineStr"/>
    </row>
    <row r="61" ht="15" customHeight="1">
      <c r="A61" t="inlineStr">
        <is>
          <t>A 46688-2022</t>
        </is>
      </c>
      <c r="B61" s="1" t="n">
        <v>44851</v>
      </c>
      <c r="C61" s="1" t="n">
        <v>45933</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9842-2025</t>
        </is>
      </c>
      <c r="B62" s="1" t="n">
        <v>45716</v>
      </c>
      <c r="C62" s="1" t="n">
        <v>45933</v>
      </c>
      <c r="D62" t="inlineStr">
        <is>
          <t>STOCKHOLMS LÄN</t>
        </is>
      </c>
      <c r="E62" t="inlineStr">
        <is>
          <t>ÖSTERÅKER</t>
        </is>
      </c>
      <c r="G62" t="n">
        <v>4.8</v>
      </c>
      <c r="H62" t="n">
        <v>0</v>
      </c>
      <c r="I62" t="n">
        <v>0</v>
      </c>
      <c r="J62" t="n">
        <v>0</v>
      </c>
      <c r="K62" t="n">
        <v>0</v>
      </c>
      <c r="L62" t="n">
        <v>0</v>
      </c>
      <c r="M62" t="n">
        <v>0</v>
      </c>
      <c r="N62" t="n">
        <v>0</v>
      </c>
      <c r="O62" t="n">
        <v>0</v>
      </c>
      <c r="P62" t="n">
        <v>0</v>
      </c>
      <c r="Q62" t="n">
        <v>0</v>
      </c>
      <c r="R62" s="2" t="inlineStr"/>
    </row>
    <row r="63" ht="15" customHeight="1">
      <c r="A63" t="inlineStr">
        <is>
          <t>A 56909-2024</t>
        </is>
      </c>
      <c r="B63" s="1" t="n">
        <v>45628.59060185185</v>
      </c>
      <c r="C63" s="1" t="n">
        <v>45933</v>
      </c>
      <c r="D63" t="inlineStr">
        <is>
          <t>STOCKHOLMS LÄN</t>
        </is>
      </c>
      <c r="E63" t="inlineStr">
        <is>
          <t>ÖSTERÅKER</t>
        </is>
      </c>
      <c r="G63" t="n">
        <v>1</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45933</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34034-2025</t>
        </is>
      </c>
      <c r="B65" s="1" t="n">
        <v>45842</v>
      </c>
      <c r="C65" s="1" t="n">
        <v>45933</v>
      </c>
      <c r="D65" t="inlineStr">
        <is>
          <t>STOCKHOLMS LÄN</t>
        </is>
      </c>
      <c r="E65" t="inlineStr">
        <is>
          <t>ÖSTERÅKER</t>
        </is>
      </c>
      <c r="F65" t="inlineStr">
        <is>
          <t>Övriga Aktiebolag</t>
        </is>
      </c>
      <c r="G65" t="n">
        <v>3.9</v>
      </c>
      <c r="H65" t="n">
        <v>0</v>
      </c>
      <c r="I65" t="n">
        <v>0</v>
      </c>
      <c r="J65" t="n">
        <v>0</v>
      </c>
      <c r="K65" t="n">
        <v>0</v>
      </c>
      <c r="L65" t="n">
        <v>0</v>
      </c>
      <c r="M65" t="n">
        <v>0</v>
      </c>
      <c r="N65" t="n">
        <v>0</v>
      </c>
      <c r="O65" t="n">
        <v>0</v>
      </c>
      <c r="P65" t="n">
        <v>0</v>
      </c>
      <c r="Q65" t="n">
        <v>0</v>
      </c>
      <c r="R65" s="2" t="inlineStr"/>
    </row>
    <row r="66" ht="15" customHeight="1">
      <c r="A66" t="inlineStr">
        <is>
          <t>A 34038-2025</t>
        </is>
      </c>
      <c r="B66" s="1" t="n">
        <v>45842</v>
      </c>
      <c r="C66" s="1" t="n">
        <v>45933</v>
      </c>
      <c r="D66" t="inlineStr">
        <is>
          <t>STOCKHOLMS LÄN</t>
        </is>
      </c>
      <c r="E66" t="inlineStr">
        <is>
          <t>ÖSTERÅKER</t>
        </is>
      </c>
      <c r="F66" t="inlineStr">
        <is>
          <t>Övriga Aktiebolag</t>
        </is>
      </c>
      <c r="G66" t="n">
        <v>4.7</v>
      </c>
      <c r="H66" t="n">
        <v>0</v>
      </c>
      <c r="I66" t="n">
        <v>0</v>
      </c>
      <c r="J66" t="n">
        <v>0</v>
      </c>
      <c r="K66" t="n">
        <v>0</v>
      </c>
      <c r="L66" t="n">
        <v>0</v>
      </c>
      <c r="M66" t="n">
        <v>0</v>
      </c>
      <c r="N66" t="n">
        <v>0</v>
      </c>
      <c r="O66" t="n">
        <v>0</v>
      </c>
      <c r="P66" t="n">
        <v>0</v>
      </c>
      <c r="Q66" t="n">
        <v>0</v>
      </c>
      <c r="R66" s="2" t="inlineStr"/>
    </row>
    <row r="67" ht="15" customHeight="1">
      <c r="A67" t="inlineStr">
        <is>
          <t>A 17353-2025</t>
        </is>
      </c>
      <c r="B67" s="1" t="n">
        <v>45756</v>
      </c>
      <c r="C67" s="1" t="n">
        <v>45933</v>
      </c>
      <c r="D67" t="inlineStr">
        <is>
          <t>STOCKHOLMS LÄN</t>
        </is>
      </c>
      <c r="E67" t="inlineStr">
        <is>
          <t>ÖSTERÅKER</t>
        </is>
      </c>
      <c r="F67" t="inlineStr">
        <is>
          <t>Övriga Aktiebolag</t>
        </is>
      </c>
      <c r="G67" t="n">
        <v>5.5</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45933</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45933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3917-2023</t>
        </is>
      </c>
      <c r="B70" s="1" t="n">
        <v>44952</v>
      </c>
      <c r="C70" s="1" t="n">
        <v>45933</v>
      </c>
      <c r="D70" t="inlineStr">
        <is>
          <t>STOCKHOLMS LÄN</t>
        </is>
      </c>
      <c r="E70" t="inlineStr">
        <is>
          <t>ÖSTERÅKER</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45933</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35819-2025</t>
        </is>
      </c>
      <c r="B72" s="1" t="n">
        <v>45861</v>
      </c>
      <c r="C72" s="1" t="n">
        <v>45933</v>
      </c>
      <c r="D72" t="inlineStr">
        <is>
          <t>STOCKHOLMS LÄN</t>
        </is>
      </c>
      <c r="E72" t="inlineStr">
        <is>
          <t>ÖSTERÅKER</t>
        </is>
      </c>
      <c r="F72" t="inlineStr">
        <is>
          <t>Övriga Aktiebolag</t>
        </is>
      </c>
      <c r="G72" t="n">
        <v>8</v>
      </c>
      <c r="H72" t="n">
        <v>0</v>
      </c>
      <c r="I72" t="n">
        <v>0</v>
      </c>
      <c r="J72" t="n">
        <v>0</v>
      </c>
      <c r="K72" t="n">
        <v>0</v>
      </c>
      <c r="L72" t="n">
        <v>0</v>
      </c>
      <c r="M72" t="n">
        <v>0</v>
      </c>
      <c r="N72" t="n">
        <v>0</v>
      </c>
      <c r="O72" t="n">
        <v>0</v>
      </c>
      <c r="P72" t="n">
        <v>0</v>
      </c>
      <c r="Q72" t="n">
        <v>0</v>
      </c>
      <c r="R72" s="2" t="inlineStr"/>
    </row>
    <row r="73" ht="15" customHeight="1">
      <c r="A73" t="inlineStr">
        <is>
          <t>A 59379-2022</t>
        </is>
      </c>
      <c r="B73" s="1" t="n">
        <v>44905</v>
      </c>
      <c r="C73" s="1" t="n">
        <v>45933</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45933</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45933</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45933</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36611-2025</t>
        </is>
      </c>
      <c r="B77" s="1" t="n">
        <v>45870</v>
      </c>
      <c r="C77" s="1" t="n">
        <v>45933</v>
      </c>
      <c r="D77" t="inlineStr">
        <is>
          <t>STOCKHOLMS LÄN</t>
        </is>
      </c>
      <c r="E77" t="inlineStr">
        <is>
          <t>ÖSTERÅKER</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544-2023</t>
        </is>
      </c>
      <c r="B78" s="1" t="n">
        <v>44924</v>
      </c>
      <c r="C78" s="1" t="n">
        <v>45933</v>
      </c>
      <c r="D78" t="inlineStr">
        <is>
          <t>STOCKHOLMS LÄN</t>
        </is>
      </c>
      <c r="E78" t="inlineStr">
        <is>
          <t>ÖSTERÅKER</t>
        </is>
      </c>
      <c r="F78" t="inlineStr">
        <is>
          <t>Övriga Aktiebolag</t>
        </is>
      </c>
      <c r="G78" t="n">
        <v>0.9</v>
      </c>
      <c r="H78" t="n">
        <v>0</v>
      </c>
      <c r="I78" t="n">
        <v>0</v>
      </c>
      <c r="J78" t="n">
        <v>0</v>
      </c>
      <c r="K78" t="n">
        <v>0</v>
      </c>
      <c r="L78" t="n">
        <v>0</v>
      </c>
      <c r="M78" t="n">
        <v>0</v>
      </c>
      <c r="N78" t="n">
        <v>0</v>
      </c>
      <c r="O78" t="n">
        <v>0</v>
      </c>
      <c r="P78" t="n">
        <v>0</v>
      </c>
      <c r="Q78" t="n">
        <v>0</v>
      </c>
      <c r="R78" s="2" t="inlineStr"/>
    </row>
    <row r="79" ht="15" customHeight="1">
      <c r="A79" t="inlineStr">
        <is>
          <t>A 16728-2022</t>
        </is>
      </c>
      <c r="B79" s="1" t="n">
        <v>44673</v>
      </c>
      <c r="C79" s="1" t="n">
        <v>45933</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34713-2025</t>
        </is>
      </c>
      <c r="B80" s="1" t="n">
        <v>45848</v>
      </c>
      <c r="C80" s="1" t="n">
        <v>45933</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14776-2024</t>
        </is>
      </c>
      <c r="B81" s="1" t="n">
        <v>45397</v>
      </c>
      <c r="C81" s="1" t="n">
        <v>45933</v>
      </c>
      <c r="D81" t="inlineStr">
        <is>
          <t>STOCKHOLMS LÄN</t>
        </is>
      </c>
      <c r="E81" t="inlineStr">
        <is>
          <t>ÖSTERÅKER</t>
        </is>
      </c>
      <c r="G81" t="n">
        <v>13.6</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45933</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61370-2022</t>
        </is>
      </c>
      <c r="B83" s="1" t="n">
        <v>44915</v>
      </c>
      <c r="C83" s="1" t="n">
        <v>45933</v>
      </c>
      <c r="D83" t="inlineStr">
        <is>
          <t>STOCKHOLMS LÄN</t>
        </is>
      </c>
      <c r="E83" t="inlineStr">
        <is>
          <t>ÖSTERÅKER</t>
        </is>
      </c>
      <c r="G83" t="n">
        <v>3.2</v>
      </c>
      <c r="H83" t="n">
        <v>0</v>
      </c>
      <c r="I83" t="n">
        <v>0</v>
      </c>
      <c r="J83" t="n">
        <v>0</v>
      </c>
      <c r="K83" t="n">
        <v>0</v>
      </c>
      <c r="L83" t="n">
        <v>0</v>
      </c>
      <c r="M83" t="n">
        <v>0</v>
      </c>
      <c r="N83" t="n">
        <v>0</v>
      </c>
      <c r="O83" t="n">
        <v>0</v>
      </c>
      <c r="P83" t="n">
        <v>0</v>
      </c>
      <c r="Q83" t="n">
        <v>0</v>
      </c>
      <c r="R83" s="2" t="inlineStr"/>
    </row>
    <row r="84" ht="15" customHeight="1">
      <c r="A84" t="inlineStr">
        <is>
          <t>A 31575-2022</t>
        </is>
      </c>
      <c r="B84" s="1" t="n">
        <v>44775.45063657407</v>
      </c>
      <c r="C84" s="1" t="n">
        <v>45933</v>
      </c>
      <c r="D84" t="inlineStr">
        <is>
          <t>STOCKHOLMS LÄN</t>
        </is>
      </c>
      <c r="E84" t="inlineStr">
        <is>
          <t>ÖSTERÅKER</t>
        </is>
      </c>
      <c r="G84" t="n">
        <v>5</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45933</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3828-2023</t>
        </is>
      </c>
      <c r="B86" s="1" t="n">
        <v>44951</v>
      </c>
      <c r="C86" s="1" t="n">
        <v>45933</v>
      </c>
      <c r="D86" t="inlineStr">
        <is>
          <t>STOCKHOLMS LÄN</t>
        </is>
      </c>
      <c r="E86" t="inlineStr">
        <is>
          <t>ÖSTERÅKER</t>
        </is>
      </c>
      <c r="F86" t="inlineStr">
        <is>
          <t>Kommuner</t>
        </is>
      </c>
      <c r="G86" t="n">
        <v>3.2</v>
      </c>
      <c r="H86" t="n">
        <v>0</v>
      </c>
      <c r="I86" t="n">
        <v>0</v>
      </c>
      <c r="J86" t="n">
        <v>0</v>
      </c>
      <c r="K86" t="n">
        <v>0</v>
      </c>
      <c r="L86" t="n">
        <v>0</v>
      </c>
      <c r="M86" t="n">
        <v>0</v>
      </c>
      <c r="N86" t="n">
        <v>0</v>
      </c>
      <c r="O86" t="n">
        <v>0</v>
      </c>
      <c r="P86" t="n">
        <v>0</v>
      </c>
      <c r="Q86" t="n">
        <v>0</v>
      </c>
      <c r="R86" s="2" t="inlineStr"/>
    </row>
    <row r="87" ht="15" customHeight="1">
      <c r="A87" t="inlineStr">
        <is>
          <t>A 33158-2024</t>
        </is>
      </c>
      <c r="B87" s="1" t="n">
        <v>45518</v>
      </c>
      <c r="C87" s="1" t="n">
        <v>45933</v>
      </c>
      <c r="D87" t="inlineStr">
        <is>
          <t>STOCKHOLMS LÄN</t>
        </is>
      </c>
      <c r="E87" t="inlineStr">
        <is>
          <t>ÖSTERÅKER</t>
        </is>
      </c>
      <c r="G87" t="n">
        <v>1.6</v>
      </c>
      <c r="H87" t="n">
        <v>0</v>
      </c>
      <c r="I87" t="n">
        <v>0</v>
      </c>
      <c r="J87" t="n">
        <v>0</v>
      </c>
      <c r="K87" t="n">
        <v>0</v>
      </c>
      <c r="L87" t="n">
        <v>0</v>
      </c>
      <c r="M87" t="n">
        <v>0</v>
      </c>
      <c r="N87" t="n">
        <v>0</v>
      </c>
      <c r="O87" t="n">
        <v>0</v>
      </c>
      <c r="P87" t="n">
        <v>0</v>
      </c>
      <c r="Q87" t="n">
        <v>0</v>
      </c>
      <c r="R87" s="2" t="inlineStr"/>
    </row>
    <row r="88" ht="15" customHeight="1">
      <c r="A88" t="inlineStr">
        <is>
          <t>A 13366-2024</t>
        </is>
      </c>
      <c r="B88" s="1" t="n">
        <v>45387</v>
      </c>
      <c r="C88" s="1" t="n">
        <v>45933</v>
      </c>
      <c r="D88" t="inlineStr">
        <is>
          <t>STOCKHOLMS LÄN</t>
        </is>
      </c>
      <c r="E88" t="inlineStr">
        <is>
          <t>ÖSTERÅKER</t>
        </is>
      </c>
      <c r="G88" t="n">
        <v>13.7</v>
      </c>
      <c r="H88" t="n">
        <v>0</v>
      </c>
      <c r="I88" t="n">
        <v>0</v>
      </c>
      <c r="J88" t="n">
        <v>0</v>
      </c>
      <c r="K88" t="n">
        <v>0</v>
      </c>
      <c r="L88" t="n">
        <v>0</v>
      </c>
      <c r="M88" t="n">
        <v>0</v>
      </c>
      <c r="N88" t="n">
        <v>0</v>
      </c>
      <c r="O88" t="n">
        <v>0</v>
      </c>
      <c r="P88" t="n">
        <v>0</v>
      </c>
      <c r="Q88" t="n">
        <v>0</v>
      </c>
      <c r="R88" s="2" t="inlineStr"/>
    </row>
    <row r="89" ht="15" customHeight="1">
      <c r="A89" t="inlineStr">
        <is>
          <t>A 61360-2022</t>
        </is>
      </c>
      <c r="B89" s="1" t="n">
        <v>44915</v>
      </c>
      <c r="C89" s="1" t="n">
        <v>45933</v>
      </c>
      <c r="D89" t="inlineStr">
        <is>
          <t>STOCKHOLMS LÄN</t>
        </is>
      </c>
      <c r="E89" t="inlineStr">
        <is>
          <t>ÖSTERÅKER</t>
        </is>
      </c>
      <c r="G89" t="n">
        <v>2.3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45933</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45933</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45933</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1603-2023</t>
        </is>
      </c>
      <c r="B93" s="1" t="n">
        <v>44937.68086805556</v>
      </c>
      <c r="C93" s="1" t="n">
        <v>45933</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1605-2023</t>
        </is>
      </c>
      <c r="B94" s="1" t="n">
        <v>44937.68299768519</v>
      </c>
      <c r="C94" s="1" t="n">
        <v>45933</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45933</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45933</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45933</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1136-2023</t>
        </is>
      </c>
      <c r="B98" s="1" t="n">
        <v>44935</v>
      </c>
      <c r="C98" s="1" t="n">
        <v>45933</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45933</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30949-2024</t>
        </is>
      </c>
      <c r="B100" s="1" t="n">
        <v>45499</v>
      </c>
      <c r="C100" s="1" t="n">
        <v>45933</v>
      </c>
      <c r="D100" t="inlineStr">
        <is>
          <t>STOCKHOLMS LÄN</t>
        </is>
      </c>
      <c r="E100" t="inlineStr">
        <is>
          <t>ÖSTERÅKER</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845-2024</t>
        </is>
      </c>
      <c r="B101" s="1" t="n">
        <v>45300.91423611111</v>
      </c>
      <c r="C101" s="1" t="n">
        <v>45933</v>
      </c>
      <c r="D101" t="inlineStr">
        <is>
          <t>STOCKHOLMS LÄN</t>
        </is>
      </c>
      <c r="E101" t="inlineStr">
        <is>
          <t>ÖSTERÅKER</t>
        </is>
      </c>
      <c r="G101" t="n">
        <v>10.1</v>
      </c>
      <c r="H101" t="n">
        <v>0</v>
      </c>
      <c r="I101" t="n">
        <v>0</v>
      </c>
      <c r="J101" t="n">
        <v>0</v>
      </c>
      <c r="K101" t="n">
        <v>0</v>
      </c>
      <c r="L101" t="n">
        <v>0</v>
      </c>
      <c r="M101" t="n">
        <v>0</v>
      </c>
      <c r="N101" t="n">
        <v>0</v>
      </c>
      <c r="O101" t="n">
        <v>0</v>
      </c>
      <c r="P101" t="n">
        <v>0</v>
      </c>
      <c r="Q101" t="n">
        <v>0</v>
      </c>
      <c r="R101" s="2" t="inlineStr"/>
    </row>
    <row r="102" ht="15" customHeight="1">
      <c r="A102" t="inlineStr">
        <is>
          <t>A 37037-2023</t>
        </is>
      </c>
      <c r="B102" s="1" t="n">
        <v>45155</v>
      </c>
      <c r="C102" s="1" t="n">
        <v>45933</v>
      </c>
      <c r="D102" t="inlineStr">
        <is>
          <t>STOCKHOLMS LÄN</t>
        </is>
      </c>
      <c r="E102" t="inlineStr">
        <is>
          <t>ÖSTERÅKER</t>
        </is>
      </c>
      <c r="G102" t="n">
        <v>2</v>
      </c>
      <c r="H102" t="n">
        <v>0</v>
      </c>
      <c r="I102" t="n">
        <v>0</v>
      </c>
      <c r="J102" t="n">
        <v>0</v>
      </c>
      <c r="K102" t="n">
        <v>0</v>
      </c>
      <c r="L102" t="n">
        <v>0</v>
      </c>
      <c r="M102" t="n">
        <v>0</v>
      </c>
      <c r="N102" t="n">
        <v>0</v>
      </c>
      <c r="O102" t="n">
        <v>0</v>
      </c>
      <c r="P102" t="n">
        <v>0</v>
      </c>
      <c r="Q102" t="n">
        <v>0</v>
      </c>
      <c r="R102" s="2" t="inlineStr"/>
    </row>
    <row r="103" ht="15" customHeight="1">
      <c r="A103" t="inlineStr">
        <is>
          <t>A 19404-2024</t>
        </is>
      </c>
      <c r="B103" s="1" t="n">
        <v>45428</v>
      </c>
      <c r="C103" s="1" t="n">
        <v>45933</v>
      </c>
      <c r="D103" t="inlineStr">
        <is>
          <t>STOCKHOLMS LÄN</t>
        </is>
      </c>
      <c r="E103" t="inlineStr">
        <is>
          <t>ÖSTERÅKER</t>
        </is>
      </c>
      <c r="F103" t="inlineStr">
        <is>
          <t>Övriga Aktiebolag</t>
        </is>
      </c>
      <c r="G103" t="n">
        <v>2.2</v>
      </c>
      <c r="H103" t="n">
        <v>0</v>
      </c>
      <c r="I103" t="n">
        <v>0</v>
      </c>
      <c r="J103" t="n">
        <v>0</v>
      </c>
      <c r="K103" t="n">
        <v>0</v>
      </c>
      <c r="L103" t="n">
        <v>0</v>
      </c>
      <c r="M103" t="n">
        <v>0</v>
      </c>
      <c r="N103" t="n">
        <v>0</v>
      </c>
      <c r="O103" t="n">
        <v>0</v>
      </c>
      <c r="P103" t="n">
        <v>0</v>
      </c>
      <c r="Q103" t="n">
        <v>0</v>
      </c>
      <c r="R103" s="2" t="inlineStr"/>
    </row>
    <row r="104" ht="15" customHeight="1">
      <c r="A104" t="inlineStr">
        <is>
          <t>A 37244-2024</t>
        </is>
      </c>
      <c r="B104" s="1" t="n">
        <v>45540</v>
      </c>
      <c r="C104" s="1" t="n">
        <v>45933</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21786-2025</t>
        </is>
      </c>
      <c r="B105" s="1" t="n">
        <v>45783.67215277778</v>
      </c>
      <c r="C105" s="1" t="n">
        <v>45933</v>
      </c>
      <c r="D105" t="inlineStr">
        <is>
          <t>STOCKHOLMS LÄN</t>
        </is>
      </c>
      <c r="E105" t="inlineStr">
        <is>
          <t>ÖSTERÅKER</t>
        </is>
      </c>
      <c r="G105" t="n">
        <v>3.8</v>
      </c>
      <c r="H105" t="n">
        <v>0</v>
      </c>
      <c r="I105" t="n">
        <v>0</v>
      </c>
      <c r="J105" t="n">
        <v>0</v>
      </c>
      <c r="K105" t="n">
        <v>0</v>
      </c>
      <c r="L105" t="n">
        <v>0</v>
      </c>
      <c r="M105" t="n">
        <v>0</v>
      </c>
      <c r="N105" t="n">
        <v>0</v>
      </c>
      <c r="O105" t="n">
        <v>0</v>
      </c>
      <c r="P105" t="n">
        <v>0</v>
      </c>
      <c r="Q105" t="n">
        <v>0</v>
      </c>
      <c r="R105" s="2" t="inlineStr"/>
    </row>
    <row r="106">
      <c r="A106" t="inlineStr">
        <is>
          <t>A 21796-2025</t>
        </is>
      </c>
      <c r="B106" s="1" t="n">
        <v>45783.68135416666</v>
      </c>
      <c r="C106" s="1" t="n">
        <v>45933</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2025-10-03T12:32:12Z</dcterms:created>
  <dcterms:modified xmlns:dcterms="http://purl.org/dc/terms/" xmlns:xsi="http://www.w3.org/2001/XMLSchema-instance" xsi:type="dcterms:W3CDTF">2025-10-03T12:32:12Z</dcterms:modified>
</cp:coreProperties>
</file>