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46304</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46304</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46304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46304</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46304</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46304</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46304</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46304</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46304</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46304</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46304</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27948-2025</t>
        </is>
      </c>
      <c r="B16" t="inlineStr">
        <is>
          <t>avverkningsanmälan</t>
        </is>
      </c>
      <c r="C16" t="inlineStr">
        <is>
          <t>Föryngringsavverkning</t>
        </is>
      </c>
      <c r="D16" s="1" t="n">
        <v>45817</v>
      </c>
      <c r="E16" s="1" t="n">
        <v>46304</v>
      </c>
      <c r="F16" t="inlineStr">
        <is>
          <t>STOCKHOLMS LÄN</t>
        </is>
      </c>
      <c r="G16" t="inlineStr">
        <is>
          <t>ÖSTERÅKER</t>
        </is>
      </c>
      <c r="I16" t="n">
        <v>5.6</v>
      </c>
      <c r="J16" t="n">
        <v>3</v>
      </c>
      <c r="K16" t="n">
        <v>0</v>
      </c>
      <c r="L16" t="n">
        <v>1</v>
      </c>
      <c r="M16" t="n">
        <v>1</v>
      </c>
      <c r="N16" t="n">
        <v>0</v>
      </c>
      <c r="O16" t="n">
        <v>0</v>
      </c>
      <c r="P16" t="n">
        <v>0</v>
      </c>
      <c r="Q16" t="n">
        <v>2</v>
      </c>
      <c r="R16" t="n">
        <v>1</v>
      </c>
      <c r="S16" t="n">
        <v>3</v>
      </c>
      <c r="T16" t="n">
        <v>3</v>
      </c>
      <c r="U16" t="n">
        <v>0</v>
      </c>
      <c r="V16" s="2" t="inlineStr">
        <is>
          <t>Tornseglare
Ladusvala
Törnskata</t>
        </is>
      </c>
      <c r="W16">
        <f>HYPERLINK("https://klasma.github.io/Logging_0117/artfynd/A 27948-2025 artfynd.xlsx", "A 27948-2025")</f>
        <v/>
      </c>
      <c r="X16">
        <f>HYPERLINK("https://klasma.github.io/Logging_0117/kartor/A 27948-2025 karta.png", "A 27948-2025")</f>
        <v/>
      </c>
      <c r="Y16">
        <f>HYPERLINK("https://klasma.github.io/Logging_0117/kartor_geotiff/A 27948-2025 georefererad karta.tif", "A 27948-2025")</f>
        <v/>
      </c>
      <c r="AA16">
        <f>HYPERLINK("https://klasma.github.io/Logging_0117/klagomål/A 27948-2025 FSC-klagomål.docx", "A 27948-2025")</f>
        <v/>
      </c>
      <c r="AB16">
        <f>HYPERLINK("https://klasma.github.io/Logging_0117/klagomålsmail/A 27948-2025 FSC-klagomål mail.docx", "A 27948-2025")</f>
        <v/>
      </c>
      <c r="AC16">
        <f>HYPERLINK("https://klasma.github.io/Logging_0117/tillsyn/A 27948-2025 tillsynsbegäran.docx", "A 27948-2025")</f>
        <v/>
      </c>
      <c r="AD16">
        <f>HYPERLINK("https://klasma.github.io/Logging_0117/tillsynsmail/A 27948-2025 tillsynsbegäran mail.docx", "A 27948-2025")</f>
        <v/>
      </c>
      <c r="AE16">
        <f>HYPERLINK("https://klasma.github.io/Logging_0117/fåglar/A 27948-2025 prioriterade fågelarter.docx", "A 27948-2025")</f>
        <v/>
      </c>
    </row>
    <row r="17" ht="15" customHeight="1">
      <c r="A17" t="inlineStr">
        <is>
          <t>A 67244-2021</t>
        </is>
      </c>
      <c r="B17" t="inlineStr">
        <is>
          <t>avverkningsanmälan</t>
        </is>
      </c>
      <c r="C17" t="inlineStr">
        <is>
          <t>Avverkning för annat ändamål</t>
        </is>
      </c>
      <c r="D17" s="1" t="n">
        <v>44523</v>
      </c>
      <c r="E17" s="1" t="n">
        <v>46304</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46304</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46304</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46304</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46304</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61323-2022</t>
        </is>
      </c>
      <c r="B22" t="inlineStr">
        <is>
          <t>avverkningsanmälan</t>
        </is>
      </c>
      <c r="C22" t="inlineStr">
        <is>
          <t>Föryngringsavverkning</t>
        </is>
      </c>
      <c r="D22" s="1" t="n">
        <v>44915</v>
      </c>
      <c r="E22" s="1" t="n">
        <v>46304</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62831-2025</t>
        </is>
      </c>
      <c r="B23" t="inlineStr">
        <is>
          <t>avverkningsanmälan</t>
        </is>
      </c>
      <c r="C23" t="inlineStr">
        <is>
          <t>Föryngringsavverkning</t>
        </is>
      </c>
      <c r="D23" s="1" t="n">
        <v>46008</v>
      </c>
      <c r="E23" s="1" t="n">
        <v>46304</v>
      </c>
      <c r="F23" t="inlineStr">
        <is>
          <t>STOCKHOLMS LÄN</t>
        </is>
      </c>
      <c r="G23" t="inlineStr">
        <is>
          <t>ÖSTERÅKER</t>
        </is>
      </c>
      <c r="I23" t="n">
        <v>1.2</v>
      </c>
      <c r="J23" t="n">
        <v>0</v>
      </c>
      <c r="K23" t="n">
        <v>1</v>
      </c>
      <c r="L23" t="n">
        <v>0</v>
      </c>
      <c r="M23" t="n">
        <v>0</v>
      </c>
      <c r="N23" t="n">
        <v>0</v>
      </c>
      <c r="O23" t="n">
        <v>0</v>
      </c>
      <c r="P23" t="n">
        <v>0</v>
      </c>
      <c r="Q23" t="n">
        <v>0</v>
      </c>
      <c r="R23" t="n">
        <v>0</v>
      </c>
      <c r="S23" t="n">
        <v>1</v>
      </c>
      <c r="T23" t="n">
        <v>1</v>
      </c>
      <c r="U23" t="n">
        <v>0</v>
      </c>
      <c r="V23" s="2" t="inlineStr">
        <is>
          <t>Vedticka</t>
        </is>
      </c>
      <c r="W23">
        <f>HYPERLINK("https://klasma.github.io/Logging_0117/artfynd/A 62831-2025 artfynd.xlsx", "A 62831-2025")</f>
        <v/>
      </c>
      <c r="X23">
        <f>HYPERLINK("https://klasma.github.io/Logging_0117/kartor/A 62831-2025 karta.png", "A 62831-2025")</f>
        <v/>
      </c>
      <c r="Y23">
        <f>HYPERLINK("https://klasma.github.io/Logging_0117/kartor_geotiff/A 62831-2025 georefererad karta.tif", "A 62831-2025")</f>
        <v/>
      </c>
      <c r="AA23">
        <f>HYPERLINK("https://klasma.github.io/Logging_0117/klagomål/A 62831-2025 FSC-klagomål.docx", "A 62831-2025")</f>
        <v/>
      </c>
      <c r="AB23">
        <f>HYPERLINK("https://klasma.github.io/Logging_0117/klagomålsmail/A 62831-2025 FSC-klagomål mail.docx", "A 62831-2025")</f>
        <v/>
      </c>
      <c r="AC23">
        <f>HYPERLINK("https://klasma.github.io/Logging_0117/tillsyn/A 62831-2025 tillsynsbegäran.docx", "A 62831-2025")</f>
        <v/>
      </c>
      <c r="AD23">
        <f>HYPERLINK("https://klasma.github.io/Logging_0117/tillsynsmail/A 62831-2025 tillsynsbegäran mail.docx", "A 62831-2025")</f>
        <v/>
      </c>
    </row>
    <row r="24" ht="15" customHeight="1">
      <c r="A24" t="inlineStr">
        <is>
          <t>A 62839-2025</t>
        </is>
      </c>
      <c r="B24" t="inlineStr">
        <is>
          <t>avverkningsanmälan</t>
        </is>
      </c>
      <c r="C24" t="inlineStr">
        <is>
          <t>Föryngringsavverkning</t>
        </is>
      </c>
      <c r="D24" s="1" t="n">
        <v>46008</v>
      </c>
      <c r="E24" s="1" t="n">
        <v>46304</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46304</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31716-2025</t>
        </is>
      </c>
      <c r="B26" t="inlineStr">
        <is>
          <t>avverkningsanmälan</t>
        </is>
      </c>
      <c r="C26" t="inlineStr">
        <is>
          <t>Föryngringsavverkning</t>
        </is>
      </c>
      <c r="D26" s="1" t="n">
        <v>45834</v>
      </c>
      <c r="E26" s="1" t="n">
        <v>46304</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S 5861-2022</t>
        </is>
      </c>
      <c r="B27" t="inlineStr">
        <is>
          <t>samrådsanmälan</t>
        </is>
      </c>
      <c r="C27" t="inlineStr">
        <is>
          <t>Annan skogsbruksåtgärd</t>
        </is>
      </c>
      <c r="D27" s="1" t="n">
        <v>44852</v>
      </c>
      <c r="E27" s="1" t="n">
        <v>46304</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46304</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46304</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46304</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46304</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46304</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46304</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46304</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865-2022</t>
        </is>
      </c>
      <c r="B35" t="inlineStr">
        <is>
          <t>avverkningsanmälan</t>
        </is>
      </c>
      <c r="C35" t="inlineStr">
        <is>
          <t>Föryngringsavverkning</t>
        </is>
      </c>
      <c r="D35" s="1" t="n">
        <v>44569</v>
      </c>
      <c r="E35" s="1" t="n">
        <v>46304</v>
      </c>
      <c r="F35" t="inlineStr">
        <is>
          <t>STOCKHOLMS LÄN</t>
        </is>
      </c>
      <c r="G35" t="inlineStr">
        <is>
          <t>ÖSTERÅKER</t>
        </is>
      </c>
      <c r="H35" t="inlineStr">
        <is>
          <t>Övriga Aktiebolag</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46304</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46304</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46304</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46304</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46304</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46304</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46304</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61370-2022</t>
        </is>
      </c>
      <c r="B43" t="inlineStr">
        <is>
          <t>avverkningsanmälan</t>
        </is>
      </c>
      <c r="C43" t="inlineStr">
        <is>
          <t>Föryngringsavverkning</t>
        </is>
      </c>
      <c r="D43" s="1" t="n">
        <v>44915</v>
      </c>
      <c r="E43" s="1" t="n">
        <v>46304</v>
      </c>
      <c r="F43" t="inlineStr">
        <is>
          <t>STOCKHOLMS LÄN</t>
        </is>
      </c>
      <c r="G43" t="inlineStr">
        <is>
          <t>ÖSTERÅKER</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1603-2023</t>
        </is>
      </c>
      <c r="B44" t="inlineStr">
        <is>
          <t>avverkningsanmälan</t>
        </is>
      </c>
      <c r="C44" t="inlineStr">
        <is>
          <t>Föryngringsavverkning</t>
        </is>
      </c>
      <c r="D44" s="1" t="n">
        <v>44937</v>
      </c>
      <c r="E44" s="1" t="n">
        <v>46304</v>
      </c>
      <c r="F44" t="inlineStr">
        <is>
          <t>STOCKHOLMS LÄN</t>
        </is>
      </c>
      <c r="G44" t="inlineStr">
        <is>
          <t>ÖSTERÅKER</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1605-2023</t>
        </is>
      </c>
      <c r="B45" t="inlineStr">
        <is>
          <t>avverkningsanmälan</t>
        </is>
      </c>
      <c r="C45" t="inlineStr">
        <is>
          <t>Föryngringsavverkning</t>
        </is>
      </c>
      <c r="D45" s="1" t="n">
        <v>44937</v>
      </c>
      <c r="E45" s="1" t="n">
        <v>46304</v>
      </c>
      <c r="F45" t="inlineStr">
        <is>
          <t>STOCKHOLMS LÄN</t>
        </is>
      </c>
      <c r="G45" t="inlineStr">
        <is>
          <t>ÖSTERÅKER</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37037-2023</t>
        </is>
      </c>
      <c r="B46" t="inlineStr">
        <is>
          <t>avverkningsanmälan</t>
        </is>
      </c>
      <c r="C46" t="inlineStr">
        <is>
          <t>Föryngringsavverkning</t>
        </is>
      </c>
      <c r="D46" s="1" t="n">
        <v>45155</v>
      </c>
      <c r="E46" s="1" t="n">
        <v>46304</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46304</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33158-2024</t>
        </is>
      </c>
      <c r="B48" t="inlineStr">
        <is>
          <t>avverkningsanmälan</t>
        </is>
      </c>
      <c r="C48" t="inlineStr">
        <is>
          <t>Avverkning för annat ändamål</t>
        </is>
      </c>
      <c r="D48" s="1" t="n">
        <v>45518</v>
      </c>
      <c r="E48" s="1" t="n">
        <v>46304</v>
      </c>
      <c r="F48" t="inlineStr">
        <is>
          <t>STOCKHOLMS LÄN</t>
        </is>
      </c>
      <c r="G48" t="inlineStr">
        <is>
          <t>ÖSTERÅKER</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17353-2025</t>
        </is>
      </c>
      <c r="B49" t="inlineStr">
        <is>
          <t>avverkningsanmälan</t>
        </is>
      </c>
      <c r="C49" t="inlineStr">
        <is>
          <t>Föryngringsavverkning</t>
        </is>
      </c>
      <c r="D49" s="1" t="n">
        <v>45756</v>
      </c>
      <c r="E49" s="1" t="n">
        <v>46304</v>
      </c>
      <c r="F49" t="inlineStr">
        <is>
          <t>STOCKHOLMS LÄN</t>
        </is>
      </c>
      <c r="G49" t="inlineStr">
        <is>
          <t>ÖSTERÅKER</t>
        </is>
      </c>
      <c r="H49" t="inlineStr">
        <is>
          <t>Övriga Aktiebolag</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61360-2022</t>
        </is>
      </c>
      <c r="B50" t="inlineStr">
        <is>
          <t>avverkningsanmälan</t>
        </is>
      </c>
      <c r="C50" t="inlineStr">
        <is>
          <t>Föryngringsavverkning</t>
        </is>
      </c>
      <c r="D50" s="1" t="n">
        <v>44915</v>
      </c>
      <c r="E50" s="1" t="n">
        <v>46304</v>
      </c>
      <c r="F50" t="inlineStr">
        <is>
          <t>STOCKHOLMS LÄN</t>
        </is>
      </c>
      <c r="G50" t="inlineStr">
        <is>
          <t>ÖSTERÅKER</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46304</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12345-2026</t>
        </is>
      </c>
      <c r="B52" t="inlineStr">
        <is>
          <t>avverkningsanmälan</t>
        </is>
      </c>
      <c r="C52" t="inlineStr">
        <is>
          <t>Föryngringsavverkning</t>
        </is>
      </c>
      <c r="D52" s="1" t="n">
        <v>46087</v>
      </c>
      <c r="E52" s="1" t="n">
        <v>46304</v>
      </c>
      <c r="F52" t="inlineStr">
        <is>
          <t>STOCKHOLMS LÄN</t>
        </is>
      </c>
      <c r="G52" t="inlineStr">
        <is>
          <t>ÖSTERÅKER</t>
        </is>
      </c>
      <c r="H52" t="inlineStr">
        <is>
          <t>Övriga Aktiebolag</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16728-2022</t>
        </is>
      </c>
      <c r="B53" t="inlineStr">
        <is>
          <t>avverkningsanmälan</t>
        </is>
      </c>
      <c r="C53" t="inlineStr">
        <is>
          <t>Föryngringsavverkning</t>
        </is>
      </c>
      <c r="D53" s="1" t="n">
        <v>44673</v>
      </c>
      <c r="E53" s="1" t="n">
        <v>46304</v>
      </c>
      <c r="F53" t="inlineStr">
        <is>
          <t>STOCKHOLMS LÄN</t>
        </is>
      </c>
      <c r="G53" t="inlineStr">
        <is>
          <t>ÖSTERÅKER</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46304</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1136-2023</t>
        </is>
      </c>
      <c r="B55" t="inlineStr">
        <is>
          <t>avverkningsanmälan</t>
        </is>
      </c>
      <c r="C55" t="inlineStr">
        <is>
          <t>Avverkning för annat ändamål</t>
        </is>
      </c>
      <c r="D55" s="1" t="n">
        <v>44935</v>
      </c>
      <c r="E55" s="1" t="n">
        <v>46304</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61710-2022</t>
        </is>
      </c>
      <c r="B56" t="inlineStr">
        <is>
          <t>avverkningsanmälan</t>
        </is>
      </c>
      <c r="C56" t="inlineStr">
        <is>
          <t>Föryngringsavverkning</t>
        </is>
      </c>
      <c r="D56" s="1" t="n">
        <v>44917</v>
      </c>
      <c r="E56" s="1" t="n">
        <v>46304</v>
      </c>
      <c r="F56" t="inlineStr">
        <is>
          <t>STOCKHOLMS LÄN</t>
        </is>
      </c>
      <c r="G56" t="inlineStr">
        <is>
          <t>ÖSTERÅKER</t>
        </is>
      </c>
      <c r="I56" t="n">
        <v>6.2</v>
      </c>
      <c r="J56" t="n">
        <v>0</v>
      </c>
      <c r="K56" t="n">
        <v>0</v>
      </c>
      <c r="L56" t="n">
        <v>0</v>
      </c>
      <c r="M56" t="n">
        <v>0</v>
      </c>
      <c r="N56" t="n">
        <v>0</v>
      </c>
      <c r="O56" t="n">
        <v>0</v>
      </c>
      <c r="P56" t="n">
        <v>0</v>
      </c>
      <c r="Q56" t="n">
        <v>0</v>
      </c>
      <c r="R56" t="n">
        <v>0</v>
      </c>
      <c r="S56" t="n">
        <v>0</v>
      </c>
      <c r="T56" t="n">
        <v>0</v>
      </c>
      <c r="U56" t="n">
        <v>0</v>
      </c>
      <c r="V56" s="2" t="inlineStr"/>
    </row>
    <row r="57" ht="15" customHeight="1">
      <c r="A57" t="inlineStr">
        <is>
          <t>A 22528-2024</t>
        </is>
      </c>
      <c r="B57" t="inlineStr">
        <is>
          <t>avverkningsanmälan</t>
        </is>
      </c>
      <c r="C57" t="inlineStr">
        <is>
          <t>Föryngringsavverkning</t>
        </is>
      </c>
      <c r="D57" s="1" t="n">
        <v>45447</v>
      </c>
      <c r="E57" s="1" t="n">
        <v>46304</v>
      </c>
      <c r="F57" t="inlineStr">
        <is>
          <t>STOCKHOLMS LÄN</t>
        </is>
      </c>
      <c r="G57" t="inlineStr">
        <is>
          <t>ÖSTERÅKER</t>
        </is>
      </c>
      <c r="H57" t="inlineStr">
        <is>
          <t>Övriga Aktiebolag</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28143-2024</t>
        </is>
      </c>
      <c r="B58" t="inlineStr">
        <is>
          <t>avverkningsanmälan</t>
        </is>
      </c>
      <c r="C58" t="inlineStr">
        <is>
          <t>Föryngringsavverkning</t>
        </is>
      </c>
      <c r="D58" s="1" t="n">
        <v>45476</v>
      </c>
      <c r="E58" s="1" t="n">
        <v>46304</v>
      </c>
      <c r="F58" t="inlineStr">
        <is>
          <t>STOCKHOLMS LÄN</t>
        </is>
      </c>
      <c r="G58" t="inlineStr">
        <is>
          <t>ÖSTERÅKER</t>
        </is>
      </c>
      <c r="H58" t="inlineStr">
        <is>
          <t>Övriga Aktiebolag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14776-2024</t>
        </is>
      </c>
      <c r="B59" t="inlineStr">
        <is>
          <t>avverkningsanmälan</t>
        </is>
      </c>
      <c r="C59" t="inlineStr">
        <is>
          <t>Föryngringsavverkning</t>
        </is>
      </c>
      <c r="D59" s="1" t="n">
        <v>45397</v>
      </c>
      <c r="E59" s="1" t="n">
        <v>46304</v>
      </c>
      <c r="F59" t="inlineStr">
        <is>
          <t>STOCKHOLMS LÄN</t>
        </is>
      </c>
      <c r="G59" t="inlineStr">
        <is>
          <t>ÖSTERÅKER</t>
        </is>
      </c>
      <c r="I59" t="n">
        <v>13.6</v>
      </c>
      <c r="J59" t="n">
        <v>0</v>
      </c>
      <c r="K59" t="n">
        <v>0</v>
      </c>
      <c r="L59" t="n">
        <v>0</v>
      </c>
      <c r="M59" t="n">
        <v>0</v>
      </c>
      <c r="N59" t="n">
        <v>0</v>
      </c>
      <c r="O59" t="n">
        <v>0</v>
      </c>
      <c r="P59" t="n">
        <v>0</v>
      </c>
      <c r="Q59" t="n">
        <v>0</v>
      </c>
      <c r="R59" t="n">
        <v>0</v>
      </c>
      <c r="S59" t="n">
        <v>0</v>
      </c>
      <c r="T59" t="n">
        <v>0</v>
      </c>
      <c r="U59" t="n">
        <v>0</v>
      </c>
      <c r="V59" s="2" t="inlineStr"/>
    </row>
    <row r="60" ht="15" customHeight="1">
      <c r="A60" t="inlineStr">
        <is>
          <t>A 52220-2025</t>
        </is>
      </c>
      <c r="B60" t="inlineStr">
        <is>
          <t>avverkningsanmälan</t>
        </is>
      </c>
      <c r="C60" t="inlineStr">
        <is>
          <t>Avverkning för annat ändamål</t>
        </is>
      </c>
      <c r="D60" s="1" t="n">
        <v>45953</v>
      </c>
      <c r="E60" s="1" t="n">
        <v>46304</v>
      </c>
      <c r="F60" t="inlineStr">
        <is>
          <t>STOCKHOLMS LÄN</t>
        </is>
      </c>
      <c r="G60" t="inlineStr">
        <is>
          <t>ÖSTERÅKER</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39394-2023</t>
        </is>
      </c>
      <c r="B61" t="inlineStr">
        <is>
          <t>avverkningsanmälan</t>
        </is>
      </c>
      <c r="C61" t="inlineStr">
        <is>
          <t>Föryngringsavverkning</t>
        </is>
      </c>
      <c r="D61" s="1" t="n">
        <v>45166</v>
      </c>
      <c r="E61" s="1" t="n">
        <v>46304</v>
      </c>
      <c r="F61" t="inlineStr">
        <is>
          <t>STOCKHOLMS LÄN</t>
        </is>
      </c>
      <c r="G61" t="inlineStr">
        <is>
          <t>ÖSTERÅKER</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16803-2022</t>
        </is>
      </c>
      <c r="B62" t="inlineStr">
        <is>
          <t>avverkningsanmälan</t>
        </is>
      </c>
      <c r="C62" t="inlineStr">
        <is>
          <t>Föryngringsavverkning</t>
        </is>
      </c>
      <c r="D62" s="1" t="n">
        <v>44673</v>
      </c>
      <c r="E62" s="1" t="n">
        <v>46304</v>
      </c>
      <c r="F62" t="inlineStr">
        <is>
          <t>STOCKHOLMS LÄN</t>
        </is>
      </c>
      <c r="G62" t="inlineStr">
        <is>
          <t>ÖSTERÅKER</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470-2022</t>
        </is>
      </c>
      <c r="B63" t="inlineStr">
        <is>
          <t>avverkningsanmälan</t>
        </is>
      </c>
      <c r="C63" t="inlineStr">
        <is>
          <t>Föryngringsavverkning</t>
        </is>
      </c>
      <c r="D63" s="1" t="n">
        <v>44565</v>
      </c>
      <c r="E63" s="1" t="n">
        <v>46304</v>
      </c>
      <c r="F63" t="inlineStr">
        <is>
          <t>STOCKHOLMS LÄN</t>
        </is>
      </c>
      <c r="G63" t="inlineStr">
        <is>
          <t>ÖSTERÅKER</t>
        </is>
      </c>
      <c r="H63" t="inlineStr">
        <is>
          <t>Övriga Aktiebolag</t>
        </is>
      </c>
      <c r="I63" t="n">
        <v>4.6</v>
      </c>
      <c r="J63" t="n">
        <v>0</v>
      </c>
      <c r="K63" t="n">
        <v>0</v>
      </c>
      <c r="L63" t="n">
        <v>0</v>
      </c>
      <c r="M63" t="n">
        <v>0</v>
      </c>
      <c r="N63" t="n">
        <v>0</v>
      </c>
      <c r="O63" t="n">
        <v>0</v>
      </c>
      <c r="P63" t="n">
        <v>0</v>
      </c>
      <c r="Q63" t="n">
        <v>0</v>
      </c>
      <c r="R63" t="n">
        <v>0</v>
      </c>
      <c r="S63" t="n">
        <v>0</v>
      </c>
      <c r="T63" t="n">
        <v>0</v>
      </c>
      <c r="U63" t="n">
        <v>0</v>
      </c>
      <c r="V63" s="2" t="inlineStr"/>
    </row>
    <row r="64" ht="15" customHeight="1">
      <c r="A64" t="inlineStr">
        <is>
          <t>A 34713-2025</t>
        </is>
      </c>
      <c r="B64" t="inlineStr">
        <is>
          <t>avverkningsanmälan</t>
        </is>
      </c>
      <c r="C64" t="inlineStr">
        <is>
          <t>Föryngringsavverkning</t>
        </is>
      </c>
      <c r="D64" s="1" t="n">
        <v>45848</v>
      </c>
      <c r="E64" s="1" t="n">
        <v>46304</v>
      </c>
      <c r="F64" t="inlineStr">
        <is>
          <t>STOCKHOLMS LÄN</t>
        </is>
      </c>
      <c r="G64" t="inlineStr">
        <is>
          <t>ÖSTERÅKER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46304</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21796-2025</t>
        </is>
      </c>
      <c r="B66" t="inlineStr">
        <is>
          <t>avverkningsanmälan</t>
        </is>
      </c>
      <c r="C66" t="inlineStr">
        <is>
          <t>Föryngringsavverkning</t>
        </is>
      </c>
      <c r="D66" s="1" t="n">
        <v>45783</v>
      </c>
      <c r="E66" s="1" t="n">
        <v>46304</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46304</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18711-2023</t>
        </is>
      </c>
      <c r="B68" t="inlineStr">
        <is>
          <t>avverkningsanmälan</t>
        </is>
      </c>
      <c r="C68" t="inlineStr">
        <is>
          <t>Föryngringsavverkning</t>
        </is>
      </c>
      <c r="D68" s="1" t="n">
        <v>45043</v>
      </c>
      <c r="E68" s="1" t="n">
        <v>46304</v>
      </c>
      <c r="F68" t="inlineStr">
        <is>
          <t>STOCKHOLMS LÄN</t>
        </is>
      </c>
      <c r="G68" t="inlineStr">
        <is>
          <t>ÖSTERÅKER</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56909-2024</t>
        </is>
      </c>
      <c r="B69" t="inlineStr">
        <is>
          <t>avverkningsanmälan</t>
        </is>
      </c>
      <c r="C69" t="inlineStr">
        <is>
          <t>Avverkning för att bevara och utveckla /försöksver</t>
        </is>
      </c>
      <c r="D69" s="1" t="n">
        <v>45628</v>
      </c>
      <c r="E69" s="1" t="n">
        <v>46304</v>
      </c>
      <c r="F69" t="inlineStr">
        <is>
          <t>STOCKHOLMS LÄN</t>
        </is>
      </c>
      <c r="G69" t="inlineStr">
        <is>
          <t>ÖSTERÅKER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5038-2026</t>
        </is>
      </c>
      <c r="B70" t="inlineStr">
        <is>
          <t>avverkningsanmälan</t>
        </is>
      </c>
      <c r="C70" t="inlineStr">
        <is>
          <t>Föryngringsavverkning</t>
        </is>
      </c>
      <c r="D70" s="1" t="n">
        <v>46049</v>
      </c>
      <c r="E70" s="1" t="n">
        <v>46304</v>
      </c>
      <c r="F70" t="inlineStr">
        <is>
          <t>STOCKHOLMS LÄN</t>
        </is>
      </c>
      <c r="G70" t="inlineStr">
        <is>
          <t>ÖSTERÅKER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23144-2024</t>
        </is>
      </c>
      <c r="B71" t="inlineStr">
        <is>
          <t>avverkningsanmälan</t>
        </is>
      </c>
      <c r="C71" t="inlineStr">
        <is>
          <t>Föryngringsavverkning</t>
        </is>
      </c>
      <c r="D71" s="1" t="n">
        <v>45450</v>
      </c>
      <c r="E71" s="1" t="n">
        <v>46304</v>
      </c>
      <c r="F71" t="inlineStr">
        <is>
          <t>STOCKHOLMS LÄN</t>
        </is>
      </c>
      <c r="G71" t="inlineStr">
        <is>
          <t>ÖSTERÅKER</t>
        </is>
      </c>
      <c r="H71" t="inlineStr">
        <is>
          <t>Övriga Aktiebolag</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845-2024</t>
        </is>
      </c>
      <c r="B72" t="inlineStr">
        <is>
          <t>avverkningsanmälan</t>
        </is>
      </c>
      <c r="C72" t="inlineStr">
        <is>
          <t>Föryngringsavverkning</t>
        </is>
      </c>
      <c r="D72" s="1" t="n">
        <v>45300</v>
      </c>
      <c r="E72" s="1" t="n">
        <v>46304</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t="n">
        <v>0</v>
      </c>
      <c r="V72" s="2" t="inlineStr"/>
    </row>
    <row r="73" ht="15" customHeight="1">
      <c r="A73" t="inlineStr">
        <is>
          <t>A 17263-2022</t>
        </is>
      </c>
      <c r="B73" t="inlineStr">
        <is>
          <t>avverkningsanmälan</t>
        </is>
      </c>
      <c r="C73" t="inlineStr">
        <is>
          <t>Föryngringsavverkning</t>
        </is>
      </c>
      <c r="D73" s="1" t="n">
        <v>44678</v>
      </c>
      <c r="E73" s="1" t="n">
        <v>46304</v>
      </c>
      <c r="F73" t="inlineStr">
        <is>
          <t>STOCKHOLMS LÄN</t>
        </is>
      </c>
      <c r="G73" t="inlineStr">
        <is>
          <t>ÖSTERÅKER</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46304</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34038-2025</t>
        </is>
      </c>
      <c r="B75" t="inlineStr">
        <is>
          <t>avverkningsanmälan</t>
        </is>
      </c>
      <c r="C75" t="inlineStr">
        <is>
          <t>Föryngringsavverkning</t>
        </is>
      </c>
      <c r="D75" s="1" t="n">
        <v>45842</v>
      </c>
      <c r="E75" s="1" t="n">
        <v>46304</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10185-2025</t>
        </is>
      </c>
      <c r="B76" t="inlineStr">
        <is>
          <t>avverkningsanmälan</t>
        </is>
      </c>
      <c r="C76" t="inlineStr">
        <is>
          <t>Föryngringsavverkning</t>
        </is>
      </c>
      <c r="D76" s="1" t="n">
        <v>45719</v>
      </c>
      <c r="E76" s="1" t="n">
        <v>46304</v>
      </c>
      <c r="F76" t="inlineStr">
        <is>
          <t>STOCKHOLMS LÄN</t>
        </is>
      </c>
      <c r="G76" t="inlineStr">
        <is>
          <t>ÖSTERÅKER</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23198-2026</t>
        </is>
      </c>
      <c r="B77" t="inlineStr">
        <is>
          <t>avverkningsanmälan</t>
        </is>
      </c>
      <c r="C77" t="inlineStr">
        <is>
          <t>Avverkning för annat ändamål</t>
        </is>
      </c>
      <c r="D77" s="1" t="n">
        <v>46161</v>
      </c>
      <c r="E77" s="1" t="n">
        <v>46304</v>
      </c>
      <c r="F77" t="inlineStr">
        <is>
          <t>STOCKHOLMS LÄN</t>
        </is>
      </c>
      <c r="G77" t="inlineStr">
        <is>
          <t>ÖSTERÅKER</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9865-2025</t>
        </is>
      </c>
      <c r="B78" t="inlineStr">
        <is>
          <t>avverkningsanmälan</t>
        </is>
      </c>
      <c r="C78" t="inlineStr">
        <is>
          <t>Föryngringsavverkning</t>
        </is>
      </c>
      <c r="D78" s="1" t="n">
        <v>45716</v>
      </c>
      <c r="E78" s="1" t="n">
        <v>46304</v>
      </c>
      <c r="F78" t="inlineStr">
        <is>
          <t>STOCKHOLMS LÄN</t>
        </is>
      </c>
      <c r="G78" t="inlineStr">
        <is>
          <t>ÖSTERÅKER</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46304</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26249-2026</t>
        </is>
      </c>
      <c r="B80" t="inlineStr">
        <is>
          <t>avverkningsanmälan</t>
        </is>
      </c>
      <c r="C80" t="inlineStr">
        <is>
          <t>Avverkning för annat ändamål</t>
        </is>
      </c>
      <c r="D80" s="1" t="n">
        <v>46182</v>
      </c>
      <c r="E80" s="1" t="n">
        <v>46304</v>
      </c>
      <c r="F80" t="inlineStr">
        <is>
          <t>STOCKHOLMS LÄN</t>
        </is>
      </c>
      <c r="G80" t="inlineStr">
        <is>
          <t>ÖSTERÅKER</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28146-2024</t>
        </is>
      </c>
      <c r="B81" t="inlineStr">
        <is>
          <t>avverkningsanmälan</t>
        </is>
      </c>
      <c r="C81" t="inlineStr">
        <is>
          <t>Föryngringsavverkning</t>
        </is>
      </c>
      <c r="D81" s="1" t="n">
        <v>45476</v>
      </c>
      <c r="E81" s="1" t="n">
        <v>46304</v>
      </c>
      <c r="F81" t="inlineStr">
        <is>
          <t>STOCKHOLMS LÄN</t>
        </is>
      </c>
      <c r="G81" t="inlineStr">
        <is>
          <t>ÖSTERÅKER</t>
        </is>
      </c>
      <c r="H81" t="inlineStr">
        <is>
          <t>Övriga Aktiebolag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57048-2024</t>
        </is>
      </c>
      <c r="B82" t="inlineStr">
        <is>
          <t>avverkningsanmälan</t>
        </is>
      </c>
      <c r="C82" t="inlineStr">
        <is>
          <t>Föryngringsavverkning</t>
        </is>
      </c>
      <c r="D82" s="1" t="n">
        <v>45629</v>
      </c>
      <c r="E82" s="1" t="n">
        <v>46304</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5286-2025</t>
        </is>
      </c>
      <c r="B83" t="inlineStr">
        <is>
          <t>avverkningsanmälan</t>
        </is>
      </c>
      <c r="C83" t="inlineStr">
        <is>
          <t>Föryngringsavverkning</t>
        </is>
      </c>
      <c r="D83" s="1" t="n">
        <v>45692</v>
      </c>
      <c r="E83" s="1" t="n">
        <v>46304</v>
      </c>
      <c r="F83" t="inlineStr">
        <is>
          <t>STOCKHOLMS LÄN</t>
        </is>
      </c>
      <c r="G83" t="inlineStr">
        <is>
          <t>ÖSTERÅKER</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3817-2023</t>
        </is>
      </c>
      <c r="B84" t="inlineStr">
        <is>
          <t>avverkningsanmälan</t>
        </is>
      </c>
      <c r="C84" t="inlineStr">
        <is>
          <t>Föryngringsavverkning</t>
        </is>
      </c>
      <c r="D84" s="1" t="n">
        <v>44951</v>
      </c>
      <c r="E84" s="1" t="n">
        <v>46304</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544-2023</t>
        </is>
      </c>
      <c r="B85" t="inlineStr">
        <is>
          <t>avverkningsanmälan</t>
        </is>
      </c>
      <c r="C85" t="inlineStr">
        <is>
          <t>Avverkning för annat ändamål</t>
        </is>
      </c>
      <c r="D85" s="1" t="n">
        <v>44924</v>
      </c>
      <c r="E85" s="1" t="n">
        <v>46304</v>
      </c>
      <c r="F85" t="inlineStr">
        <is>
          <t>STOCKHOLMS LÄN</t>
        </is>
      </c>
      <c r="G85" t="inlineStr">
        <is>
          <t>ÖSTERÅKER</t>
        </is>
      </c>
      <c r="H85" t="inlineStr">
        <is>
          <t>Övriga Aktiebolag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3326-2022</t>
        </is>
      </c>
      <c r="B86" t="inlineStr">
        <is>
          <t>avverkningsanmälan</t>
        </is>
      </c>
      <c r="C86" t="inlineStr">
        <is>
          <t>Föryngringsavverkning</t>
        </is>
      </c>
      <c r="D86" s="1" t="n">
        <v>44583</v>
      </c>
      <c r="E86" s="1" t="n">
        <v>46304</v>
      </c>
      <c r="F86" t="inlineStr">
        <is>
          <t>STOCKHOLMS LÄN</t>
        </is>
      </c>
      <c r="G86" t="inlineStr">
        <is>
          <t>ÖSTERÅKER</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13366-2024</t>
        </is>
      </c>
      <c r="B87" t="inlineStr">
        <is>
          <t>avverkningsanmälan</t>
        </is>
      </c>
      <c r="C87" t="inlineStr">
        <is>
          <t>Föryngringsavverkning</t>
        </is>
      </c>
      <c r="D87" s="1" t="n">
        <v>45387</v>
      </c>
      <c r="E87" s="1" t="n">
        <v>46304</v>
      </c>
      <c r="F87" t="inlineStr">
        <is>
          <t>STOCKHOLMS LÄN</t>
        </is>
      </c>
      <c r="G87" t="inlineStr">
        <is>
          <t>ÖSTERÅKER</t>
        </is>
      </c>
      <c r="I87" t="n">
        <v>13.7</v>
      </c>
      <c r="J87" t="n">
        <v>0</v>
      </c>
      <c r="K87" t="n">
        <v>0</v>
      </c>
      <c r="L87" t="n">
        <v>0</v>
      </c>
      <c r="M87" t="n">
        <v>0</v>
      </c>
      <c r="N87" t="n">
        <v>0</v>
      </c>
      <c r="O87" t="n">
        <v>0</v>
      </c>
      <c r="P87" t="n">
        <v>0</v>
      </c>
      <c r="Q87" t="n">
        <v>0</v>
      </c>
      <c r="R87" t="n">
        <v>0</v>
      </c>
      <c r="S87" t="n">
        <v>0</v>
      </c>
      <c r="T87" t="n">
        <v>0</v>
      </c>
      <c r="U87" t="n">
        <v>0</v>
      </c>
      <c r="V87" s="2" t="inlineStr"/>
    </row>
    <row r="88" ht="15" customHeight="1">
      <c r="A88" t="inlineStr">
        <is>
          <t>A 57055-2024</t>
        </is>
      </c>
      <c r="B88" t="inlineStr">
        <is>
          <t>avverkningsanmälan</t>
        </is>
      </c>
      <c r="C88" t="inlineStr">
        <is>
          <t>Föryngringsavverkning</t>
        </is>
      </c>
      <c r="D88" s="1" t="n">
        <v>45629</v>
      </c>
      <c r="E88" s="1" t="n">
        <v>46304</v>
      </c>
      <c r="F88" t="inlineStr">
        <is>
          <t>STOCKHOLMS LÄN</t>
        </is>
      </c>
      <c r="G88" t="inlineStr">
        <is>
          <t>ÖSTERÅKER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59379-2022</t>
        </is>
      </c>
      <c r="B89" t="inlineStr">
        <is>
          <t>avverkningsanmälan</t>
        </is>
      </c>
      <c r="C89" t="inlineStr">
        <is>
          <t>Föryngringsavverkning</t>
        </is>
      </c>
      <c r="D89" s="1" t="n">
        <v>44905</v>
      </c>
      <c r="E89" s="1" t="n">
        <v>46304</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46688-2022</t>
        </is>
      </c>
      <c r="B90" t="inlineStr">
        <is>
          <t>avverkningsanmälan</t>
        </is>
      </c>
      <c r="C90" t="inlineStr">
        <is>
          <t>Föryngringsavverkning</t>
        </is>
      </c>
      <c r="D90" s="1" t="n">
        <v>44851</v>
      </c>
      <c r="E90" s="1" t="n">
        <v>46304</v>
      </c>
      <c r="F90" t="inlineStr">
        <is>
          <t>STOCKHOLMS LÄN</t>
        </is>
      </c>
      <c r="G90" t="inlineStr">
        <is>
          <t>ÖSTERÅKER</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29443-2026</t>
        </is>
      </c>
      <c r="B91" t="inlineStr">
        <is>
          <t>avverkningsanmälan</t>
        </is>
      </c>
      <c r="C91" t="inlineStr">
        <is>
          <t>Föryngringsavverkning</t>
        </is>
      </c>
      <c r="D91" s="1" t="n">
        <v>46203</v>
      </c>
      <c r="E91" s="1" t="n">
        <v>46304</v>
      </c>
      <c r="F91" t="inlineStr">
        <is>
          <t>STOCKHOLMS LÄN</t>
        </is>
      </c>
      <c r="G91" t="inlineStr">
        <is>
          <t>ÖSTERÅKER</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16738-2022</t>
        </is>
      </c>
      <c r="B92" t="inlineStr">
        <is>
          <t>avverkningsanmälan</t>
        </is>
      </c>
      <c r="C92" t="inlineStr">
        <is>
          <t>Avverkning för annat ändamål</t>
        </is>
      </c>
      <c r="D92" s="1" t="n">
        <v>44673</v>
      </c>
      <c r="E92" s="1" t="n">
        <v>46304</v>
      </c>
      <c r="F92" t="inlineStr">
        <is>
          <t>STOCKHOLMS LÄN</t>
        </is>
      </c>
      <c r="G92" t="inlineStr">
        <is>
          <t>ÖSTERÅKER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30599-2026</t>
        </is>
      </c>
      <c r="B93" t="inlineStr">
        <is>
          <t>avverkningsanmälan</t>
        </is>
      </c>
      <c r="C93" t="inlineStr">
        <is>
          <t>Föryngringsavverkning</t>
        </is>
      </c>
      <c r="D93" s="1" t="n">
        <v>46210</v>
      </c>
      <c r="E93" s="1" t="n">
        <v>46304</v>
      </c>
      <c r="F93" t="inlineStr">
        <is>
          <t>STOCKHOLMS LÄN</t>
        </is>
      </c>
      <c r="G93" t="inlineStr">
        <is>
          <t>ÖSTERÅKER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31154-2026</t>
        </is>
      </c>
      <c r="B94" t="inlineStr">
        <is>
          <t>avverkningsanmälan</t>
        </is>
      </c>
      <c r="C94" t="inlineStr">
        <is>
          <t>Föryngringsavverkning</t>
        </is>
      </c>
      <c r="D94" s="1" t="n">
        <v>46216</v>
      </c>
      <c r="E94" s="1" t="n">
        <v>46304</v>
      </c>
      <c r="F94" t="inlineStr">
        <is>
          <t>STOCKHOLMS LÄN</t>
        </is>
      </c>
      <c r="G94" t="inlineStr">
        <is>
          <t>ÖSTERÅKER</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31146-2026</t>
        </is>
      </c>
      <c r="B95" t="inlineStr">
        <is>
          <t>avverkningsanmälan</t>
        </is>
      </c>
      <c r="C95" t="inlineStr">
        <is>
          <t>Föryngringsavverkning</t>
        </is>
      </c>
      <c r="D95" s="1" t="n">
        <v>46216</v>
      </c>
      <c r="E95" s="1" t="n">
        <v>46304</v>
      </c>
      <c r="F95" t="inlineStr">
        <is>
          <t>STOCKHOLMS LÄN</t>
        </is>
      </c>
      <c r="G95" t="inlineStr">
        <is>
          <t>ÖSTERÅKER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31149-2026</t>
        </is>
      </c>
      <c r="B96" t="inlineStr">
        <is>
          <t>avverkningsanmälan</t>
        </is>
      </c>
      <c r="C96" t="inlineStr">
        <is>
          <t>Föryngringsavverkning</t>
        </is>
      </c>
      <c r="D96" s="1" t="n">
        <v>46216</v>
      </c>
      <c r="E96" s="1" t="n">
        <v>46304</v>
      </c>
      <c r="F96" t="inlineStr">
        <is>
          <t>STOCKHOLMS LÄN</t>
        </is>
      </c>
      <c r="G96" t="inlineStr">
        <is>
          <t>ÖSTERÅKER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31156-2026</t>
        </is>
      </c>
      <c r="B97" t="inlineStr">
        <is>
          <t>avverkningsanmälan</t>
        </is>
      </c>
      <c r="C97" t="inlineStr">
        <is>
          <t>Föryngringsavverkning</t>
        </is>
      </c>
      <c r="D97" s="1" t="n">
        <v>46216</v>
      </c>
      <c r="E97" s="1" t="n">
        <v>46304</v>
      </c>
      <c r="F97" t="inlineStr">
        <is>
          <t>STOCKHOLMS LÄN</t>
        </is>
      </c>
      <c r="G97" t="inlineStr">
        <is>
          <t>ÖSTERÅKER</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17196-2022</t>
        </is>
      </c>
      <c r="B98" t="inlineStr">
        <is>
          <t>avverkningsanmälan</t>
        </is>
      </c>
      <c r="C98" t="inlineStr">
        <is>
          <t>Föryngringsavverkning</t>
        </is>
      </c>
      <c r="D98" s="1" t="n">
        <v>44677</v>
      </c>
      <c r="E98" s="1" t="n">
        <v>46304</v>
      </c>
      <c r="F98" t="inlineStr">
        <is>
          <t>STOCKHOLMS LÄN</t>
        </is>
      </c>
      <c r="G98" t="inlineStr">
        <is>
          <t>ÖSTERÅKER</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3917-2023</t>
        </is>
      </c>
      <c r="B99" t="inlineStr">
        <is>
          <t>avverkningsanmälan</t>
        </is>
      </c>
      <c r="C99" t="inlineStr">
        <is>
          <t>Föryngringsavverkning</t>
        </is>
      </c>
      <c r="D99" s="1" t="n">
        <v>44952</v>
      </c>
      <c r="E99" s="1" t="n">
        <v>46304</v>
      </c>
      <c r="F99" t="inlineStr">
        <is>
          <t>STOCKHOLMS LÄN</t>
        </is>
      </c>
      <c r="G99" t="inlineStr">
        <is>
          <t>ÖSTERÅKER</t>
        </is>
      </c>
      <c r="H99" t="inlineStr">
        <is>
          <t>Kommuner</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62108-2022</t>
        </is>
      </c>
      <c r="B100" t="inlineStr">
        <is>
          <t>avverkningsanmälan</t>
        </is>
      </c>
      <c r="C100" t="inlineStr">
        <is>
          <t>Föryngringsavverkning</t>
        </is>
      </c>
      <c r="D100" s="1" t="n">
        <v>44920</v>
      </c>
      <c r="E100" s="1" t="n">
        <v>46304</v>
      </c>
      <c r="F100" t="inlineStr">
        <is>
          <t>STOCKHOLMS LÄN</t>
        </is>
      </c>
      <c r="G100" t="inlineStr">
        <is>
          <t>ÖSTERÅKER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40142-2026</t>
        </is>
      </c>
      <c r="B101" t="inlineStr">
        <is>
          <t>avverkningsanmälan</t>
        </is>
      </c>
      <c r="C101" t="inlineStr">
        <is>
          <t>Föryngringsavverkning</t>
        </is>
      </c>
      <c r="D101" s="1" t="n">
        <v>46293</v>
      </c>
      <c r="E101" s="1" t="n">
        <v>46304</v>
      </c>
      <c r="F101" t="inlineStr">
        <is>
          <t>STOCKHOLMS LÄN</t>
        </is>
      </c>
      <c r="G101" t="inlineStr">
        <is>
          <t>ÖSTERÅKER</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27137-2025</t>
        </is>
      </c>
      <c r="B102" t="inlineStr">
        <is>
          <t>avverkningsanmälan</t>
        </is>
      </c>
      <c r="C102" t="inlineStr">
        <is>
          <t>Föryngringsavverkning</t>
        </is>
      </c>
      <c r="D102" s="1" t="n">
        <v>45811</v>
      </c>
      <c r="E102" s="1" t="n">
        <v>46304</v>
      </c>
      <c r="F102" t="inlineStr">
        <is>
          <t>STOCKHOLMS LÄN</t>
        </is>
      </c>
      <c r="G102" t="inlineStr">
        <is>
          <t>ÖSTERÅKER</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46304</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46304</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46304</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2026-10-09T02:03:48Z</dcterms:created>
  <dcterms:modified xmlns:dcterms="http://purl.org/dc/terms/" xmlns:xsi="http://www.w3.org/2001/XMLSchema-instance" xsi:type="dcterms:W3CDTF">2026-10-09T02:03:48Z</dcterms:modified>
</cp:coreProperties>
</file>