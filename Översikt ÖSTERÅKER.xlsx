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46171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46171</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46171</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62573-2025</t>
        </is>
      </c>
      <c r="B5" s="1" t="n">
        <v>46007.73069444444</v>
      </c>
      <c r="C5" s="1" t="n">
        <v>46171</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46171</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31015-2024</t>
        </is>
      </c>
      <c r="B7" s="1" t="n">
        <v>45499</v>
      </c>
      <c r="C7" s="1" t="n">
        <v>46171</v>
      </c>
      <c r="D7" t="inlineStr">
        <is>
          <t>STOCKHOLMS LÄN</t>
        </is>
      </c>
      <c r="E7" t="inlineStr">
        <is>
          <t>ÖSTERÅKER</t>
        </is>
      </c>
      <c r="F7" t="inlineStr">
        <is>
          <t>Övriga Aktiebolag</t>
        </is>
      </c>
      <c r="G7" t="n">
        <v>5.3</v>
      </c>
      <c r="H7" t="n">
        <v>1</v>
      </c>
      <c r="I7" t="n">
        <v>4</v>
      </c>
      <c r="J7" t="n">
        <v>3</v>
      </c>
      <c r="K7" t="n">
        <v>0</v>
      </c>
      <c r="L7" t="n">
        <v>0</v>
      </c>
      <c r="M7" t="n">
        <v>0</v>
      </c>
      <c r="N7" t="n">
        <v>0</v>
      </c>
      <c r="O7" t="n">
        <v>3</v>
      </c>
      <c r="P7" t="n">
        <v>0</v>
      </c>
      <c r="Q7" t="n">
        <v>7</v>
      </c>
      <c r="R7" s="2" t="inlineStr">
        <is>
          <t>Spillkråka
Tallticka
Ullticka
Blodticka
Bronshjon
Jättesvampmal
Vågbandad barkbock</t>
        </is>
      </c>
      <c r="S7">
        <f>HYPERLINK("https://klasma.github.io/Logging_0117/artfynd/A 31015-2024 artfynd.xlsx", "A 31015-2024")</f>
        <v/>
      </c>
      <c r="T7">
        <f>HYPERLINK("https://klasma.github.io/Logging_0117/kartor/A 31015-2024 karta.png", "A 31015-2024")</f>
        <v/>
      </c>
      <c r="V7">
        <f>HYPERLINK("https://klasma.github.io/Logging_0117/klagomål/A 31015-2024 FSC-klagomål.docx", "A 31015-2024")</f>
        <v/>
      </c>
      <c r="W7">
        <f>HYPERLINK("https://klasma.github.io/Logging_0117/klagomålsmail/A 31015-2024 FSC-klagomål mail.docx", "A 31015-2024")</f>
        <v/>
      </c>
      <c r="X7">
        <f>HYPERLINK("https://klasma.github.io/Logging_0117/tillsyn/A 31015-2024 tillsynsbegäran.docx", "A 31015-2024")</f>
        <v/>
      </c>
      <c r="Y7">
        <f>HYPERLINK("https://klasma.github.io/Logging_0117/tillsynsmail/A 31015-2024 tillsynsbegäran mail.docx", "A 31015-2024")</f>
        <v/>
      </c>
      <c r="Z7">
        <f>HYPERLINK("https://klasma.github.io/Logging_0117/fåglar/A 31015-2024 prioriterade fågelarter.docx", "A 31015-2024")</f>
        <v/>
      </c>
    </row>
    <row r="8" ht="15" customHeight="1">
      <c r="A8" t="inlineStr">
        <is>
          <t>A 153-2025</t>
        </is>
      </c>
      <c r="B8" s="1" t="n">
        <v>45659.61650462963</v>
      </c>
      <c r="C8" s="1" t="n">
        <v>46171</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46171</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46171</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46171</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46171</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46171</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62578-2025</t>
        </is>
      </c>
      <c r="B14" s="1" t="n">
        <v>46007</v>
      </c>
      <c r="C14" s="1" t="n">
        <v>46171</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34721-2025</t>
        </is>
      </c>
      <c r="B15" s="1" t="n">
        <v>45848</v>
      </c>
      <c r="C15" s="1" t="n">
        <v>46171</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31523-2022</t>
        </is>
      </c>
      <c r="B16" s="1" t="n">
        <v>44775.22490740741</v>
      </c>
      <c r="C16" s="1" t="n">
        <v>46171</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43308-2024</t>
        </is>
      </c>
      <c r="B17" s="1" t="n">
        <v>45568</v>
      </c>
      <c r="C17" s="1" t="n">
        <v>46171</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36366-2025</t>
        </is>
      </c>
      <c r="B18" s="1" t="n">
        <v>45868</v>
      </c>
      <c r="C18" s="1" t="n">
        <v>46171</v>
      </c>
      <c r="D18" t="inlineStr">
        <is>
          <t>STOCKHOLMS LÄN</t>
        </is>
      </c>
      <c r="E18" t="inlineStr">
        <is>
          <t>ÖSTERÅKER</t>
        </is>
      </c>
      <c r="G18" t="n">
        <v>7.2</v>
      </c>
      <c r="H18" t="n">
        <v>0</v>
      </c>
      <c r="I18" t="n">
        <v>1</v>
      </c>
      <c r="J18" t="n">
        <v>1</v>
      </c>
      <c r="K18" t="n">
        <v>0</v>
      </c>
      <c r="L18" t="n">
        <v>0</v>
      </c>
      <c r="M18" t="n">
        <v>0</v>
      </c>
      <c r="N18" t="n">
        <v>0</v>
      </c>
      <c r="O18" t="n">
        <v>1</v>
      </c>
      <c r="P18" t="n">
        <v>0</v>
      </c>
      <c r="Q18" t="n">
        <v>2</v>
      </c>
      <c r="R18" s="2" t="inlineStr">
        <is>
          <t>Garnlav
Björksplintborre</t>
        </is>
      </c>
      <c r="S18">
        <f>HYPERLINK("https://klasma.github.io/Logging_0117/artfynd/A 36366-2025 artfynd.xlsx", "A 36366-2025")</f>
        <v/>
      </c>
      <c r="T18">
        <f>HYPERLINK("https://klasma.github.io/Logging_0117/kartor/A 36366-2025 karta.png", "A 36366-2025")</f>
        <v/>
      </c>
      <c r="V18">
        <f>HYPERLINK("https://klasma.github.io/Logging_0117/klagomål/A 36366-2025 FSC-klagomål.docx", "A 36366-2025")</f>
        <v/>
      </c>
      <c r="W18">
        <f>HYPERLINK("https://klasma.github.io/Logging_0117/klagomålsmail/A 36366-2025 FSC-klagomål mail.docx", "A 36366-2025")</f>
        <v/>
      </c>
      <c r="X18">
        <f>HYPERLINK("https://klasma.github.io/Logging_0117/tillsyn/A 36366-2025 tillsynsbegäran.docx", "A 36366-2025")</f>
        <v/>
      </c>
      <c r="Y18">
        <f>HYPERLINK("https://klasma.github.io/Logging_0117/tillsynsmail/A 36366-2025 tillsynsbegäran mail.docx", "A 36366-2025")</f>
        <v/>
      </c>
    </row>
    <row r="19" ht="15" customHeight="1">
      <c r="A19" t="inlineStr">
        <is>
          <t>A 54703-2024</t>
        </is>
      </c>
      <c r="B19" s="1" t="n">
        <v>45618</v>
      </c>
      <c r="C19" s="1" t="n">
        <v>46171</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46171</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46171</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46171</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46171</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46171</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46171</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46171</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46171</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46171</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46171</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46171</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46171</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46171</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46171</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46171</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46171</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46171</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46171</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46171</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46171</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46171</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46171</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46171</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46171</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46171</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46171</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46171</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46171</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46171</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28146-2024</t>
        </is>
      </c>
      <c r="B49" s="1" t="n">
        <v>45476</v>
      </c>
      <c r="C49" s="1" t="n">
        <v>46171</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22528-2024</t>
        </is>
      </c>
      <c r="B50" s="1" t="n">
        <v>45447.44967592593</v>
      </c>
      <c r="C50" s="1" t="n">
        <v>46171</v>
      </c>
      <c r="D50" t="inlineStr">
        <is>
          <t>STOCKHOLMS LÄN</t>
        </is>
      </c>
      <c r="E50" t="inlineStr">
        <is>
          <t>ÖSTERÅKER</t>
        </is>
      </c>
      <c r="F50" t="inlineStr">
        <is>
          <t>Övriga Aktiebolag</t>
        </is>
      </c>
      <c r="G50" t="n">
        <v>1.4</v>
      </c>
      <c r="H50" t="n">
        <v>0</v>
      </c>
      <c r="I50" t="n">
        <v>0</v>
      </c>
      <c r="J50" t="n">
        <v>0</v>
      </c>
      <c r="K50" t="n">
        <v>0</v>
      </c>
      <c r="L50" t="n">
        <v>0</v>
      </c>
      <c r="M50" t="n">
        <v>0</v>
      </c>
      <c r="N50" t="n">
        <v>0</v>
      </c>
      <c r="O50" t="n">
        <v>0</v>
      </c>
      <c r="P50" t="n">
        <v>0</v>
      </c>
      <c r="Q50" t="n">
        <v>0</v>
      </c>
      <c r="R50" s="2" t="inlineStr"/>
    </row>
    <row r="51" ht="15" customHeight="1">
      <c r="A51" t="inlineStr">
        <is>
          <t>A 16803-2022</t>
        </is>
      </c>
      <c r="B51" s="1" t="n">
        <v>44673</v>
      </c>
      <c r="C51" s="1" t="n">
        <v>46171</v>
      </c>
      <c r="D51" t="inlineStr">
        <is>
          <t>STOCKHOLMS LÄN</t>
        </is>
      </c>
      <c r="E51" t="inlineStr">
        <is>
          <t>ÖSTERÅKER</t>
        </is>
      </c>
      <c r="G51" t="n">
        <v>1.9</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46171</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34713-2025</t>
        </is>
      </c>
      <c r="B53" s="1" t="n">
        <v>45848</v>
      </c>
      <c r="C53" s="1" t="n">
        <v>46171</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46171</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46171</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61710-2022</t>
        </is>
      </c>
      <c r="B56" s="1" t="n">
        <v>44917</v>
      </c>
      <c r="C56" s="1" t="n">
        <v>46171</v>
      </c>
      <c r="D56" t="inlineStr">
        <is>
          <t>STOCKHOLMS LÄN</t>
        </is>
      </c>
      <c r="E56" t="inlineStr">
        <is>
          <t>ÖSTERÅKER</t>
        </is>
      </c>
      <c r="G56" t="n">
        <v>6.2</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46171</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3917-2023</t>
        </is>
      </c>
      <c r="B58" s="1" t="n">
        <v>44952</v>
      </c>
      <c r="C58" s="1" t="n">
        <v>46171</v>
      </c>
      <c r="D58" t="inlineStr">
        <is>
          <t>STOCKHOLMS LÄN</t>
        </is>
      </c>
      <c r="E58" t="inlineStr">
        <is>
          <t>ÖSTERÅKER</t>
        </is>
      </c>
      <c r="F58" t="inlineStr">
        <is>
          <t>Kommuner</t>
        </is>
      </c>
      <c r="G58" t="n">
        <v>2.8</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46171</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5038-2026</t>
        </is>
      </c>
      <c r="B60" s="1" t="n">
        <v>46049.46427083333</v>
      </c>
      <c r="C60" s="1" t="n">
        <v>46171</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34034-2025</t>
        </is>
      </c>
      <c r="B61" s="1" t="n">
        <v>45842</v>
      </c>
      <c r="C61" s="1" t="n">
        <v>46171</v>
      </c>
      <c r="D61" t="inlineStr">
        <is>
          <t>STOCKHOLMS LÄN</t>
        </is>
      </c>
      <c r="E61" t="inlineStr">
        <is>
          <t>ÖSTERÅKER</t>
        </is>
      </c>
      <c r="F61" t="inlineStr">
        <is>
          <t>Övriga Aktiebolag</t>
        </is>
      </c>
      <c r="G61" t="n">
        <v>3.9</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46171</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46171</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52220-2025</t>
        </is>
      </c>
      <c r="B64" s="1" t="n">
        <v>45953</v>
      </c>
      <c r="C64" s="1" t="n">
        <v>46171</v>
      </c>
      <c r="D64" t="inlineStr">
        <is>
          <t>STOCKHOLMS LÄN</t>
        </is>
      </c>
      <c r="E64" t="inlineStr">
        <is>
          <t>ÖSTERÅKER</t>
        </is>
      </c>
      <c r="G64" t="n">
        <v>0.8</v>
      </c>
      <c r="H64" t="n">
        <v>0</v>
      </c>
      <c r="I64" t="n">
        <v>0</v>
      </c>
      <c r="J64" t="n">
        <v>0</v>
      </c>
      <c r="K64" t="n">
        <v>0</v>
      </c>
      <c r="L64" t="n">
        <v>0</v>
      </c>
      <c r="M64" t="n">
        <v>0</v>
      </c>
      <c r="N64" t="n">
        <v>0</v>
      </c>
      <c r="O64" t="n">
        <v>0</v>
      </c>
      <c r="P64" t="n">
        <v>0</v>
      </c>
      <c r="Q64" t="n">
        <v>0</v>
      </c>
      <c r="R64" s="2" t="inlineStr"/>
    </row>
    <row r="65" ht="15" customHeight="1">
      <c r="A65" t="inlineStr">
        <is>
          <t>A 544-2023</t>
        </is>
      </c>
      <c r="B65" s="1" t="n">
        <v>44924</v>
      </c>
      <c r="C65" s="1" t="n">
        <v>46171</v>
      </c>
      <c r="D65" t="inlineStr">
        <is>
          <t>STOCKHOLMS LÄN</t>
        </is>
      </c>
      <c r="E65" t="inlineStr">
        <is>
          <t>ÖSTERÅKER</t>
        </is>
      </c>
      <c r="F65" t="inlineStr">
        <is>
          <t>Övriga Aktiebolag</t>
        </is>
      </c>
      <c r="G65" t="n">
        <v>0.9</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46171</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46171</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46171</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46171</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46171</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470-2022</t>
        </is>
      </c>
      <c r="B71" s="1" t="n">
        <v>44565</v>
      </c>
      <c r="C71" s="1" t="n">
        <v>46171</v>
      </c>
      <c r="D71" t="inlineStr">
        <is>
          <t>STOCKHOLMS LÄN</t>
        </is>
      </c>
      <c r="E71" t="inlineStr">
        <is>
          <t>ÖSTERÅKER</t>
        </is>
      </c>
      <c r="F71" t="inlineStr">
        <is>
          <t>Övriga Aktiebolag</t>
        </is>
      </c>
      <c r="G71" t="n">
        <v>4.6</v>
      </c>
      <c r="H71" t="n">
        <v>0</v>
      </c>
      <c r="I71" t="n">
        <v>0</v>
      </c>
      <c r="J71" t="n">
        <v>0</v>
      </c>
      <c r="K71" t="n">
        <v>0</v>
      </c>
      <c r="L71" t="n">
        <v>0</v>
      </c>
      <c r="M71" t="n">
        <v>0</v>
      </c>
      <c r="N71" t="n">
        <v>0</v>
      </c>
      <c r="O71" t="n">
        <v>0</v>
      </c>
      <c r="P71" t="n">
        <v>0</v>
      </c>
      <c r="Q71" t="n">
        <v>0</v>
      </c>
      <c r="R71" s="2" t="inlineStr"/>
    </row>
    <row r="72" ht="15" customHeight="1">
      <c r="A72" t="inlineStr">
        <is>
          <t>A 31575-2022</t>
        </is>
      </c>
      <c r="B72" s="1" t="n">
        <v>44775.45063657407</v>
      </c>
      <c r="C72" s="1" t="n">
        <v>46171</v>
      </c>
      <c r="D72" t="inlineStr">
        <is>
          <t>STOCKHOLMS LÄN</t>
        </is>
      </c>
      <c r="E72" t="inlineStr">
        <is>
          <t>ÖSTERÅKER</t>
        </is>
      </c>
      <c r="G72" t="n">
        <v>5</v>
      </c>
      <c r="H72" t="n">
        <v>0</v>
      </c>
      <c r="I72" t="n">
        <v>0</v>
      </c>
      <c r="J72" t="n">
        <v>0</v>
      </c>
      <c r="K72" t="n">
        <v>0</v>
      </c>
      <c r="L72" t="n">
        <v>0</v>
      </c>
      <c r="M72" t="n">
        <v>0</v>
      </c>
      <c r="N72" t="n">
        <v>0</v>
      </c>
      <c r="O72" t="n">
        <v>0</v>
      </c>
      <c r="P72" t="n">
        <v>0</v>
      </c>
      <c r="Q72" t="n">
        <v>0</v>
      </c>
      <c r="R72" s="2" t="inlineStr"/>
    </row>
    <row r="73" ht="15" customHeight="1">
      <c r="A73" t="inlineStr">
        <is>
          <t>A 60482-2025</t>
        </is>
      </c>
      <c r="B73" s="1" t="n">
        <v>45995.59832175926</v>
      </c>
      <c r="C73" s="1" t="n">
        <v>46171</v>
      </c>
      <c r="D73" t="inlineStr">
        <is>
          <t>STOCKHOLMS LÄN</t>
        </is>
      </c>
      <c r="E73" t="inlineStr">
        <is>
          <t>ÖSTERÅKER</t>
        </is>
      </c>
      <c r="G73" t="n">
        <v>1.4</v>
      </c>
      <c r="H73" t="n">
        <v>0</v>
      </c>
      <c r="I73" t="n">
        <v>0</v>
      </c>
      <c r="J73" t="n">
        <v>0</v>
      </c>
      <c r="K73" t="n">
        <v>0</v>
      </c>
      <c r="L73" t="n">
        <v>0</v>
      </c>
      <c r="M73" t="n">
        <v>0</v>
      </c>
      <c r="N73" t="n">
        <v>0</v>
      </c>
      <c r="O73" t="n">
        <v>0</v>
      </c>
      <c r="P73" t="n">
        <v>0</v>
      </c>
      <c r="Q73" t="n">
        <v>0</v>
      </c>
      <c r="R73" s="2" t="inlineStr"/>
    </row>
    <row r="74" ht="15" customHeight="1">
      <c r="A74" t="inlineStr">
        <is>
          <t>A 33158-2024</t>
        </is>
      </c>
      <c r="B74" s="1" t="n">
        <v>45518</v>
      </c>
      <c r="C74" s="1" t="n">
        <v>46171</v>
      </c>
      <c r="D74" t="inlineStr">
        <is>
          <t>STOCKHOLMS LÄN</t>
        </is>
      </c>
      <c r="E74" t="inlineStr">
        <is>
          <t>ÖSTERÅKER</t>
        </is>
      </c>
      <c r="G74" t="n">
        <v>1.6</v>
      </c>
      <c r="H74" t="n">
        <v>0</v>
      </c>
      <c r="I74" t="n">
        <v>0</v>
      </c>
      <c r="J74" t="n">
        <v>0</v>
      </c>
      <c r="K74" t="n">
        <v>0</v>
      </c>
      <c r="L74" t="n">
        <v>0</v>
      </c>
      <c r="M74" t="n">
        <v>0</v>
      </c>
      <c r="N74" t="n">
        <v>0</v>
      </c>
      <c r="O74" t="n">
        <v>0</v>
      </c>
      <c r="P74" t="n">
        <v>0</v>
      </c>
      <c r="Q74" t="n">
        <v>0</v>
      </c>
      <c r="R74" s="2" t="inlineStr"/>
    </row>
    <row r="75" ht="15" customHeight="1">
      <c r="A75" t="inlineStr">
        <is>
          <t>A 61781-2025</t>
        </is>
      </c>
      <c r="B75" s="1" t="n">
        <v>46002</v>
      </c>
      <c r="C75" s="1" t="n">
        <v>46171</v>
      </c>
      <c r="D75" t="inlineStr">
        <is>
          <t>STOCKHOLMS LÄN</t>
        </is>
      </c>
      <c r="E75" t="inlineStr">
        <is>
          <t>ÖSTERÅKER</t>
        </is>
      </c>
      <c r="G75" t="n">
        <v>4.9</v>
      </c>
      <c r="H75" t="n">
        <v>0</v>
      </c>
      <c r="I75" t="n">
        <v>0</v>
      </c>
      <c r="J75" t="n">
        <v>0</v>
      </c>
      <c r="K75" t="n">
        <v>0</v>
      </c>
      <c r="L75" t="n">
        <v>0</v>
      </c>
      <c r="M75" t="n">
        <v>0</v>
      </c>
      <c r="N75" t="n">
        <v>0</v>
      </c>
      <c r="O75" t="n">
        <v>0</v>
      </c>
      <c r="P75" t="n">
        <v>0</v>
      </c>
      <c r="Q75" t="n">
        <v>0</v>
      </c>
      <c r="R75" s="2" t="inlineStr"/>
    </row>
    <row r="76" ht="15" customHeight="1">
      <c r="A76" t="inlineStr">
        <is>
          <t>A 13366-2024</t>
        </is>
      </c>
      <c r="B76" s="1" t="n">
        <v>45387</v>
      </c>
      <c r="C76" s="1" t="n">
        <v>46171</v>
      </c>
      <c r="D76" t="inlineStr">
        <is>
          <t>STOCKHOLMS LÄN</t>
        </is>
      </c>
      <c r="E76" t="inlineStr">
        <is>
          <t>ÖSTERÅKER</t>
        </is>
      </c>
      <c r="G76" t="n">
        <v>13.7</v>
      </c>
      <c r="H76" t="n">
        <v>0</v>
      </c>
      <c r="I76" t="n">
        <v>0</v>
      </c>
      <c r="J76" t="n">
        <v>0</v>
      </c>
      <c r="K76" t="n">
        <v>0</v>
      </c>
      <c r="L76" t="n">
        <v>0</v>
      </c>
      <c r="M76" t="n">
        <v>0</v>
      </c>
      <c r="N76" t="n">
        <v>0</v>
      </c>
      <c r="O76" t="n">
        <v>0</v>
      </c>
      <c r="P76" t="n">
        <v>0</v>
      </c>
      <c r="Q76" t="n">
        <v>0</v>
      </c>
      <c r="R76" s="2" t="inlineStr"/>
    </row>
    <row r="77" ht="15" customHeight="1">
      <c r="A77" t="inlineStr">
        <is>
          <t>A 61360-2022</t>
        </is>
      </c>
      <c r="B77" s="1" t="n">
        <v>44915</v>
      </c>
      <c r="C77" s="1" t="n">
        <v>46171</v>
      </c>
      <c r="D77" t="inlineStr">
        <is>
          <t>STOCKHOLMS LÄN</t>
        </is>
      </c>
      <c r="E77" t="inlineStr">
        <is>
          <t>ÖSTERÅKER</t>
        </is>
      </c>
      <c r="G77" t="n">
        <v>2.3</v>
      </c>
      <c r="H77" t="n">
        <v>0</v>
      </c>
      <c r="I77" t="n">
        <v>0</v>
      </c>
      <c r="J77" t="n">
        <v>0</v>
      </c>
      <c r="K77" t="n">
        <v>0</v>
      </c>
      <c r="L77" t="n">
        <v>0</v>
      </c>
      <c r="M77" t="n">
        <v>0</v>
      </c>
      <c r="N77" t="n">
        <v>0</v>
      </c>
      <c r="O77" t="n">
        <v>0</v>
      </c>
      <c r="P77" t="n">
        <v>0</v>
      </c>
      <c r="Q77" t="n">
        <v>0</v>
      </c>
      <c r="R77" s="2" t="inlineStr"/>
    </row>
    <row r="78" ht="15" customHeight="1">
      <c r="A78" t="inlineStr">
        <is>
          <t>A 62108-2022</t>
        </is>
      </c>
      <c r="B78" s="1" t="n">
        <v>44920</v>
      </c>
      <c r="C78" s="1" t="n">
        <v>46171</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6655-2023</t>
        </is>
      </c>
      <c r="B79" s="1" t="n">
        <v>44966.60668981481</v>
      </c>
      <c r="C79" s="1" t="n">
        <v>46171</v>
      </c>
      <c r="D79" t="inlineStr">
        <is>
          <t>STOCKHOLMS LÄN</t>
        </is>
      </c>
      <c r="E79" t="inlineStr">
        <is>
          <t>ÖSTERÅKER</t>
        </is>
      </c>
      <c r="G79" t="n">
        <v>0.8</v>
      </c>
      <c r="H79" t="n">
        <v>0</v>
      </c>
      <c r="I79" t="n">
        <v>0</v>
      </c>
      <c r="J79" t="n">
        <v>0</v>
      </c>
      <c r="K79" t="n">
        <v>0</v>
      </c>
      <c r="L79" t="n">
        <v>0</v>
      </c>
      <c r="M79" t="n">
        <v>0</v>
      </c>
      <c r="N79" t="n">
        <v>0</v>
      </c>
      <c r="O79" t="n">
        <v>0</v>
      </c>
      <c r="P79" t="n">
        <v>0</v>
      </c>
      <c r="Q79" t="n">
        <v>0</v>
      </c>
      <c r="R79" s="2" t="inlineStr"/>
    </row>
    <row r="80" ht="15" customHeight="1">
      <c r="A80" t="inlineStr">
        <is>
          <t>A 31134-2023</t>
        </is>
      </c>
      <c r="B80" s="1" t="n">
        <v>45113</v>
      </c>
      <c r="C80" s="1" t="n">
        <v>46171</v>
      </c>
      <c r="D80" t="inlineStr">
        <is>
          <t>STOCKHOLMS LÄN</t>
        </is>
      </c>
      <c r="E80" t="inlineStr">
        <is>
          <t>ÖSTERÅKER</t>
        </is>
      </c>
      <c r="G80" t="n">
        <v>2.1</v>
      </c>
      <c r="H80" t="n">
        <v>0</v>
      </c>
      <c r="I80" t="n">
        <v>0</v>
      </c>
      <c r="J80" t="n">
        <v>0</v>
      </c>
      <c r="K80" t="n">
        <v>0</v>
      </c>
      <c r="L80" t="n">
        <v>0</v>
      </c>
      <c r="M80" t="n">
        <v>0</v>
      </c>
      <c r="N80" t="n">
        <v>0</v>
      </c>
      <c r="O80" t="n">
        <v>0</v>
      </c>
      <c r="P80" t="n">
        <v>0</v>
      </c>
      <c r="Q80" t="n">
        <v>0</v>
      </c>
      <c r="R80" s="2" t="inlineStr"/>
    </row>
    <row r="81" ht="15" customHeight="1">
      <c r="A81" t="inlineStr">
        <is>
          <t>A 12345-2026</t>
        </is>
      </c>
      <c r="B81" s="1" t="n">
        <v>46087.67776620371</v>
      </c>
      <c r="C81" s="1" t="n">
        <v>46171</v>
      </c>
      <c r="D81" t="inlineStr">
        <is>
          <t>STOCKHOLMS LÄN</t>
        </is>
      </c>
      <c r="E81" t="inlineStr">
        <is>
          <t>ÖSTERÅKER</t>
        </is>
      </c>
      <c r="F81" t="inlineStr">
        <is>
          <t>Övriga Aktiebolag</t>
        </is>
      </c>
      <c r="G81" t="n">
        <v>1.6</v>
      </c>
      <c r="H81" t="n">
        <v>0</v>
      </c>
      <c r="I81" t="n">
        <v>0</v>
      </c>
      <c r="J81" t="n">
        <v>0</v>
      </c>
      <c r="K81" t="n">
        <v>0</v>
      </c>
      <c r="L81" t="n">
        <v>0</v>
      </c>
      <c r="M81" t="n">
        <v>0</v>
      </c>
      <c r="N81" t="n">
        <v>0</v>
      </c>
      <c r="O81" t="n">
        <v>0</v>
      </c>
      <c r="P81" t="n">
        <v>0</v>
      </c>
      <c r="Q81" t="n">
        <v>0</v>
      </c>
      <c r="R81" s="2" t="inlineStr"/>
    </row>
    <row r="82" ht="15" customHeight="1">
      <c r="A82" t="inlineStr">
        <is>
          <t>A 57048-2024</t>
        </is>
      </c>
      <c r="B82" s="1" t="n">
        <v>45629.33938657407</v>
      </c>
      <c r="C82" s="1" t="n">
        <v>46171</v>
      </c>
      <c r="D82" t="inlineStr">
        <is>
          <t>STOCKHOLMS LÄN</t>
        </is>
      </c>
      <c r="E82" t="inlineStr">
        <is>
          <t>ÖSTERÅKER</t>
        </is>
      </c>
      <c r="G82" t="n">
        <v>3</v>
      </c>
      <c r="H82" t="n">
        <v>0</v>
      </c>
      <c r="I82" t="n">
        <v>0</v>
      </c>
      <c r="J82" t="n">
        <v>0</v>
      </c>
      <c r="K82" t="n">
        <v>0</v>
      </c>
      <c r="L82" t="n">
        <v>0</v>
      </c>
      <c r="M82" t="n">
        <v>0</v>
      </c>
      <c r="N82" t="n">
        <v>0</v>
      </c>
      <c r="O82" t="n">
        <v>0</v>
      </c>
      <c r="P82" t="n">
        <v>0</v>
      </c>
      <c r="Q82" t="n">
        <v>0</v>
      </c>
      <c r="R82" s="2" t="inlineStr"/>
    </row>
    <row r="83" ht="15" customHeight="1">
      <c r="A83" t="inlineStr">
        <is>
          <t>A 57055-2024</t>
        </is>
      </c>
      <c r="B83" s="1" t="n">
        <v>45629.34627314815</v>
      </c>
      <c r="C83" s="1" t="n">
        <v>46171</v>
      </c>
      <c r="D83" t="inlineStr">
        <is>
          <t>STOCKHOLMS LÄN</t>
        </is>
      </c>
      <c r="E83" t="inlineStr">
        <is>
          <t>ÖSTERÅKER</t>
        </is>
      </c>
      <c r="G83" t="n">
        <v>0.5</v>
      </c>
      <c r="H83" t="n">
        <v>0</v>
      </c>
      <c r="I83" t="n">
        <v>0</v>
      </c>
      <c r="J83" t="n">
        <v>0</v>
      </c>
      <c r="K83" t="n">
        <v>0</v>
      </c>
      <c r="L83" t="n">
        <v>0</v>
      </c>
      <c r="M83" t="n">
        <v>0</v>
      </c>
      <c r="N83" t="n">
        <v>0</v>
      </c>
      <c r="O83" t="n">
        <v>0</v>
      </c>
      <c r="P83" t="n">
        <v>0</v>
      </c>
      <c r="Q83" t="n">
        <v>0</v>
      </c>
      <c r="R83" s="2" t="inlineStr"/>
    </row>
    <row r="84" ht="15" customHeight="1">
      <c r="A84" t="inlineStr">
        <is>
          <t>A 23144-2024</t>
        </is>
      </c>
      <c r="B84" s="1" t="n">
        <v>45450.63202546296</v>
      </c>
      <c r="C84" s="1" t="n">
        <v>46171</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3326-2022</t>
        </is>
      </c>
      <c r="B85" s="1" t="n">
        <v>44583</v>
      </c>
      <c r="C85" s="1" t="n">
        <v>46171</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9842-2025</t>
        </is>
      </c>
      <c r="B86" s="1" t="n">
        <v>45716</v>
      </c>
      <c r="C86" s="1" t="n">
        <v>46171</v>
      </c>
      <c r="D86" t="inlineStr">
        <is>
          <t>STOCKHOLMS LÄN</t>
        </is>
      </c>
      <c r="E86" t="inlineStr">
        <is>
          <t>ÖSTERÅKER</t>
        </is>
      </c>
      <c r="G86" t="n">
        <v>4.8</v>
      </c>
      <c r="H86" t="n">
        <v>0</v>
      </c>
      <c r="I86" t="n">
        <v>0</v>
      </c>
      <c r="J86" t="n">
        <v>0</v>
      </c>
      <c r="K86" t="n">
        <v>0</v>
      </c>
      <c r="L86" t="n">
        <v>0</v>
      </c>
      <c r="M86" t="n">
        <v>0</v>
      </c>
      <c r="N86" t="n">
        <v>0</v>
      </c>
      <c r="O86" t="n">
        <v>0</v>
      </c>
      <c r="P86" t="n">
        <v>0</v>
      </c>
      <c r="Q86" t="n">
        <v>0</v>
      </c>
      <c r="R86" s="2" t="inlineStr"/>
    </row>
    <row r="87" ht="15" customHeight="1">
      <c r="A87" t="inlineStr">
        <is>
          <t>A 56909-2024</t>
        </is>
      </c>
      <c r="B87" s="1" t="n">
        <v>45628.59060185185</v>
      </c>
      <c r="C87" s="1" t="n">
        <v>46171</v>
      </c>
      <c r="D87" t="inlineStr">
        <is>
          <t>STOCKHOLMS LÄN</t>
        </is>
      </c>
      <c r="E87" t="inlineStr">
        <is>
          <t>ÖSTERÅKER</t>
        </is>
      </c>
      <c r="G87" t="n">
        <v>1</v>
      </c>
      <c r="H87" t="n">
        <v>0</v>
      </c>
      <c r="I87" t="n">
        <v>0</v>
      </c>
      <c r="J87" t="n">
        <v>0</v>
      </c>
      <c r="K87" t="n">
        <v>0</v>
      </c>
      <c r="L87" t="n">
        <v>0</v>
      </c>
      <c r="M87" t="n">
        <v>0</v>
      </c>
      <c r="N87" t="n">
        <v>0</v>
      </c>
      <c r="O87" t="n">
        <v>0</v>
      </c>
      <c r="P87" t="n">
        <v>0</v>
      </c>
      <c r="Q87" t="n">
        <v>0</v>
      </c>
      <c r="R87" s="2" t="inlineStr"/>
    </row>
    <row r="88" ht="15" customHeight="1">
      <c r="A88" t="inlineStr">
        <is>
          <t>A 16738-2022</t>
        </is>
      </c>
      <c r="B88" s="1" t="n">
        <v>44673</v>
      </c>
      <c r="C88" s="1" t="n">
        <v>46171</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62831-2025</t>
        </is>
      </c>
      <c r="B89" s="1" t="n">
        <v>46008</v>
      </c>
      <c r="C89" s="1" t="n">
        <v>46171</v>
      </c>
      <c r="D89" t="inlineStr">
        <is>
          <t>STOCKHOLMS LÄN</t>
        </is>
      </c>
      <c r="E89" t="inlineStr">
        <is>
          <t>ÖSTERÅKER</t>
        </is>
      </c>
      <c r="G89" t="n">
        <v>1.2</v>
      </c>
      <c r="H89" t="n">
        <v>0</v>
      </c>
      <c r="I89" t="n">
        <v>0</v>
      </c>
      <c r="J89" t="n">
        <v>0</v>
      </c>
      <c r="K89" t="n">
        <v>0</v>
      </c>
      <c r="L89" t="n">
        <v>0</v>
      </c>
      <c r="M89" t="n">
        <v>0</v>
      </c>
      <c r="N89" t="n">
        <v>0</v>
      </c>
      <c r="O89" t="n">
        <v>0</v>
      </c>
      <c r="P89" t="n">
        <v>0</v>
      </c>
      <c r="Q89" t="n">
        <v>0</v>
      </c>
      <c r="R89" s="2" t="inlineStr"/>
    </row>
    <row r="90" ht="15" customHeight="1">
      <c r="A90" t="inlineStr">
        <is>
          <t>A 59379-2022</t>
        </is>
      </c>
      <c r="B90" s="1" t="n">
        <v>44905</v>
      </c>
      <c r="C90" s="1" t="n">
        <v>46171</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10185-2025</t>
        </is>
      </c>
      <c r="B91" s="1" t="n">
        <v>45719</v>
      </c>
      <c r="C91" s="1" t="n">
        <v>46171</v>
      </c>
      <c r="D91" t="inlineStr">
        <is>
          <t>STOCKHOLMS LÄN</t>
        </is>
      </c>
      <c r="E91" t="inlineStr">
        <is>
          <t>ÖSTERÅKER</t>
        </is>
      </c>
      <c r="G91" t="n">
        <v>4.1</v>
      </c>
      <c r="H91" t="n">
        <v>0</v>
      </c>
      <c r="I91" t="n">
        <v>0</v>
      </c>
      <c r="J91" t="n">
        <v>0</v>
      </c>
      <c r="K91" t="n">
        <v>0</v>
      </c>
      <c r="L91" t="n">
        <v>0</v>
      </c>
      <c r="M91" t="n">
        <v>0</v>
      </c>
      <c r="N91" t="n">
        <v>0</v>
      </c>
      <c r="O91" t="n">
        <v>0</v>
      </c>
      <c r="P91" t="n">
        <v>0</v>
      </c>
      <c r="Q91" t="n">
        <v>0</v>
      </c>
      <c r="R91" s="2" t="inlineStr"/>
    </row>
    <row r="92" ht="15" customHeight="1">
      <c r="A92" t="inlineStr">
        <is>
          <t>A 16728-2022</t>
        </is>
      </c>
      <c r="B92" s="1" t="n">
        <v>44673</v>
      </c>
      <c r="C92" s="1" t="n">
        <v>46171</v>
      </c>
      <c r="D92" t="inlineStr">
        <is>
          <t>STOCKHOLMS LÄN</t>
        </is>
      </c>
      <c r="E92" t="inlineStr">
        <is>
          <t>ÖSTERÅKER</t>
        </is>
      </c>
      <c r="G92" t="n">
        <v>0.9</v>
      </c>
      <c r="H92" t="n">
        <v>0</v>
      </c>
      <c r="I92" t="n">
        <v>0</v>
      </c>
      <c r="J92" t="n">
        <v>0</v>
      </c>
      <c r="K92" t="n">
        <v>0</v>
      </c>
      <c r="L92" t="n">
        <v>0</v>
      </c>
      <c r="M92" t="n">
        <v>0</v>
      </c>
      <c r="N92" t="n">
        <v>0</v>
      </c>
      <c r="O92" t="n">
        <v>0</v>
      </c>
      <c r="P92" t="n">
        <v>0</v>
      </c>
      <c r="Q92" t="n">
        <v>0</v>
      </c>
      <c r="R92" s="2" t="inlineStr"/>
    </row>
    <row r="93" ht="15" customHeight="1">
      <c r="A93" t="inlineStr">
        <is>
          <t>A 14776-2024</t>
        </is>
      </c>
      <c r="B93" s="1" t="n">
        <v>45397</v>
      </c>
      <c r="C93" s="1" t="n">
        <v>46171</v>
      </c>
      <c r="D93" t="inlineStr">
        <is>
          <t>STOCKHOLMS LÄN</t>
        </is>
      </c>
      <c r="E93" t="inlineStr">
        <is>
          <t>ÖSTERÅKER</t>
        </is>
      </c>
      <c r="G93" t="n">
        <v>13.6</v>
      </c>
      <c r="H93" t="n">
        <v>0</v>
      </c>
      <c r="I93" t="n">
        <v>0</v>
      </c>
      <c r="J93" t="n">
        <v>0</v>
      </c>
      <c r="K93" t="n">
        <v>0</v>
      </c>
      <c r="L93" t="n">
        <v>0</v>
      </c>
      <c r="M93" t="n">
        <v>0</v>
      </c>
      <c r="N93" t="n">
        <v>0</v>
      </c>
      <c r="O93" t="n">
        <v>0</v>
      </c>
      <c r="P93" t="n">
        <v>0</v>
      </c>
      <c r="Q93" t="n">
        <v>0</v>
      </c>
      <c r="R93" s="2" t="inlineStr"/>
    </row>
    <row r="94" ht="15" customHeight="1">
      <c r="A94" t="inlineStr">
        <is>
          <t>A 61370-2022</t>
        </is>
      </c>
      <c r="B94" s="1" t="n">
        <v>44915</v>
      </c>
      <c r="C94" s="1" t="n">
        <v>46171</v>
      </c>
      <c r="D94" t="inlineStr">
        <is>
          <t>STOCKHOLMS LÄN</t>
        </is>
      </c>
      <c r="E94" t="inlineStr">
        <is>
          <t>ÖSTERÅKER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46171</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46171</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46171</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17196-2022</t>
        </is>
      </c>
      <c r="B98" s="1" t="n">
        <v>44677</v>
      </c>
      <c r="C98" s="1" t="n">
        <v>46171</v>
      </c>
      <c r="D98" t="inlineStr">
        <is>
          <t>STOCKHOLMS LÄN</t>
        </is>
      </c>
      <c r="E98" t="inlineStr">
        <is>
          <t>ÖSTERÅKER</t>
        </is>
      </c>
      <c r="G98" t="n">
        <v>5.9</v>
      </c>
      <c r="H98" t="n">
        <v>0</v>
      </c>
      <c r="I98" t="n">
        <v>0</v>
      </c>
      <c r="J98" t="n">
        <v>0</v>
      </c>
      <c r="K98" t="n">
        <v>0</v>
      </c>
      <c r="L98" t="n">
        <v>0</v>
      </c>
      <c r="M98" t="n">
        <v>0</v>
      </c>
      <c r="N98" t="n">
        <v>0</v>
      </c>
      <c r="O98" t="n">
        <v>0</v>
      </c>
      <c r="P98" t="n">
        <v>0</v>
      </c>
      <c r="Q98" t="n">
        <v>0</v>
      </c>
      <c r="R98" s="2" t="inlineStr"/>
    </row>
    <row r="99" ht="15" customHeight="1">
      <c r="A99" t="inlineStr">
        <is>
          <t>A 62839-2025</t>
        </is>
      </c>
      <c r="B99" s="1" t="n">
        <v>46008</v>
      </c>
      <c r="C99" s="1" t="n">
        <v>46171</v>
      </c>
      <c r="D99" t="inlineStr">
        <is>
          <t>STOCKHOLMS LÄN</t>
        </is>
      </c>
      <c r="E99" t="inlineStr">
        <is>
          <t>ÖSTERÅKER</t>
        </is>
      </c>
      <c r="G99" t="n">
        <v>1.4</v>
      </c>
      <c r="H99" t="n">
        <v>0</v>
      </c>
      <c r="I99" t="n">
        <v>0</v>
      </c>
      <c r="J99" t="n">
        <v>0</v>
      </c>
      <c r="K99" t="n">
        <v>0</v>
      </c>
      <c r="L99" t="n">
        <v>0</v>
      </c>
      <c r="M99" t="n">
        <v>0</v>
      </c>
      <c r="N99" t="n">
        <v>0</v>
      </c>
      <c r="O99" t="n">
        <v>0</v>
      </c>
      <c r="P99" t="n">
        <v>0</v>
      </c>
      <c r="Q99" t="n">
        <v>0</v>
      </c>
      <c r="R99" s="2" t="inlineStr"/>
    </row>
    <row r="100" ht="15" customHeight="1">
      <c r="A100" t="inlineStr">
        <is>
          <t>A 1603-2023</t>
        </is>
      </c>
      <c r="B100" s="1" t="n">
        <v>44937.68086805556</v>
      </c>
      <c r="C100" s="1" t="n">
        <v>46171</v>
      </c>
      <c r="D100" t="inlineStr">
        <is>
          <t>STOCKHOLMS LÄN</t>
        </is>
      </c>
      <c r="E100" t="inlineStr">
        <is>
          <t>ÖSTERÅKER</t>
        </is>
      </c>
      <c r="G100" t="n">
        <v>1.7</v>
      </c>
      <c r="H100" t="n">
        <v>0</v>
      </c>
      <c r="I100" t="n">
        <v>0</v>
      </c>
      <c r="J100" t="n">
        <v>0</v>
      </c>
      <c r="K100" t="n">
        <v>0</v>
      </c>
      <c r="L100" t="n">
        <v>0</v>
      </c>
      <c r="M100" t="n">
        <v>0</v>
      </c>
      <c r="N100" t="n">
        <v>0</v>
      </c>
      <c r="O100" t="n">
        <v>0</v>
      </c>
      <c r="P100" t="n">
        <v>0</v>
      </c>
      <c r="Q100" t="n">
        <v>0</v>
      </c>
      <c r="R100" s="2" t="inlineStr"/>
    </row>
    <row r="101" ht="15" customHeight="1">
      <c r="A101" t="inlineStr">
        <is>
          <t>A 1605-2023</t>
        </is>
      </c>
      <c r="B101" s="1" t="n">
        <v>44937.68299768519</v>
      </c>
      <c r="C101" s="1" t="n">
        <v>46171</v>
      </c>
      <c r="D101" t="inlineStr">
        <is>
          <t>STOCKHOLMS LÄN</t>
        </is>
      </c>
      <c r="E101" t="inlineStr">
        <is>
          <t>ÖSTERÅKER</t>
        </is>
      </c>
      <c r="G101" t="n">
        <v>2.9</v>
      </c>
      <c r="H101" t="n">
        <v>0</v>
      </c>
      <c r="I101" t="n">
        <v>0</v>
      </c>
      <c r="J101" t="n">
        <v>0</v>
      </c>
      <c r="K101" t="n">
        <v>0</v>
      </c>
      <c r="L101" t="n">
        <v>0</v>
      </c>
      <c r="M101" t="n">
        <v>0</v>
      </c>
      <c r="N101" t="n">
        <v>0</v>
      </c>
      <c r="O101" t="n">
        <v>0</v>
      </c>
      <c r="P101" t="n">
        <v>0</v>
      </c>
      <c r="Q101" t="n">
        <v>0</v>
      </c>
      <c r="R101" s="2" t="inlineStr"/>
    </row>
    <row r="102" ht="15" customHeight="1">
      <c r="A102" t="inlineStr">
        <is>
          <t>A 67265-2021</t>
        </is>
      </c>
      <c r="B102" s="1" t="n">
        <v>44523.59277777778</v>
      </c>
      <c r="C102" s="1" t="n">
        <v>46171</v>
      </c>
      <c r="D102" t="inlineStr">
        <is>
          <t>STOCKHOLMS LÄN</t>
        </is>
      </c>
      <c r="E102" t="inlineStr">
        <is>
          <t>ÖSTERÅKER</t>
        </is>
      </c>
      <c r="F102" t="inlineStr">
        <is>
          <t>Kommuner</t>
        </is>
      </c>
      <c r="G102" t="n">
        <v>2.6</v>
      </c>
      <c r="H102" t="n">
        <v>0</v>
      </c>
      <c r="I102" t="n">
        <v>0</v>
      </c>
      <c r="J102" t="n">
        <v>0</v>
      </c>
      <c r="K102" t="n">
        <v>0</v>
      </c>
      <c r="L102" t="n">
        <v>0</v>
      </c>
      <c r="M102" t="n">
        <v>0</v>
      </c>
      <c r="N102" t="n">
        <v>0</v>
      </c>
      <c r="O102" t="n">
        <v>0</v>
      </c>
      <c r="P102" t="n">
        <v>0</v>
      </c>
      <c r="Q102" t="n">
        <v>0</v>
      </c>
      <c r="R102" s="2" t="inlineStr"/>
    </row>
    <row r="103" ht="15" customHeight="1">
      <c r="A103" t="inlineStr">
        <is>
          <t>A 23198-2026</t>
        </is>
      </c>
      <c r="B103" s="1" t="n">
        <v>46161</v>
      </c>
      <c r="C103" s="1" t="n">
        <v>46171</v>
      </c>
      <c r="D103" t="inlineStr">
        <is>
          <t>STOCKHOLMS LÄN</t>
        </is>
      </c>
      <c r="E103" t="inlineStr">
        <is>
          <t>ÖSTERÅKER</t>
        </is>
      </c>
      <c r="G103" t="n">
        <v>0.6</v>
      </c>
      <c r="H103" t="n">
        <v>0</v>
      </c>
      <c r="I103" t="n">
        <v>0</v>
      </c>
      <c r="J103" t="n">
        <v>0</v>
      </c>
      <c r="K103" t="n">
        <v>0</v>
      </c>
      <c r="L103" t="n">
        <v>0</v>
      </c>
      <c r="M103" t="n">
        <v>0</v>
      </c>
      <c r="N103" t="n">
        <v>0</v>
      </c>
      <c r="O103" t="n">
        <v>0</v>
      </c>
      <c r="P103" t="n">
        <v>0</v>
      </c>
      <c r="Q103" t="n">
        <v>0</v>
      </c>
      <c r="R103" s="2" t="inlineStr"/>
    </row>
    <row r="104" ht="15" customHeight="1">
      <c r="A104" t="inlineStr">
        <is>
          <t>A 5286-2025</t>
        </is>
      </c>
      <c r="B104" s="1" t="n">
        <v>45692.44144675926</v>
      </c>
      <c r="C104" s="1" t="n">
        <v>46171</v>
      </c>
      <c r="D104" t="inlineStr">
        <is>
          <t>STOCKHOLMS LÄN</t>
        </is>
      </c>
      <c r="E104" t="inlineStr">
        <is>
          <t>ÖSTERÅKER</t>
        </is>
      </c>
      <c r="G104" t="n">
        <v>11.2</v>
      </c>
      <c r="H104" t="n">
        <v>0</v>
      </c>
      <c r="I104" t="n">
        <v>0</v>
      </c>
      <c r="J104" t="n">
        <v>0</v>
      </c>
      <c r="K104" t="n">
        <v>0</v>
      </c>
      <c r="L104" t="n">
        <v>0</v>
      </c>
      <c r="M104" t="n">
        <v>0</v>
      </c>
      <c r="N104" t="n">
        <v>0</v>
      </c>
      <c r="O104" t="n">
        <v>0</v>
      </c>
      <c r="P104" t="n">
        <v>0</v>
      </c>
      <c r="Q104" t="n">
        <v>0</v>
      </c>
      <c r="R104" s="2" t="inlineStr"/>
    </row>
    <row r="105" ht="15" customHeight="1">
      <c r="A105" t="inlineStr">
        <is>
          <t>A 18711-2023</t>
        </is>
      </c>
      <c r="B105" s="1" t="n">
        <v>45043.6433912037</v>
      </c>
      <c r="C105" s="1" t="n">
        <v>46171</v>
      </c>
      <c r="D105" t="inlineStr">
        <is>
          <t>STOCKHOLMS LÄN</t>
        </is>
      </c>
      <c r="E105" t="inlineStr">
        <is>
          <t>ÖSTERÅKER</t>
        </is>
      </c>
      <c r="G105" t="n">
        <v>3</v>
      </c>
      <c r="H105" t="n">
        <v>0</v>
      </c>
      <c r="I105" t="n">
        <v>0</v>
      </c>
      <c r="J105" t="n">
        <v>0</v>
      </c>
      <c r="K105" t="n">
        <v>0</v>
      </c>
      <c r="L105" t="n">
        <v>0</v>
      </c>
      <c r="M105" t="n">
        <v>0</v>
      </c>
      <c r="N105" t="n">
        <v>0</v>
      </c>
      <c r="O105" t="n">
        <v>0</v>
      </c>
      <c r="P105" t="n">
        <v>0</v>
      </c>
      <c r="Q105" t="n">
        <v>0</v>
      </c>
      <c r="R105" s="2" t="inlineStr"/>
    </row>
    <row r="106" ht="15" customHeight="1">
      <c r="A106" t="inlineStr">
        <is>
          <t>A 1136-2023</t>
        </is>
      </c>
      <c r="B106" s="1" t="n">
        <v>44935</v>
      </c>
      <c r="C106" s="1" t="n">
        <v>46171</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39394-2023</t>
        </is>
      </c>
      <c r="B107" s="1" t="n">
        <v>45166</v>
      </c>
      <c r="C107" s="1" t="n">
        <v>46171</v>
      </c>
      <c r="D107" t="inlineStr">
        <is>
          <t>STOCKHOLMS LÄN</t>
        </is>
      </c>
      <c r="E107" t="inlineStr">
        <is>
          <t>ÖSTERÅKER</t>
        </is>
      </c>
      <c r="G107" t="n">
        <v>0.4</v>
      </c>
      <c r="H107" t="n">
        <v>0</v>
      </c>
      <c r="I107" t="n">
        <v>0</v>
      </c>
      <c r="J107" t="n">
        <v>0</v>
      </c>
      <c r="K107" t="n">
        <v>0</v>
      </c>
      <c r="L107" t="n">
        <v>0</v>
      </c>
      <c r="M107" t="n">
        <v>0</v>
      </c>
      <c r="N107" t="n">
        <v>0</v>
      </c>
      <c r="O107" t="n">
        <v>0</v>
      </c>
      <c r="P107" t="n">
        <v>0</v>
      </c>
      <c r="Q107" t="n">
        <v>0</v>
      </c>
      <c r="R107" s="2" t="inlineStr"/>
    </row>
    <row r="108" ht="15" customHeight="1">
      <c r="A108" t="inlineStr">
        <is>
          <t>A 30949-2024</t>
        </is>
      </c>
      <c r="B108" s="1" t="n">
        <v>45499</v>
      </c>
      <c r="C108" s="1" t="n">
        <v>46171</v>
      </c>
      <c r="D108" t="inlineStr">
        <is>
          <t>STOCKHOLMS LÄN</t>
        </is>
      </c>
      <c r="E108" t="inlineStr">
        <is>
          <t>ÖSTERÅKER</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845-2024</t>
        </is>
      </c>
      <c r="B109" s="1" t="n">
        <v>45300.91423611111</v>
      </c>
      <c r="C109" s="1" t="n">
        <v>46171</v>
      </c>
      <c r="D109" t="inlineStr">
        <is>
          <t>STOCKHOLMS LÄN</t>
        </is>
      </c>
      <c r="E109" t="inlineStr">
        <is>
          <t>ÖSTERÅKER</t>
        </is>
      </c>
      <c r="G109" t="n">
        <v>10.1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46171</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19404-2024</t>
        </is>
      </c>
      <c r="B111" s="1" t="n">
        <v>45428</v>
      </c>
      <c r="C111" s="1" t="n">
        <v>46171</v>
      </c>
      <c r="D111" t="inlineStr">
        <is>
          <t>STOCKHOLMS LÄN</t>
        </is>
      </c>
      <c r="E111" t="inlineStr">
        <is>
          <t>ÖSTERÅKER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46171</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46171</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c r="A114" t="inlineStr">
        <is>
          <t>A 21796-2025</t>
        </is>
      </c>
      <c r="B114" s="1" t="n">
        <v>45783.68135416666</v>
      </c>
      <c r="C114" s="1" t="n">
        <v>46171</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2026-05-29T10:55:58Z</dcterms:created>
  <dcterms:modified xmlns:dcterms="http://purl.org/dc/terms/" xmlns:xsi="http://www.w3.org/2001/XMLSchema-instance" xsi:type="dcterms:W3CDTF">2026-05-29T10:55:58Z</dcterms:modified>
</cp:coreProperties>
</file>