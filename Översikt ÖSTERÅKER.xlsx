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45887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45887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45887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45887</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45887</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45887</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45887</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45887</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45887</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54703-2024</t>
        </is>
      </c>
      <c r="B11" s="1" t="n">
        <v>45618</v>
      </c>
      <c r="C11" s="1" t="n">
        <v>45887</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61363-2022</t>
        </is>
      </c>
      <c r="B12" s="1" t="n">
        <v>44915</v>
      </c>
      <c r="C12" s="1" t="n">
        <v>45887</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31523-2022</t>
        </is>
      </c>
      <c r="B13" s="1" t="n">
        <v>44775.22490740741</v>
      </c>
      <c r="C13" s="1" t="n">
        <v>45887</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43308-2024</t>
        </is>
      </c>
      <c r="B14" s="1" t="n">
        <v>45568</v>
      </c>
      <c r="C14" s="1" t="n">
        <v>45887</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22172-2022</t>
        </is>
      </c>
      <c r="B15" s="1" t="n">
        <v>44712</v>
      </c>
      <c r="C15" s="1" t="n">
        <v>45887</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27921-2025</t>
        </is>
      </c>
      <c r="B16" s="1" t="n">
        <v>45817.4846875</v>
      </c>
      <c r="C16" s="1" t="n">
        <v>45887</v>
      </c>
      <c r="D16" t="inlineStr">
        <is>
          <t>STOCKHOLMS LÄN</t>
        </is>
      </c>
      <c r="E16" t="inlineStr">
        <is>
          <t>ÖSTERÅKER</t>
        </is>
      </c>
      <c r="G16" t="n">
        <v>11.8</v>
      </c>
      <c r="H16" t="n">
        <v>1</v>
      </c>
      <c r="I16" t="n">
        <v>0</v>
      </c>
      <c r="J16" t="n">
        <v>0</v>
      </c>
      <c r="K16" t="n">
        <v>0</v>
      </c>
      <c r="L16" t="n">
        <v>0</v>
      </c>
      <c r="M16" t="n">
        <v>0</v>
      </c>
      <c r="N16" t="n">
        <v>0</v>
      </c>
      <c r="O16" t="n">
        <v>0</v>
      </c>
      <c r="P16" t="n">
        <v>0</v>
      </c>
      <c r="Q16" t="n">
        <v>1</v>
      </c>
      <c r="R16" s="2" t="inlineStr">
        <is>
          <t>Mindre vattensalamander</t>
        </is>
      </c>
      <c r="S16">
        <f>HYPERLINK("https://klasma.github.io/Logging_0117/artfynd/A 27921-2025 artfynd.xlsx", "A 27921-2025")</f>
        <v/>
      </c>
      <c r="T16">
        <f>HYPERLINK("https://klasma.github.io/Logging_0117/kartor/A 27921-2025 karta.png", "A 27921-2025")</f>
        <v/>
      </c>
      <c r="V16">
        <f>HYPERLINK("https://klasma.github.io/Logging_0117/klagomål/A 27921-2025 FSC-klagomål.docx", "A 27921-2025")</f>
        <v/>
      </c>
      <c r="W16">
        <f>HYPERLINK("https://klasma.github.io/Logging_0117/klagomålsmail/A 27921-2025 FSC-klagomål mail.docx", "A 27921-2025")</f>
        <v/>
      </c>
      <c r="X16">
        <f>HYPERLINK("https://klasma.github.io/Logging_0117/tillsyn/A 27921-2025 tillsynsbegäran.docx", "A 27921-2025")</f>
        <v/>
      </c>
      <c r="Y16">
        <f>HYPERLINK("https://klasma.github.io/Logging_0117/tillsynsmail/A 27921-2025 tillsynsbegäran mail.docx", "A 27921-2025")</f>
        <v/>
      </c>
    </row>
    <row r="17" ht="15" customHeight="1">
      <c r="A17" t="inlineStr">
        <is>
          <t>A 31716-2025</t>
        </is>
      </c>
      <c r="B17" s="1" t="n">
        <v>45834</v>
      </c>
      <c r="C17" s="1" t="n">
        <v>45887</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3919-2023</t>
        </is>
      </c>
      <c r="B18" s="1" t="n">
        <v>44952</v>
      </c>
      <c r="C18" s="1" t="n">
        <v>45887</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13942-2021</t>
        </is>
      </c>
      <c r="B19" s="1" t="n">
        <v>44277</v>
      </c>
      <c r="C19" s="1" t="n">
        <v>45887</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3914-2023</t>
        </is>
      </c>
      <c r="B20" s="1" t="n">
        <v>44952.30934027778</v>
      </c>
      <c r="C20" s="1" t="n">
        <v>45887</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848-2022</t>
        </is>
      </c>
      <c r="B21" s="1" t="n">
        <v>44569</v>
      </c>
      <c r="C21" s="1" t="n">
        <v>45887</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45887</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45887</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45887</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45887</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45887</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45887</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45887</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45887</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45887</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45887</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45887</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45887</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17173-2022</t>
        </is>
      </c>
      <c r="B34" s="1" t="n">
        <v>44677</v>
      </c>
      <c r="C34" s="1" t="n">
        <v>45887</v>
      </c>
      <c r="D34" t="inlineStr">
        <is>
          <t>STOCKHOLMS LÄN</t>
        </is>
      </c>
      <c r="E34" t="inlineStr">
        <is>
          <t>ÖSTERÅKER</t>
        </is>
      </c>
      <c r="G34" t="n">
        <v>2.8</v>
      </c>
      <c r="H34" t="n">
        <v>0</v>
      </c>
      <c r="I34" t="n">
        <v>0</v>
      </c>
      <c r="J34" t="n">
        <v>0</v>
      </c>
      <c r="K34" t="n">
        <v>0</v>
      </c>
      <c r="L34" t="n">
        <v>0</v>
      </c>
      <c r="M34" t="n">
        <v>0</v>
      </c>
      <c r="N34" t="n">
        <v>0</v>
      </c>
      <c r="O34" t="n">
        <v>0</v>
      </c>
      <c r="P34" t="n">
        <v>0</v>
      </c>
      <c r="Q34" t="n">
        <v>0</v>
      </c>
      <c r="R34" s="2" t="inlineStr"/>
    </row>
    <row r="35" ht="15" customHeight="1">
      <c r="A35" t="inlineStr">
        <is>
          <t>A 10082-2022</t>
        </is>
      </c>
      <c r="B35" s="1" t="n">
        <v>44621</v>
      </c>
      <c r="C35" s="1" t="n">
        <v>45887</v>
      </c>
      <c r="D35" t="inlineStr">
        <is>
          <t>STOCKHOLMS LÄN</t>
        </is>
      </c>
      <c r="E35" t="inlineStr">
        <is>
          <t>ÖSTERÅKER</t>
        </is>
      </c>
      <c r="G35" t="n">
        <v>6</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45887</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13921-2021</t>
        </is>
      </c>
      <c r="B37" s="1" t="n">
        <v>44277</v>
      </c>
      <c r="C37" s="1" t="n">
        <v>45887</v>
      </c>
      <c r="D37" t="inlineStr">
        <is>
          <t>STOCKHOLMS LÄN</t>
        </is>
      </c>
      <c r="E37" t="inlineStr">
        <is>
          <t>ÖSTERÅKER</t>
        </is>
      </c>
      <c r="G37" t="n">
        <v>0.9</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45887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45887</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9865-2025</t>
        </is>
      </c>
      <c r="B40" s="1" t="n">
        <v>45716</v>
      </c>
      <c r="C40" s="1" t="n">
        <v>45887</v>
      </c>
      <c r="D40" t="inlineStr">
        <is>
          <t>STOCKHOLMS LÄN</t>
        </is>
      </c>
      <c r="E40" t="inlineStr">
        <is>
          <t>ÖSTERÅKER</t>
        </is>
      </c>
      <c r="G40" t="n">
        <v>7</v>
      </c>
      <c r="H40" t="n">
        <v>0</v>
      </c>
      <c r="I40" t="n">
        <v>0</v>
      </c>
      <c r="J40" t="n">
        <v>0</v>
      </c>
      <c r="K40" t="n">
        <v>0</v>
      </c>
      <c r="L40" t="n">
        <v>0</v>
      </c>
      <c r="M40" t="n">
        <v>0</v>
      </c>
      <c r="N40" t="n">
        <v>0</v>
      </c>
      <c r="O40" t="n">
        <v>0</v>
      </c>
      <c r="P40" t="n">
        <v>0</v>
      </c>
      <c r="Q40" t="n">
        <v>0</v>
      </c>
      <c r="R40" s="2" t="inlineStr"/>
    </row>
    <row r="41" ht="15" customHeight="1">
      <c r="A41" t="inlineStr">
        <is>
          <t>A 28405-2022</t>
        </is>
      </c>
      <c r="B41" s="1" t="n">
        <v>44747</v>
      </c>
      <c r="C41" s="1" t="n">
        <v>45887</v>
      </c>
      <c r="D41" t="inlineStr">
        <is>
          <t>STOCKHOLMS LÄN</t>
        </is>
      </c>
      <c r="E41" t="inlineStr">
        <is>
          <t>ÖSTERÅKER</t>
        </is>
      </c>
      <c r="G41" t="n">
        <v>1.9</v>
      </c>
      <c r="H41" t="n">
        <v>0</v>
      </c>
      <c r="I41" t="n">
        <v>0</v>
      </c>
      <c r="J41" t="n">
        <v>0</v>
      </c>
      <c r="K41" t="n">
        <v>0</v>
      </c>
      <c r="L41" t="n">
        <v>0</v>
      </c>
      <c r="M41" t="n">
        <v>0</v>
      </c>
      <c r="N41" t="n">
        <v>0</v>
      </c>
      <c r="O41" t="n">
        <v>0</v>
      </c>
      <c r="P41" t="n">
        <v>0</v>
      </c>
      <c r="Q41" t="n">
        <v>0</v>
      </c>
      <c r="R41" s="2" t="inlineStr"/>
    </row>
    <row r="42" ht="15" customHeight="1">
      <c r="A42" t="inlineStr">
        <is>
          <t>A 13366-2024</t>
        </is>
      </c>
      <c r="B42" s="1" t="n">
        <v>45387</v>
      </c>
      <c r="C42" s="1" t="n">
        <v>45887</v>
      </c>
      <c r="D42" t="inlineStr">
        <is>
          <t>STOCKHOLMS LÄN</t>
        </is>
      </c>
      <c r="E42" t="inlineStr">
        <is>
          <t>ÖSTERÅKER</t>
        </is>
      </c>
      <c r="G42" t="n">
        <v>13.7</v>
      </c>
      <c r="H42" t="n">
        <v>0</v>
      </c>
      <c r="I42" t="n">
        <v>0</v>
      </c>
      <c r="J42" t="n">
        <v>0</v>
      </c>
      <c r="K42" t="n">
        <v>0</v>
      </c>
      <c r="L42" t="n">
        <v>0</v>
      </c>
      <c r="M42" t="n">
        <v>0</v>
      </c>
      <c r="N42" t="n">
        <v>0</v>
      </c>
      <c r="O42" t="n">
        <v>0</v>
      </c>
      <c r="P42" t="n">
        <v>0</v>
      </c>
      <c r="Q42" t="n">
        <v>0</v>
      </c>
      <c r="R42" s="2" t="inlineStr"/>
    </row>
    <row r="43" ht="15" customHeight="1">
      <c r="A43" t="inlineStr">
        <is>
          <t>A 61360-2022</t>
        </is>
      </c>
      <c r="B43" s="1" t="n">
        <v>44915</v>
      </c>
      <c r="C43" s="1" t="n">
        <v>45887</v>
      </c>
      <c r="D43" t="inlineStr">
        <is>
          <t>STOCKHOLMS LÄN</t>
        </is>
      </c>
      <c r="E43" t="inlineStr">
        <is>
          <t>ÖSTERÅKER</t>
        </is>
      </c>
      <c r="G43" t="n">
        <v>2.3</v>
      </c>
      <c r="H43" t="n">
        <v>0</v>
      </c>
      <c r="I43" t="n">
        <v>0</v>
      </c>
      <c r="J43" t="n">
        <v>0</v>
      </c>
      <c r="K43" t="n">
        <v>0</v>
      </c>
      <c r="L43" t="n">
        <v>0</v>
      </c>
      <c r="M43" t="n">
        <v>0</v>
      </c>
      <c r="N43" t="n">
        <v>0</v>
      </c>
      <c r="O43" t="n">
        <v>0</v>
      </c>
      <c r="P43" t="n">
        <v>0</v>
      </c>
      <c r="Q43" t="n">
        <v>0</v>
      </c>
      <c r="R43" s="2" t="inlineStr"/>
    </row>
    <row r="44" ht="15" customHeight="1">
      <c r="A44" t="inlineStr">
        <is>
          <t>A 37244-2024</t>
        </is>
      </c>
      <c r="B44" s="1" t="n">
        <v>45540</v>
      </c>
      <c r="C44" s="1" t="n">
        <v>45887</v>
      </c>
      <c r="D44" t="inlineStr">
        <is>
          <t>STOCKHOLMS LÄN</t>
        </is>
      </c>
      <c r="E44" t="inlineStr">
        <is>
          <t>ÖSTERÅKER</t>
        </is>
      </c>
      <c r="G44" t="n">
        <v>2.6</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45887</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45887</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62108-2022</t>
        </is>
      </c>
      <c r="B47" s="1" t="n">
        <v>44920</v>
      </c>
      <c r="C47" s="1" t="n">
        <v>45887</v>
      </c>
      <c r="D47" t="inlineStr">
        <is>
          <t>STOCKHOLMS LÄN</t>
        </is>
      </c>
      <c r="E47" t="inlineStr">
        <is>
          <t>ÖSTERÅKER</t>
        </is>
      </c>
      <c r="G47" t="n">
        <v>1.5</v>
      </c>
      <c r="H47" t="n">
        <v>0</v>
      </c>
      <c r="I47" t="n">
        <v>0</v>
      </c>
      <c r="J47" t="n">
        <v>0</v>
      </c>
      <c r="K47" t="n">
        <v>0</v>
      </c>
      <c r="L47" t="n">
        <v>0</v>
      </c>
      <c r="M47" t="n">
        <v>0</v>
      </c>
      <c r="N47" t="n">
        <v>0</v>
      </c>
      <c r="O47" t="n">
        <v>0</v>
      </c>
      <c r="P47" t="n">
        <v>0</v>
      </c>
      <c r="Q47" t="n">
        <v>0</v>
      </c>
      <c r="R47" s="2" t="inlineStr"/>
    </row>
    <row r="48" ht="15" customHeight="1">
      <c r="A48" t="inlineStr">
        <is>
          <t>A 21786-2025</t>
        </is>
      </c>
      <c r="B48" s="1" t="n">
        <v>45783.67215277778</v>
      </c>
      <c r="C48" s="1" t="n">
        <v>45887</v>
      </c>
      <c r="D48" t="inlineStr">
        <is>
          <t>STOCKHOLMS LÄN</t>
        </is>
      </c>
      <c r="E48" t="inlineStr">
        <is>
          <t>ÖSTERÅKER</t>
        </is>
      </c>
      <c r="G48" t="n">
        <v>3.8</v>
      </c>
      <c r="H48" t="n">
        <v>0</v>
      </c>
      <c r="I48" t="n">
        <v>0</v>
      </c>
      <c r="J48" t="n">
        <v>0</v>
      </c>
      <c r="K48" t="n">
        <v>0</v>
      </c>
      <c r="L48" t="n">
        <v>0</v>
      </c>
      <c r="M48" t="n">
        <v>0</v>
      </c>
      <c r="N48" t="n">
        <v>0</v>
      </c>
      <c r="O48" t="n">
        <v>0</v>
      </c>
      <c r="P48" t="n">
        <v>0</v>
      </c>
      <c r="Q48" t="n">
        <v>0</v>
      </c>
      <c r="R48" s="2" t="inlineStr"/>
    </row>
    <row r="49" ht="15" customHeight="1">
      <c r="A49" t="inlineStr">
        <is>
          <t>A 21796-2025</t>
        </is>
      </c>
      <c r="B49" s="1" t="n">
        <v>45783.68135416666</v>
      </c>
      <c r="C49" s="1" t="n">
        <v>45887</v>
      </c>
      <c r="D49" t="inlineStr">
        <is>
          <t>STOCKHOLMS LÄN</t>
        </is>
      </c>
      <c r="E49" t="inlineStr">
        <is>
          <t>ÖSTERÅKER</t>
        </is>
      </c>
      <c r="G49" t="n">
        <v>2.5</v>
      </c>
      <c r="H49" t="n">
        <v>0</v>
      </c>
      <c r="I49" t="n">
        <v>0</v>
      </c>
      <c r="J49" t="n">
        <v>0</v>
      </c>
      <c r="K49" t="n">
        <v>0</v>
      </c>
      <c r="L49" t="n">
        <v>0</v>
      </c>
      <c r="M49" t="n">
        <v>0</v>
      </c>
      <c r="N49" t="n">
        <v>0</v>
      </c>
      <c r="O49" t="n">
        <v>0</v>
      </c>
      <c r="P49" t="n">
        <v>0</v>
      </c>
      <c r="Q49" t="n">
        <v>0</v>
      </c>
      <c r="R49" s="2" t="inlineStr"/>
    </row>
    <row r="50" ht="15" customHeight="1">
      <c r="A50" t="inlineStr">
        <is>
          <t>A 6655-2023</t>
        </is>
      </c>
      <c r="B50" s="1" t="n">
        <v>44966.60668981481</v>
      </c>
      <c r="C50" s="1" t="n">
        <v>45887</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31134-2023</t>
        </is>
      </c>
      <c r="B51" s="1" t="n">
        <v>45113</v>
      </c>
      <c r="C51" s="1" t="n">
        <v>45887</v>
      </c>
      <c r="D51" t="inlineStr">
        <is>
          <t>STOCKHOLMS LÄN</t>
        </is>
      </c>
      <c r="E51" t="inlineStr">
        <is>
          <t>ÖSTERÅKER</t>
        </is>
      </c>
      <c r="G51" t="n">
        <v>2.1</v>
      </c>
      <c r="H51" t="n">
        <v>0</v>
      </c>
      <c r="I51" t="n">
        <v>0</v>
      </c>
      <c r="J51" t="n">
        <v>0</v>
      </c>
      <c r="K51" t="n">
        <v>0</v>
      </c>
      <c r="L51" t="n">
        <v>0</v>
      </c>
      <c r="M51" t="n">
        <v>0</v>
      </c>
      <c r="N51" t="n">
        <v>0</v>
      </c>
      <c r="O51" t="n">
        <v>0</v>
      </c>
      <c r="P51" t="n">
        <v>0</v>
      </c>
      <c r="Q51" t="n">
        <v>0</v>
      </c>
      <c r="R51" s="2" t="inlineStr"/>
    </row>
    <row r="52" ht="15" customHeight="1">
      <c r="A52" t="inlineStr">
        <is>
          <t>A 57048-2024</t>
        </is>
      </c>
      <c r="B52" s="1" t="n">
        <v>45629.33938657407</v>
      </c>
      <c r="C52" s="1" t="n">
        <v>45887</v>
      </c>
      <c r="D52" t="inlineStr">
        <is>
          <t>STOCKHOLMS LÄN</t>
        </is>
      </c>
      <c r="E52" t="inlineStr">
        <is>
          <t>ÖSTERÅKER</t>
        </is>
      </c>
      <c r="G52" t="n">
        <v>3</v>
      </c>
      <c r="H52" t="n">
        <v>0</v>
      </c>
      <c r="I52" t="n">
        <v>0</v>
      </c>
      <c r="J52" t="n">
        <v>0</v>
      </c>
      <c r="K52" t="n">
        <v>0</v>
      </c>
      <c r="L52" t="n">
        <v>0</v>
      </c>
      <c r="M52" t="n">
        <v>0</v>
      </c>
      <c r="N52" t="n">
        <v>0</v>
      </c>
      <c r="O52" t="n">
        <v>0</v>
      </c>
      <c r="P52" t="n">
        <v>0</v>
      </c>
      <c r="Q52" t="n">
        <v>0</v>
      </c>
      <c r="R52" s="2" t="inlineStr"/>
    </row>
    <row r="53" ht="15" customHeight="1">
      <c r="A53" t="inlineStr">
        <is>
          <t>A 57055-2024</t>
        </is>
      </c>
      <c r="B53" s="1" t="n">
        <v>45629.34627314815</v>
      </c>
      <c r="C53" s="1" t="n">
        <v>45887</v>
      </c>
      <c r="D53" t="inlineStr">
        <is>
          <t>STOCKHOLMS LÄN</t>
        </is>
      </c>
      <c r="E53" t="inlineStr">
        <is>
          <t>ÖSTERÅKER</t>
        </is>
      </c>
      <c r="G53" t="n">
        <v>0.5</v>
      </c>
      <c r="H53" t="n">
        <v>0</v>
      </c>
      <c r="I53" t="n">
        <v>0</v>
      </c>
      <c r="J53" t="n">
        <v>0</v>
      </c>
      <c r="K53" t="n">
        <v>0</v>
      </c>
      <c r="L53" t="n">
        <v>0</v>
      </c>
      <c r="M53" t="n">
        <v>0</v>
      </c>
      <c r="N53" t="n">
        <v>0</v>
      </c>
      <c r="O53" t="n">
        <v>0</v>
      </c>
      <c r="P53" t="n">
        <v>0</v>
      </c>
      <c r="Q53" t="n">
        <v>0</v>
      </c>
      <c r="R53" s="2" t="inlineStr"/>
    </row>
    <row r="54" ht="15" customHeight="1">
      <c r="A54" t="inlineStr">
        <is>
          <t>A 23144-2024</t>
        </is>
      </c>
      <c r="B54" s="1" t="n">
        <v>45450.63202546296</v>
      </c>
      <c r="C54" s="1" t="n">
        <v>45887</v>
      </c>
      <c r="D54" t="inlineStr">
        <is>
          <t>STOCKHOLMS LÄN</t>
        </is>
      </c>
      <c r="E54" t="inlineStr">
        <is>
          <t>ÖSTERÅKER</t>
        </is>
      </c>
      <c r="F54" t="inlineStr">
        <is>
          <t>Övriga Aktiebolag</t>
        </is>
      </c>
      <c r="G54" t="n">
        <v>4.7</v>
      </c>
      <c r="H54" t="n">
        <v>0</v>
      </c>
      <c r="I54" t="n">
        <v>0</v>
      </c>
      <c r="J54" t="n">
        <v>0</v>
      </c>
      <c r="K54" t="n">
        <v>0</v>
      </c>
      <c r="L54" t="n">
        <v>0</v>
      </c>
      <c r="M54" t="n">
        <v>0</v>
      </c>
      <c r="N54" t="n">
        <v>0</v>
      </c>
      <c r="O54" t="n">
        <v>0</v>
      </c>
      <c r="P54" t="n">
        <v>0</v>
      </c>
      <c r="Q54" t="n">
        <v>0</v>
      </c>
      <c r="R54" s="2" t="inlineStr"/>
    </row>
    <row r="55" ht="15" customHeight="1">
      <c r="A55" t="inlineStr">
        <is>
          <t>A 34079-2025</t>
        </is>
      </c>
      <c r="B55" s="1" t="n">
        <v>45842</v>
      </c>
      <c r="C55" s="1" t="n">
        <v>45887</v>
      </c>
      <c r="D55" t="inlineStr">
        <is>
          <t>STOCKHOLMS LÄN</t>
        </is>
      </c>
      <c r="E55" t="inlineStr">
        <is>
          <t>ÖSTERÅKER</t>
        </is>
      </c>
      <c r="F55" t="inlineStr">
        <is>
          <t>Övriga Aktiebolag</t>
        </is>
      </c>
      <c r="G55" t="n">
        <v>4.1</v>
      </c>
      <c r="H55" t="n">
        <v>0</v>
      </c>
      <c r="I55" t="n">
        <v>0</v>
      </c>
      <c r="J55" t="n">
        <v>0</v>
      </c>
      <c r="K55" t="n">
        <v>0</v>
      </c>
      <c r="L55" t="n">
        <v>0</v>
      </c>
      <c r="M55" t="n">
        <v>0</v>
      </c>
      <c r="N55" t="n">
        <v>0</v>
      </c>
      <c r="O55" t="n">
        <v>0</v>
      </c>
      <c r="P55" t="n">
        <v>0</v>
      </c>
      <c r="Q55" t="n">
        <v>0</v>
      </c>
      <c r="R55" s="2" t="inlineStr"/>
    </row>
    <row r="56" ht="15" customHeight="1">
      <c r="A56" t="inlineStr">
        <is>
          <t>A 3326-2022</t>
        </is>
      </c>
      <c r="B56" s="1" t="n">
        <v>44583</v>
      </c>
      <c r="C56" s="1" t="n">
        <v>45887</v>
      </c>
      <c r="D56" t="inlineStr">
        <is>
          <t>STOCKHOLMS LÄN</t>
        </is>
      </c>
      <c r="E56" t="inlineStr">
        <is>
          <t>ÖSTERÅKER</t>
        </is>
      </c>
      <c r="F56" t="inlineStr">
        <is>
          <t>Övriga Aktiebolag</t>
        </is>
      </c>
      <c r="G56" t="n">
        <v>2.7</v>
      </c>
      <c r="H56" t="n">
        <v>0</v>
      </c>
      <c r="I56" t="n">
        <v>0</v>
      </c>
      <c r="J56" t="n">
        <v>0</v>
      </c>
      <c r="K56" t="n">
        <v>0</v>
      </c>
      <c r="L56" t="n">
        <v>0</v>
      </c>
      <c r="M56" t="n">
        <v>0</v>
      </c>
      <c r="N56" t="n">
        <v>0</v>
      </c>
      <c r="O56" t="n">
        <v>0</v>
      </c>
      <c r="P56" t="n">
        <v>0</v>
      </c>
      <c r="Q56" t="n">
        <v>0</v>
      </c>
      <c r="R56" s="2" t="inlineStr"/>
    </row>
    <row r="57" ht="15" customHeight="1">
      <c r="A57" t="inlineStr">
        <is>
          <t>A 9842-2025</t>
        </is>
      </c>
      <c r="B57" s="1" t="n">
        <v>45716</v>
      </c>
      <c r="C57" s="1" t="n">
        <v>45887</v>
      </c>
      <c r="D57" t="inlineStr">
        <is>
          <t>STOCKHOLMS LÄN</t>
        </is>
      </c>
      <c r="E57" t="inlineStr">
        <is>
          <t>ÖSTERÅKER</t>
        </is>
      </c>
      <c r="G57" t="n">
        <v>4.8</v>
      </c>
      <c r="H57" t="n">
        <v>0</v>
      </c>
      <c r="I57" t="n">
        <v>0</v>
      </c>
      <c r="J57" t="n">
        <v>0</v>
      </c>
      <c r="K57" t="n">
        <v>0</v>
      </c>
      <c r="L57" t="n">
        <v>0</v>
      </c>
      <c r="M57" t="n">
        <v>0</v>
      </c>
      <c r="N57" t="n">
        <v>0</v>
      </c>
      <c r="O57" t="n">
        <v>0</v>
      </c>
      <c r="P57" t="n">
        <v>0</v>
      </c>
      <c r="Q57" t="n">
        <v>0</v>
      </c>
      <c r="R57" s="2" t="inlineStr"/>
    </row>
    <row r="58" ht="15" customHeight="1">
      <c r="A58" t="inlineStr">
        <is>
          <t>A 56909-2024</t>
        </is>
      </c>
      <c r="B58" s="1" t="n">
        <v>45628.59060185185</v>
      </c>
      <c r="C58" s="1" t="n">
        <v>45887</v>
      </c>
      <c r="D58" t="inlineStr">
        <is>
          <t>STOCKHOLMS LÄN</t>
        </is>
      </c>
      <c r="E58" t="inlineStr">
        <is>
          <t>ÖSTERÅKER</t>
        </is>
      </c>
      <c r="G58" t="n">
        <v>1</v>
      </c>
      <c r="H58" t="n">
        <v>0</v>
      </c>
      <c r="I58" t="n">
        <v>0</v>
      </c>
      <c r="J58" t="n">
        <v>0</v>
      </c>
      <c r="K58" t="n">
        <v>0</v>
      </c>
      <c r="L58" t="n">
        <v>0</v>
      </c>
      <c r="M58" t="n">
        <v>0</v>
      </c>
      <c r="N58" t="n">
        <v>0</v>
      </c>
      <c r="O58" t="n">
        <v>0</v>
      </c>
      <c r="P58" t="n">
        <v>0</v>
      </c>
      <c r="Q58" t="n">
        <v>0</v>
      </c>
      <c r="R58" s="2" t="inlineStr"/>
    </row>
    <row r="59" ht="15" customHeight="1">
      <c r="A59" t="inlineStr">
        <is>
          <t>A 22080-2024</t>
        </is>
      </c>
      <c r="B59" s="1" t="n">
        <v>45443.64962962963</v>
      </c>
      <c r="C59" s="1" t="n">
        <v>45887</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28143-2024</t>
        </is>
      </c>
      <c r="B60" s="1" t="n">
        <v>45476</v>
      </c>
      <c r="C60" s="1" t="n">
        <v>45887</v>
      </c>
      <c r="D60" t="inlineStr">
        <is>
          <t>STOCKHOLMS LÄN</t>
        </is>
      </c>
      <c r="E60" t="inlineStr">
        <is>
          <t>ÖSTERÅKER</t>
        </is>
      </c>
      <c r="F60" t="inlineStr">
        <is>
          <t>Övriga Aktiebolag</t>
        </is>
      </c>
      <c r="G60" t="n">
        <v>2.2</v>
      </c>
      <c r="H60" t="n">
        <v>0</v>
      </c>
      <c r="I60" t="n">
        <v>0</v>
      </c>
      <c r="J60" t="n">
        <v>0</v>
      </c>
      <c r="K60" t="n">
        <v>0</v>
      </c>
      <c r="L60" t="n">
        <v>0</v>
      </c>
      <c r="M60" t="n">
        <v>0</v>
      </c>
      <c r="N60" t="n">
        <v>0</v>
      </c>
      <c r="O60" t="n">
        <v>0</v>
      </c>
      <c r="P60" t="n">
        <v>0</v>
      </c>
      <c r="Q60" t="n">
        <v>0</v>
      </c>
      <c r="R60" s="2" t="inlineStr"/>
    </row>
    <row r="61" ht="15" customHeight="1">
      <c r="A61" t="inlineStr">
        <is>
          <t>A 16738-2022</t>
        </is>
      </c>
      <c r="B61" s="1" t="n">
        <v>44673</v>
      </c>
      <c r="C61" s="1" t="n">
        <v>45887</v>
      </c>
      <c r="D61" t="inlineStr">
        <is>
          <t>STOCKHOLMS LÄN</t>
        </is>
      </c>
      <c r="E61" t="inlineStr">
        <is>
          <t>ÖSTERÅKER</t>
        </is>
      </c>
      <c r="G61" t="n">
        <v>1.1</v>
      </c>
      <c r="H61" t="n">
        <v>0</v>
      </c>
      <c r="I61" t="n">
        <v>0</v>
      </c>
      <c r="J61" t="n">
        <v>0</v>
      </c>
      <c r="K61" t="n">
        <v>0</v>
      </c>
      <c r="L61" t="n">
        <v>0</v>
      </c>
      <c r="M61" t="n">
        <v>0</v>
      </c>
      <c r="N61" t="n">
        <v>0</v>
      </c>
      <c r="O61" t="n">
        <v>0</v>
      </c>
      <c r="P61" t="n">
        <v>0</v>
      </c>
      <c r="Q61" t="n">
        <v>0</v>
      </c>
      <c r="R61" s="2" t="inlineStr"/>
    </row>
    <row r="62" ht="15" customHeight="1">
      <c r="A62" t="inlineStr">
        <is>
          <t>A 27137-2025</t>
        </is>
      </c>
      <c r="B62" s="1" t="n">
        <v>45811.95890046296</v>
      </c>
      <c r="C62" s="1" t="n">
        <v>45887</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61323-2022</t>
        </is>
      </c>
      <c r="B63" s="1" t="n">
        <v>44915</v>
      </c>
      <c r="C63" s="1" t="n">
        <v>45887</v>
      </c>
      <c r="D63" t="inlineStr">
        <is>
          <t>STOCKHOLMS LÄN</t>
        </is>
      </c>
      <c r="E63" t="inlineStr">
        <is>
          <t>ÖSTERÅKER</t>
        </is>
      </c>
      <c r="G63" t="n">
        <v>2.7</v>
      </c>
      <c r="H63" t="n">
        <v>0</v>
      </c>
      <c r="I63" t="n">
        <v>0</v>
      </c>
      <c r="J63" t="n">
        <v>0</v>
      </c>
      <c r="K63" t="n">
        <v>0</v>
      </c>
      <c r="L63" t="n">
        <v>0</v>
      </c>
      <c r="M63" t="n">
        <v>0</v>
      </c>
      <c r="N63" t="n">
        <v>0</v>
      </c>
      <c r="O63" t="n">
        <v>0</v>
      </c>
      <c r="P63" t="n">
        <v>0</v>
      </c>
      <c r="Q63" t="n">
        <v>0</v>
      </c>
      <c r="R63" s="2" t="inlineStr"/>
    </row>
    <row r="64" ht="15" customHeight="1">
      <c r="A64" t="inlineStr">
        <is>
          <t>A 27948-2025</t>
        </is>
      </c>
      <c r="B64" s="1" t="n">
        <v>45817.52460648148</v>
      </c>
      <c r="C64" s="1" t="n">
        <v>45887</v>
      </c>
      <c r="D64" t="inlineStr">
        <is>
          <t>STOCKHOLMS LÄN</t>
        </is>
      </c>
      <c r="E64" t="inlineStr">
        <is>
          <t>ÖSTERÅKER</t>
        </is>
      </c>
      <c r="G64" t="n">
        <v>5.6</v>
      </c>
      <c r="H64" t="n">
        <v>0</v>
      </c>
      <c r="I64" t="n">
        <v>0</v>
      </c>
      <c r="J64" t="n">
        <v>0</v>
      </c>
      <c r="K64" t="n">
        <v>0</v>
      </c>
      <c r="L64" t="n">
        <v>0</v>
      </c>
      <c r="M64" t="n">
        <v>0</v>
      </c>
      <c r="N64" t="n">
        <v>0</v>
      </c>
      <c r="O64" t="n">
        <v>0</v>
      </c>
      <c r="P64" t="n">
        <v>0</v>
      </c>
      <c r="Q64" t="n">
        <v>0</v>
      </c>
      <c r="R64" s="2" t="inlineStr"/>
    </row>
    <row r="65" ht="15" customHeight="1">
      <c r="A65" t="inlineStr">
        <is>
          <t>A 464-2022</t>
        </is>
      </c>
      <c r="B65" s="1" t="n">
        <v>44565</v>
      </c>
      <c r="C65" s="1" t="n">
        <v>45887</v>
      </c>
      <c r="D65" t="inlineStr">
        <is>
          <t>STOCKHOLMS LÄN</t>
        </is>
      </c>
      <c r="E65" t="inlineStr">
        <is>
          <t>ÖSTERÅKER</t>
        </is>
      </c>
      <c r="F65" t="inlineStr">
        <is>
          <t>Övriga Aktiebolag</t>
        </is>
      </c>
      <c r="G65" t="n">
        <v>7.6</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45887</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28146-2024</t>
        </is>
      </c>
      <c r="B67" s="1" t="n">
        <v>45476</v>
      </c>
      <c r="C67" s="1" t="n">
        <v>45887</v>
      </c>
      <c r="D67" t="inlineStr">
        <is>
          <t>STOCKHOLMS LÄN</t>
        </is>
      </c>
      <c r="E67" t="inlineStr">
        <is>
          <t>ÖSTERÅKER</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59379-2022</t>
        </is>
      </c>
      <c r="B68" s="1" t="n">
        <v>44905</v>
      </c>
      <c r="C68" s="1" t="n">
        <v>45887</v>
      </c>
      <c r="D68" t="inlineStr">
        <is>
          <t>STOCKHOLMS LÄN</t>
        </is>
      </c>
      <c r="E68" t="inlineStr">
        <is>
          <t>ÖSTERÅKER</t>
        </is>
      </c>
      <c r="F68" t="inlineStr">
        <is>
          <t>Kommuner</t>
        </is>
      </c>
      <c r="G68" t="n">
        <v>4.7</v>
      </c>
      <c r="H68" t="n">
        <v>0</v>
      </c>
      <c r="I68" t="n">
        <v>0</v>
      </c>
      <c r="J68" t="n">
        <v>0</v>
      </c>
      <c r="K68" t="n">
        <v>0</v>
      </c>
      <c r="L68" t="n">
        <v>0</v>
      </c>
      <c r="M68" t="n">
        <v>0</v>
      </c>
      <c r="N68" t="n">
        <v>0</v>
      </c>
      <c r="O68" t="n">
        <v>0</v>
      </c>
      <c r="P68" t="n">
        <v>0</v>
      </c>
      <c r="Q68" t="n">
        <v>0</v>
      </c>
      <c r="R68" s="2" t="inlineStr"/>
    </row>
    <row r="69" ht="15" customHeight="1">
      <c r="A69" t="inlineStr">
        <is>
          <t>A 10185-2025</t>
        </is>
      </c>
      <c r="B69" s="1" t="n">
        <v>45719</v>
      </c>
      <c r="C69" s="1" t="n">
        <v>45887</v>
      </c>
      <c r="D69" t="inlineStr">
        <is>
          <t>STOCKHOLMS LÄN</t>
        </is>
      </c>
      <c r="E69" t="inlineStr">
        <is>
          <t>ÖSTERÅKER</t>
        </is>
      </c>
      <c r="G69" t="n">
        <v>4.1</v>
      </c>
      <c r="H69" t="n">
        <v>0</v>
      </c>
      <c r="I69" t="n">
        <v>0</v>
      </c>
      <c r="J69" t="n">
        <v>0</v>
      </c>
      <c r="K69" t="n">
        <v>0</v>
      </c>
      <c r="L69" t="n">
        <v>0</v>
      </c>
      <c r="M69" t="n">
        <v>0</v>
      </c>
      <c r="N69" t="n">
        <v>0</v>
      </c>
      <c r="O69" t="n">
        <v>0</v>
      </c>
      <c r="P69" t="n">
        <v>0</v>
      </c>
      <c r="Q69" t="n">
        <v>0</v>
      </c>
      <c r="R69" s="2" t="inlineStr"/>
    </row>
    <row r="70" ht="15" customHeight="1">
      <c r="A70" t="inlineStr">
        <is>
          <t>A 35819-2025</t>
        </is>
      </c>
      <c r="B70" s="1" t="n">
        <v>45861</v>
      </c>
      <c r="C70" s="1" t="n">
        <v>45887</v>
      </c>
      <c r="D70" t="inlineStr">
        <is>
          <t>STOCKHOLMS LÄN</t>
        </is>
      </c>
      <c r="E70" t="inlineStr">
        <is>
          <t>ÖSTERÅKER</t>
        </is>
      </c>
      <c r="F70" t="inlineStr">
        <is>
          <t>Övriga Aktiebolag</t>
        </is>
      </c>
      <c r="G70" t="n">
        <v>8</v>
      </c>
      <c r="H70" t="n">
        <v>0</v>
      </c>
      <c r="I70" t="n">
        <v>0</v>
      </c>
      <c r="J70" t="n">
        <v>0</v>
      </c>
      <c r="K70" t="n">
        <v>0</v>
      </c>
      <c r="L70" t="n">
        <v>0</v>
      </c>
      <c r="M70" t="n">
        <v>0</v>
      </c>
      <c r="N70" t="n">
        <v>0</v>
      </c>
      <c r="O70" t="n">
        <v>0</v>
      </c>
      <c r="P70" t="n">
        <v>0</v>
      </c>
      <c r="Q70" t="n">
        <v>0</v>
      </c>
      <c r="R70" s="2" t="inlineStr"/>
    </row>
    <row r="71" ht="15" customHeight="1">
      <c r="A71" t="inlineStr">
        <is>
          <t>A 22528-2024</t>
        </is>
      </c>
      <c r="B71" s="1" t="n">
        <v>45447.44967592593</v>
      </c>
      <c r="C71" s="1" t="n">
        <v>45887</v>
      </c>
      <c r="D71" t="inlineStr">
        <is>
          <t>STOCKHOLMS LÄN</t>
        </is>
      </c>
      <c r="E71" t="inlineStr">
        <is>
          <t>ÖSTERÅKER</t>
        </is>
      </c>
      <c r="F71" t="inlineStr">
        <is>
          <t>Övriga Aktiebolag</t>
        </is>
      </c>
      <c r="G71" t="n">
        <v>1.4</v>
      </c>
      <c r="H71" t="n">
        <v>0</v>
      </c>
      <c r="I71" t="n">
        <v>0</v>
      </c>
      <c r="J71" t="n">
        <v>0</v>
      </c>
      <c r="K71" t="n">
        <v>0</v>
      </c>
      <c r="L71" t="n">
        <v>0</v>
      </c>
      <c r="M71" t="n">
        <v>0</v>
      </c>
      <c r="N71" t="n">
        <v>0</v>
      </c>
      <c r="O71" t="n">
        <v>0</v>
      </c>
      <c r="P71" t="n">
        <v>0</v>
      </c>
      <c r="Q71" t="n">
        <v>0</v>
      </c>
      <c r="R71" s="2" t="inlineStr"/>
    </row>
    <row r="72" ht="15" customHeight="1">
      <c r="A72" t="inlineStr">
        <is>
          <t>A 16803-2022</t>
        </is>
      </c>
      <c r="B72" s="1" t="n">
        <v>44673</v>
      </c>
      <c r="C72" s="1" t="n">
        <v>45887</v>
      </c>
      <c r="D72" t="inlineStr">
        <is>
          <t>STOCKHOLMS LÄN</t>
        </is>
      </c>
      <c r="E72" t="inlineStr">
        <is>
          <t>ÖSTERÅKER</t>
        </is>
      </c>
      <c r="G72" t="n">
        <v>1.9</v>
      </c>
      <c r="H72" t="n">
        <v>0</v>
      </c>
      <c r="I72" t="n">
        <v>0</v>
      </c>
      <c r="J72" t="n">
        <v>0</v>
      </c>
      <c r="K72" t="n">
        <v>0</v>
      </c>
      <c r="L72" t="n">
        <v>0</v>
      </c>
      <c r="M72" t="n">
        <v>0</v>
      </c>
      <c r="N72" t="n">
        <v>0</v>
      </c>
      <c r="O72" t="n">
        <v>0</v>
      </c>
      <c r="P72" t="n">
        <v>0</v>
      </c>
      <c r="Q72" t="n">
        <v>0</v>
      </c>
      <c r="R72" s="2" t="inlineStr"/>
    </row>
    <row r="73" ht="15" customHeight="1">
      <c r="A73" t="inlineStr">
        <is>
          <t>A 36366-2025</t>
        </is>
      </c>
      <c r="B73" s="1" t="n">
        <v>45868.53313657407</v>
      </c>
      <c r="C73" s="1" t="n">
        <v>45887</v>
      </c>
      <c r="D73" t="inlineStr">
        <is>
          <t>STOCKHOLMS LÄN</t>
        </is>
      </c>
      <c r="E73" t="inlineStr">
        <is>
          <t>ÖSTERÅKER</t>
        </is>
      </c>
      <c r="G73" t="n">
        <v>7.1</v>
      </c>
      <c r="H73" t="n">
        <v>0</v>
      </c>
      <c r="I73" t="n">
        <v>0</v>
      </c>
      <c r="J73" t="n">
        <v>0</v>
      </c>
      <c r="K73" t="n">
        <v>0</v>
      </c>
      <c r="L73" t="n">
        <v>0</v>
      </c>
      <c r="M73" t="n">
        <v>0</v>
      </c>
      <c r="N73" t="n">
        <v>0</v>
      </c>
      <c r="O73" t="n">
        <v>0</v>
      </c>
      <c r="P73" t="n">
        <v>0</v>
      </c>
      <c r="Q73" t="n">
        <v>0</v>
      </c>
      <c r="R73" s="2" t="inlineStr"/>
    </row>
    <row r="74" ht="15" customHeight="1">
      <c r="A74" t="inlineStr">
        <is>
          <t>A 34713-2025</t>
        </is>
      </c>
      <c r="B74" s="1" t="n">
        <v>45848</v>
      </c>
      <c r="C74" s="1" t="n">
        <v>45887</v>
      </c>
      <c r="D74" t="inlineStr">
        <is>
          <t>STOCKHOLMS LÄN</t>
        </is>
      </c>
      <c r="E74" t="inlineStr">
        <is>
          <t>ÖSTERÅKER</t>
        </is>
      </c>
      <c r="G74" t="n">
        <v>0.9</v>
      </c>
      <c r="H74" t="n">
        <v>0</v>
      </c>
      <c r="I74" t="n">
        <v>0</v>
      </c>
      <c r="J74" t="n">
        <v>0</v>
      </c>
      <c r="K74" t="n">
        <v>0</v>
      </c>
      <c r="L74" t="n">
        <v>0</v>
      </c>
      <c r="M74" t="n">
        <v>0</v>
      </c>
      <c r="N74" t="n">
        <v>0</v>
      </c>
      <c r="O74" t="n">
        <v>0</v>
      </c>
      <c r="P74" t="n">
        <v>0</v>
      </c>
      <c r="Q74" t="n">
        <v>0</v>
      </c>
      <c r="R74" s="2" t="inlineStr"/>
    </row>
    <row r="75" ht="15" customHeight="1">
      <c r="A75" t="inlineStr">
        <is>
          <t>A 36611-2025</t>
        </is>
      </c>
      <c r="B75" s="1" t="n">
        <v>45870</v>
      </c>
      <c r="C75" s="1" t="n">
        <v>45887</v>
      </c>
      <c r="D75" t="inlineStr">
        <is>
          <t>STOCKHOLMS LÄN</t>
        </is>
      </c>
      <c r="E75" t="inlineStr">
        <is>
          <t>ÖSTERÅKER</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36614-2025</t>
        </is>
      </c>
      <c r="B76" s="1" t="n">
        <v>45870</v>
      </c>
      <c r="C76" s="1" t="n">
        <v>45887</v>
      </c>
      <c r="D76" t="inlineStr">
        <is>
          <t>STOCKHOLMS LÄN</t>
        </is>
      </c>
      <c r="E76" t="inlineStr">
        <is>
          <t>ÖSTERÅKER</t>
        </is>
      </c>
      <c r="G76" t="n">
        <v>1.7</v>
      </c>
      <c r="H76" t="n">
        <v>0</v>
      </c>
      <c r="I76" t="n">
        <v>0</v>
      </c>
      <c r="J76" t="n">
        <v>0</v>
      </c>
      <c r="K76" t="n">
        <v>0</v>
      </c>
      <c r="L76" t="n">
        <v>0</v>
      </c>
      <c r="M76" t="n">
        <v>0</v>
      </c>
      <c r="N76" t="n">
        <v>0</v>
      </c>
      <c r="O76" t="n">
        <v>0</v>
      </c>
      <c r="P76" t="n">
        <v>0</v>
      </c>
      <c r="Q76" t="n">
        <v>0</v>
      </c>
      <c r="R76" s="2" t="inlineStr"/>
    </row>
    <row r="77" ht="15" customHeight="1">
      <c r="A77" t="inlineStr">
        <is>
          <t>A 36612-2025</t>
        </is>
      </c>
      <c r="B77" s="1" t="n">
        <v>45870</v>
      </c>
      <c r="C77" s="1" t="n">
        <v>45887</v>
      </c>
      <c r="D77" t="inlineStr">
        <is>
          <t>STOCKHOLMS LÄN</t>
        </is>
      </c>
      <c r="E77" t="inlineStr">
        <is>
          <t>ÖSTERÅKER</t>
        </is>
      </c>
      <c r="F77" t="inlineStr">
        <is>
          <t>Övriga Aktiebolag</t>
        </is>
      </c>
      <c r="G77" t="n">
        <v>2.1</v>
      </c>
      <c r="H77" t="n">
        <v>0</v>
      </c>
      <c r="I77" t="n">
        <v>0</v>
      </c>
      <c r="J77" t="n">
        <v>0</v>
      </c>
      <c r="K77" t="n">
        <v>0</v>
      </c>
      <c r="L77" t="n">
        <v>0</v>
      </c>
      <c r="M77" t="n">
        <v>0</v>
      </c>
      <c r="N77" t="n">
        <v>0</v>
      </c>
      <c r="O77" t="n">
        <v>0</v>
      </c>
      <c r="P77" t="n">
        <v>0</v>
      </c>
      <c r="Q77" t="n">
        <v>0</v>
      </c>
      <c r="R77" s="2" t="inlineStr"/>
    </row>
    <row r="78" ht="15" customHeight="1">
      <c r="A78" t="inlineStr">
        <is>
          <t>A 16728-2022</t>
        </is>
      </c>
      <c r="B78" s="1" t="n">
        <v>44673</v>
      </c>
      <c r="C78" s="1" t="n">
        <v>45887</v>
      </c>
      <c r="D78" t="inlineStr">
        <is>
          <t>STOCKHOLMS LÄN</t>
        </is>
      </c>
      <c r="E78" t="inlineStr">
        <is>
          <t>ÖSTERÅKER</t>
        </is>
      </c>
      <c r="G78" t="n">
        <v>0.9</v>
      </c>
      <c r="H78" t="n">
        <v>0</v>
      </c>
      <c r="I78" t="n">
        <v>0</v>
      </c>
      <c r="J78" t="n">
        <v>0</v>
      </c>
      <c r="K78" t="n">
        <v>0</v>
      </c>
      <c r="L78" t="n">
        <v>0</v>
      </c>
      <c r="M78" t="n">
        <v>0</v>
      </c>
      <c r="N78" t="n">
        <v>0</v>
      </c>
      <c r="O78" t="n">
        <v>0</v>
      </c>
      <c r="P78" t="n">
        <v>0</v>
      </c>
      <c r="Q78" t="n">
        <v>0</v>
      </c>
      <c r="R78" s="2" t="inlineStr"/>
    </row>
    <row r="79" ht="15" customHeight="1">
      <c r="A79" t="inlineStr">
        <is>
          <t>A 31456-2025</t>
        </is>
      </c>
      <c r="B79" s="1" t="n">
        <v>45833.5402662037</v>
      </c>
      <c r="C79" s="1" t="n">
        <v>45887</v>
      </c>
      <c r="D79" t="inlineStr">
        <is>
          <t>STOCKHOLMS LÄN</t>
        </is>
      </c>
      <c r="E79" t="inlineStr">
        <is>
          <t>ÖSTERÅKER</t>
        </is>
      </c>
      <c r="G79" t="n">
        <v>4.3</v>
      </c>
      <c r="H79" t="n">
        <v>0</v>
      </c>
      <c r="I79" t="n">
        <v>0</v>
      </c>
      <c r="J79" t="n">
        <v>0</v>
      </c>
      <c r="K79" t="n">
        <v>0</v>
      </c>
      <c r="L79" t="n">
        <v>0</v>
      </c>
      <c r="M79" t="n">
        <v>0</v>
      </c>
      <c r="N79" t="n">
        <v>0</v>
      </c>
      <c r="O79" t="n">
        <v>0</v>
      </c>
      <c r="P79" t="n">
        <v>0</v>
      </c>
      <c r="Q79" t="n">
        <v>0</v>
      </c>
      <c r="R79" s="2" t="inlineStr"/>
    </row>
    <row r="80" ht="15" customHeight="1">
      <c r="A80" t="inlineStr">
        <is>
          <t>A 14776-2024</t>
        </is>
      </c>
      <c r="B80" s="1" t="n">
        <v>45397</v>
      </c>
      <c r="C80" s="1" t="n">
        <v>45887</v>
      </c>
      <c r="D80" t="inlineStr">
        <is>
          <t>STOCKHOLMS LÄN</t>
        </is>
      </c>
      <c r="E80" t="inlineStr">
        <is>
          <t>ÖSTERÅKER</t>
        </is>
      </c>
      <c r="G80" t="n">
        <v>13.6</v>
      </c>
      <c r="H80" t="n">
        <v>0</v>
      </c>
      <c r="I80" t="n">
        <v>0</v>
      </c>
      <c r="J80" t="n">
        <v>0</v>
      </c>
      <c r="K80" t="n">
        <v>0</v>
      </c>
      <c r="L80" t="n">
        <v>0</v>
      </c>
      <c r="M80" t="n">
        <v>0</v>
      </c>
      <c r="N80" t="n">
        <v>0</v>
      </c>
      <c r="O80" t="n">
        <v>0</v>
      </c>
      <c r="P80" t="n">
        <v>0</v>
      </c>
      <c r="Q80" t="n">
        <v>0</v>
      </c>
      <c r="R80" s="2" t="inlineStr"/>
    </row>
    <row r="81" ht="15" customHeight="1">
      <c r="A81" t="inlineStr">
        <is>
          <t>A 61710-2022</t>
        </is>
      </c>
      <c r="B81" s="1" t="n">
        <v>44917</v>
      </c>
      <c r="C81" s="1" t="n">
        <v>45887</v>
      </c>
      <c r="D81" t="inlineStr">
        <is>
          <t>STOCKHOLMS LÄN</t>
        </is>
      </c>
      <c r="E81" t="inlineStr">
        <is>
          <t>ÖSTERÅKER</t>
        </is>
      </c>
      <c r="G81" t="n">
        <v>6.2</v>
      </c>
      <c r="H81" t="n">
        <v>0</v>
      </c>
      <c r="I81" t="n">
        <v>0</v>
      </c>
      <c r="J81" t="n">
        <v>0</v>
      </c>
      <c r="K81" t="n">
        <v>0</v>
      </c>
      <c r="L81" t="n">
        <v>0</v>
      </c>
      <c r="M81" t="n">
        <v>0</v>
      </c>
      <c r="N81" t="n">
        <v>0</v>
      </c>
      <c r="O81" t="n">
        <v>0</v>
      </c>
      <c r="P81" t="n">
        <v>0</v>
      </c>
      <c r="Q81" t="n">
        <v>0</v>
      </c>
      <c r="R81" s="2" t="inlineStr"/>
    </row>
    <row r="82" ht="15" customHeight="1">
      <c r="A82" t="inlineStr">
        <is>
          <t>A 34034-2025</t>
        </is>
      </c>
      <c r="B82" s="1" t="n">
        <v>45842</v>
      </c>
      <c r="C82" s="1" t="n">
        <v>45887</v>
      </c>
      <c r="D82" t="inlineStr">
        <is>
          <t>STOCKHOLMS LÄN</t>
        </is>
      </c>
      <c r="E82" t="inlineStr">
        <is>
          <t>ÖSTERÅKER</t>
        </is>
      </c>
      <c r="F82" t="inlineStr">
        <is>
          <t>Övriga Aktiebolag</t>
        </is>
      </c>
      <c r="G82" t="n">
        <v>3.9</v>
      </c>
      <c r="H82" t="n">
        <v>0</v>
      </c>
      <c r="I82" t="n">
        <v>0</v>
      </c>
      <c r="J82" t="n">
        <v>0</v>
      </c>
      <c r="K82" t="n">
        <v>0</v>
      </c>
      <c r="L82" t="n">
        <v>0</v>
      </c>
      <c r="M82" t="n">
        <v>0</v>
      </c>
      <c r="N82" t="n">
        <v>0</v>
      </c>
      <c r="O82" t="n">
        <v>0</v>
      </c>
      <c r="P82" t="n">
        <v>0</v>
      </c>
      <c r="Q82" t="n">
        <v>0</v>
      </c>
      <c r="R82" s="2" t="inlineStr"/>
    </row>
    <row r="83" ht="15" customHeight="1">
      <c r="A83" t="inlineStr">
        <is>
          <t>A 34038-2025</t>
        </is>
      </c>
      <c r="B83" s="1" t="n">
        <v>45842</v>
      </c>
      <c r="C83" s="1" t="n">
        <v>45887</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17353-2025</t>
        </is>
      </c>
      <c r="B84" s="1" t="n">
        <v>45756</v>
      </c>
      <c r="C84" s="1" t="n">
        <v>45887</v>
      </c>
      <c r="D84" t="inlineStr">
        <is>
          <t>STOCKHOLMS LÄN</t>
        </is>
      </c>
      <c r="E84" t="inlineStr">
        <is>
          <t>ÖSTERÅKER</t>
        </is>
      </c>
      <c r="F84" t="inlineStr">
        <is>
          <t>Övriga Aktiebolag</t>
        </is>
      </c>
      <c r="G84" t="n">
        <v>5.5</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45887</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3817-2023</t>
        </is>
      </c>
      <c r="B86" s="1" t="n">
        <v>44951</v>
      </c>
      <c r="C86" s="1" t="n">
        <v>45887</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3828-2023</t>
        </is>
      </c>
      <c r="B87" s="1" t="n">
        <v>44951</v>
      </c>
      <c r="C87" s="1" t="n">
        <v>45887</v>
      </c>
      <c r="D87" t="inlineStr">
        <is>
          <t>STOCKHOLMS LÄN</t>
        </is>
      </c>
      <c r="E87" t="inlineStr">
        <is>
          <t>ÖSTERÅKER</t>
        </is>
      </c>
      <c r="F87" t="inlineStr">
        <is>
          <t>Kommuner</t>
        </is>
      </c>
      <c r="G87" t="n">
        <v>3.2</v>
      </c>
      <c r="H87" t="n">
        <v>0</v>
      </c>
      <c r="I87" t="n">
        <v>0</v>
      </c>
      <c r="J87" t="n">
        <v>0</v>
      </c>
      <c r="K87" t="n">
        <v>0</v>
      </c>
      <c r="L87" t="n">
        <v>0</v>
      </c>
      <c r="M87" t="n">
        <v>0</v>
      </c>
      <c r="N87" t="n">
        <v>0</v>
      </c>
      <c r="O87" t="n">
        <v>0</v>
      </c>
      <c r="P87" t="n">
        <v>0</v>
      </c>
      <c r="Q87" t="n">
        <v>0</v>
      </c>
      <c r="R87" s="2" t="inlineStr"/>
    </row>
    <row r="88" ht="15" customHeight="1">
      <c r="A88" t="inlineStr">
        <is>
          <t>A 60297-2023</t>
        </is>
      </c>
      <c r="B88" s="1" t="n">
        <v>45258</v>
      </c>
      <c r="C88" s="1" t="n">
        <v>45887</v>
      </c>
      <c r="D88" t="inlineStr">
        <is>
          <t>STOCKHOLMS LÄN</t>
        </is>
      </c>
      <c r="E88" t="inlineStr">
        <is>
          <t>ÖSTERÅKER</t>
        </is>
      </c>
      <c r="G88" t="n">
        <v>1.5</v>
      </c>
      <c r="H88" t="n">
        <v>0</v>
      </c>
      <c r="I88" t="n">
        <v>0</v>
      </c>
      <c r="J88" t="n">
        <v>0</v>
      </c>
      <c r="K88" t="n">
        <v>0</v>
      </c>
      <c r="L88" t="n">
        <v>0</v>
      </c>
      <c r="M88" t="n">
        <v>0</v>
      </c>
      <c r="N88" t="n">
        <v>0</v>
      </c>
      <c r="O88" t="n">
        <v>0</v>
      </c>
      <c r="P88" t="n">
        <v>0</v>
      </c>
      <c r="Q88" t="n">
        <v>0</v>
      </c>
      <c r="R88" s="2" t="inlineStr"/>
    </row>
    <row r="89" ht="15" customHeight="1">
      <c r="A89" t="inlineStr">
        <is>
          <t>A 3917-2023</t>
        </is>
      </c>
      <c r="B89" s="1" t="n">
        <v>44952</v>
      </c>
      <c r="C89" s="1" t="n">
        <v>45887</v>
      </c>
      <c r="D89" t="inlineStr">
        <is>
          <t>STOCKHOLMS LÄN</t>
        </is>
      </c>
      <c r="E89" t="inlineStr">
        <is>
          <t>ÖSTERÅKER</t>
        </is>
      </c>
      <c r="F89" t="inlineStr">
        <is>
          <t>Kommuner</t>
        </is>
      </c>
      <c r="G89" t="n">
        <v>2.8</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45887</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17196-2022</t>
        </is>
      </c>
      <c r="B91" s="1" t="n">
        <v>44677</v>
      </c>
      <c r="C91" s="1" t="n">
        <v>45887</v>
      </c>
      <c r="D91" t="inlineStr">
        <is>
          <t>STOCKHOLMS LÄN</t>
        </is>
      </c>
      <c r="E91" t="inlineStr">
        <is>
          <t>ÖSTERÅKER</t>
        </is>
      </c>
      <c r="G91" t="n">
        <v>5.9</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45887</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1603-2023</t>
        </is>
      </c>
      <c r="B93" s="1" t="n">
        <v>44937.68086805556</v>
      </c>
      <c r="C93" s="1" t="n">
        <v>45887</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1605-2023</t>
        </is>
      </c>
      <c r="B94" s="1" t="n">
        <v>44937.68299768519</v>
      </c>
      <c r="C94" s="1" t="n">
        <v>45887</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45887</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470-2022</t>
        </is>
      </c>
      <c r="B96" s="1" t="n">
        <v>44565</v>
      </c>
      <c r="C96" s="1" t="n">
        <v>45887</v>
      </c>
      <c r="D96" t="inlineStr">
        <is>
          <t>STOCKHOLMS LÄN</t>
        </is>
      </c>
      <c r="E96" t="inlineStr">
        <is>
          <t>ÖSTERÅKER</t>
        </is>
      </c>
      <c r="F96" t="inlineStr">
        <is>
          <t>Övriga Aktiebolag</t>
        </is>
      </c>
      <c r="G96" t="n">
        <v>4.6</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45887</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45887</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1136-2023</t>
        </is>
      </c>
      <c r="B99" s="1" t="n">
        <v>44935</v>
      </c>
      <c r="C99" s="1" t="n">
        <v>45887</v>
      </c>
      <c r="D99" t="inlineStr">
        <is>
          <t>STOCKHOLMS LÄN</t>
        </is>
      </c>
      <c r="E99" t="inlineStr">
        <is>
          <t>ÖSTERÅKER</t>
        </is>
      </c>
      <c r="G99" t="n">
        <v>0.5</v>
      </c>
      <c r="H99" t="n">
        <v>0</v>
      </c>
      <c r="I99" t="n">
        <v>0</v>
      </c>
      <c r="J99" t="n">
        <v>0</v>
      </c>
      <c r="K99" t="n">
        <v>0</v>
      </c>
      <c r="L99" t="n">
        <v>0</v>
      </c>
      <c r="M99" t="n">
        <v>0</v>
      </c>
      <c r="N99" t="n">
        <v>0</v>
      </c>
      <c r="O99" t="n">
        <v>0</v>
      </c>
      <c r="P99" t="n">
        <v>0</v>
      </c>
      <c r="Q99" t="n">
        <v>0</v>
      </c>
      <c r="R99" s="2" t="inlineStr"/>
    </row>
    <row r="100" ht="15" customHeight="1">
      <c r="A100" t="inlineStr">
        <is>
          <t>A 39394-2023</t>
        </is>
      </c>
      <c r="B100" s="1" t="n">
        <v>45166</v>
      </c>
      <c r="C100" s="1" t="n">
        <v>45887</v>
      </c>
      <c r="D100" t="inlineStr">
        <is>
          <t>STOCKHOLMS LÄN</t>
        </is>
      </c>
      <c r="E100" t="inlineStr">
        <is>
          <t>ÖSTERÅKER</t>
        </is>
      </c>
      <c r="G100" t="n">
        <v>0.4</v>
      </c>
      <c r="H100" t="n">
        <v>0</v>
      </c>
      <c r="I100" t="n">
        <v>0</v>
      </c>
      <c r="J100" t="n">
        <v>0</v>
      </c>
      <c r="K100" t="n">
        <v>0</v>
      </c>
      <c r="L100" t="n">
        <v>0</v>
      </c>
      <c r="M100" t="n">
        <v>0</v>
      </c>
      <c r="N100" t="n">
        <v>0</v>
      </c>
      <c r="O100" t="n">
        <v>0</v>
      </c>
      <c r="P100" t="n">
        <v>0</v>
      </c>
      <c r="Q100" t="n">
        <v>0</v>
      </c>
      <c r="R100" s="2" t="inlineStr"/>
    </row>
    <row r="101" ht="15" customHeight="1">
      <c r="A101" t="inlineStr">
        <is>
          <t>A 31575-2022</t>
        </is>
      </c>
      <c r="B101" s="1" t="n">
        <v>44775.45063657407</v>
      </c>
      <c r="C101" s="1" t="n">
        <v>45887</v>
      </c>
      <c r="D101" t="inlineStr">
        <is>
          <t>STOCKHOLMS LÄN</t>
        </is>
      </c>
      <c r="E101" t="inlineStr">
        <is>
          <t>ÖSTERÅKER</t>
        </is>
      </c>
      <c r="G101" t="n">
        <v>5</v>
      </c>
      <c r="H101" t="n">
        <v>0</v>
      </c>
      <c r="I101" t="n">
        <v>0</v>
      </c>
      <c r="J101" t="n">
        <v>0</v>
      </c>
      <c r="K101" t="n">
        <v>0</v>
      </c>
      <c r="L101" t="n">
        <v>0</v>
      </c>
      <c r="M101" t="n">
        <v>0</v>
      </c>
      <c r="N101" t="n">
        <v>0</v>
      </c>
      <c r="O101" t="n">
        <v>0</v>
      </c>
      <c r="P101" t="n">
        <v>0</v>
      </c>
      <c r="Q101" t="n">
        <v>0</v>
      </c>
      <c r="R101" s="2" t="inlineStr"/>
    </row>
    <row r="102" ht="15" customHeight="1">
      <c r="A102" t="inlineStr">
        <is>
          <t>A 30949-2024</t>
        </is>
      </c>
      <c r="B102" s="1" t="n">
        <v>45499</v>
      </c>
      <c r="C102" s="1" t="n">
        <v>45887</v>
      </c>
      <c r="D102" t="inlineStr">
        <is>
          <t>STOCKHOLMS LÄN</t>
        </is>
      </c>
      <c r="E102" t="inlineStr">
        <is>
          <t>ÖSTERÅKER</t>
        </is>
      </c>
      <c r="F102" t="inlineStr">
        <is>
          <t>Övriga Aktiebolag</t>
        </is>
      </c>
      <c r="G102" t="n">
        <v>3.2</v>
      </c>
      <c r="H102" t="n">
        <v>0</v>
      </c>
      <c r="I102" t="n">
        <v>0</v>
      </c>
      <c r="J102" t="n">
        <v>0</v>
      </c>
      <c r="K102" t="n">
        <v>0</v>
      </c>
      <c r="L102" t="n">
        <v>0</v>
      </c>
      <c r="M102" t="n">
        <v>0</v>
      </c>
      <c r="N102" t="n">
        <v>0</v>
      </c>
      <c r="O102" t="n">
        <v>0</v>
      </c>
      <c r="P102" t="n">
        <v>0</v>
      </c>
      <c r="Q102" t="n">
        <v>0</v>
      </c>
      <c r="R102" s="2" t="inlineStr"/>
    </row>
    <row r="103" ht="15" customHeight="1">
      <c r="A103" t="inlineStr">
        <is>
          <t>A 845-2024</t>
        </is>
      </c>
      <c r="B103" s="1" t="n">
        <v>45300.91423611111</v>
      </c>
      <c r="C103" s="1" t="n">
        <v>45887</v>
      </c>
      <c r="D103" t="inlineStr">
        <is>
          <t>STOCKHOLMS LÄN</t>
        </is>
      </c>
      <c r="E103" t="inlineStr">
        <is>
          <t>ÖSTERÅKER</t>
        </is>
      </c>
      <c r="G103" t="n">
        <v>10.1</v>
      </c>
      <c r="H103" t="n">
        <v>0</v>
      </c>
      <c r="I103" t="n">
        <v>0</v>
      </c>
      <c r="J103" t="n">
        <v>0</v>
      </c>
      <c r="K103" t="n">
        <v>0</v>
      </c>
      <c r="L103" t="n">
        <v>0</v>
      </c>
      <c r="M103" t="n">
        <v>0</v>
      </c>
      <c r="N103" t="n">
        <v>0</v>
      </c>
      <c r="O103" t="n">
        <v>0</v>
      </c>
      <c r="P103" t="n">
        <v>0</v>
      </c>
      <c r="Q103" t="n">
        <v>0</v>
      </c>
      <c r="R103" s="2" t="inlineStr"/>
    </row>
    <row r="104" ht="15" customHeight="1">
      <c r="A104" t="inlineStr">
        <is>
          <t>A 37037-2023</t>
        </is>
      </c>
      <c r="B104" s="1" t="n">
        <v>45155</v>
      </c>
      <c r="C104" s="1" t="n">
        <v>45887</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19404-2024</t>
        </is>
      </c>
      <c r="B105" s="1" t="n">
        <v>45428</v>
      </c>
      <c r="C105" s="1" t="n">
        <v>45887</v>
      </c>
      <c r="D105" t="inlineStr">
        <is>
          <t>STOCKHOLMS LÄN</t>
        </is>
      </c>
      <c r="E105" t="inlineStr">
        <is>
          <t>ÖSTERÅKER</t>
        </is>
      </c>
      <c r="F105" t="inlineStr">
        <is>
          <t>Övriga Aktiebolag</t>
        </is>
      </c>
      <c r="G105" t="n">
        <v>2.2</v>
      </c>
      <c r="H105" t="n">
        <v>0</v>
      </c>
      <c r="I105" t="n">
        <v>0</v>
      </c>
      <c r="J105" t="n">
        <v>0</v>
      </c>
      <c r="K105" t="n">
        <v>0</v>
      </c>
      <c r="L105" t="n">
        <v>0</v>
      </c>
      <c r="M105" t="n">
        <v>0</v>
      </c>
      <c r="N105" t="n">
        <v>0</v>
      </c>
      <c r="O105" t="n">
        <v>0</v>
      </c>
      <c r="P105" t="n">
        <v>0</v>
      </c>
      <c r="Q105" t="n">
        <v>0</v>
      </c>
      <c r="R105" s="2" t="inlineStr"/>
    </row>
    <row r="106">
      <c r="A106" t="inlineStr">
        <is>
          <t>A 33158-2024</t>
        </is>
      </c>
      <c r="B106" s="1" t="n">
        <v>45518</v>
      </c>
      <c r="C106" s="1" t="n">
        <v>45887</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2025-08-18T08:28:45Z</dcterms:created>
  <dcterms:modified xmlns:dcterms="http://purl.org/dc/terms/" xmlns:xsi="http://www.w3.org/2001/XMLSchema-instance" xsi:type="dcterms:W3CDTF">2025-08-18T08:28:46Z</dcterms:modified>
</cp:coreProperties>
</file>