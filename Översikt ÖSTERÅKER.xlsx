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46234</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46234</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46234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46234</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46234</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37244-2024</t>
        </is>
      </c>
      <c r="B10" t="inlineStr">
        <is>
          <t>avverkningsanmälan</t>
        </is>
      </c>
      <c r="C10" t="inlineStr">
        <is>
          <t>Föryngringsavverkning</t>
        </is>
      </c>
      <c r="D10" s="1" t="n">
        <v>45540</v>
      </c>
      <c r="E10" s="1" t="n">
        <v>46234</v>
      </c>
      <c r="F10" t="inlineStr">
        <is>
          <t>STOCKHOLMS LÄN</t>
        </is>
      </c>
      <c r="G10" t="inlineStr">
        <is>
          <t>ÖSTERÅKER</t>
        </is>
      </c>
      <c r="I10" t="n">
        <v>2.6</v>
      </c>
      <c r="J10" t="n">
        <v>1</v>
      </c>
      <c r="K10" t="n">
        <v>1</v>
      </c>
      <c r="L10" t="n">
        <v>3</v>
      </c>
      <c r="M10" t="n">
        <v>0</v>
      </c>
      <c r="N10" t="n">
        <v>0</v>
      </c>
      <c r="O10" t="n">
        <v>0</v>
      </c>
      <c r="P10" t="n">
        <v>0</v>
      </c>
      <c r="Q10" t="n">
        <v>3</v>
      </c>
      <c r="R10" t="n">
        <v>0</v>
      </c>
      <c r="S10" t="n">
        <v>4</v>
      </c>
      <c r="T10" t="n">
        <v>5</v>
      </c>
      <c r="U10" t="n">
        <v>1</v>
      </c>
      <c r="V10" s="2" t="inlineStr">
        <is>
          <t>Tallticka
Talltita
Vedskivlav
Grovticka</t>
        </is>
      </c>
      <c r="W10">
        <f>HYPERLINK("https://klasma.github.io/Logging_0117/artfynd/A 37244-2024 artfynd.xlsx", "A 37244-2024")</f>
        <v/>
      </c>
      <c r="X10">
        <f>HYPERLINK("https://klasma.github.io/Logging_0117/kartor/A 37244-2024 karta.png", "A 37244-2024")</f>
        <v/>
      </c>
      <c r="Y10">
        <f>HYPERLINK("https://klasma.github.io/Logging_0117/kartor_geotiff/A 37244-2024 georefererad karta.tif", "A 37244-2024")</f>
        <v/>
      </c>
      <c r="AA10">
        <f>HYPERLINK("https://klasma.github.io/Logging_0117/klagomål/A 37244-2024 FSC-klagomål.docx", "A 37244-2024")</f>
        <v/>
      </c>
      <c r="AB10">
        <f>HYPERLINK("https://klasma.github.io/Logging_0117/klagomålsmail/A 37244-2024 FSC-klagomål mail.docx", "A 37244-2024")</f>
        <v/>
      </c>
      <c r="AC10">
        <f>HYPERLINK("https://klasma.github.io/Logging_0117/tillsyn/A 37244-2024 tillsynsbegäran.docx", "A 37244-2024")</f>
        <v/>
      </c>
      <c r="AD10">
        <f>HYPERLINK("https://klasma.github.io/Logging_0117/tillsynsmail/A 37244-2024 tillsynsbegäran mail.docx", "A 37244-2024")</f>
        <v/>
      </c>
      <c r="AE10">
        <f>HYPERLINK("https://klasma.github.io/Logging_0117/fåglar/A 37244-2024 prioriterade fågelarter.docx", "A 37244-2024")</f>
        <v/>
      </c>
    </row>
    <row r="11" ht="15" customHeight="1">
      <c r="A11" t="inlineStr">
        <is>
          <t>A 3914-2023</t>
        </is>
      </c>
      <c r="B11" t="inlineStr">
        <is>
          <t>avverkningsanmälan</t>
        </is>
      </c>
      <c r="C11" t="inlineStr">
        <is>
          <t>Föryngringsavverkning</t>
        </is>
      </c>
      <c r="D11" s="1" t="n">
        <v>44952</v>
      </c>
      <c r="E11" s="1" t="n">
        <v>46234</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46234</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27948-2025</t>
        </is>
      </c>
      <c r="B13" t="inlineStr">
        <is>
          <t>avverkningsanmälan</t>
        </is>
      </c>
      <c r="C13" t="inlineStr">
        <is>
          <t>Föryngringsavverkning</t>
        </is>
      </c>
      <c r="D13" s="1" t="n">
        <v>45817</v>
      </c>
      <c r="E13" s="1" t="n">
        <v>46234</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46234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46234</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46234</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46234</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46234</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46234</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46234</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46234</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46234</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46234</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46234</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46234</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46234</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62839-2025</t>
        </is>
      </c>
      <c r="B27" t="inlineStr">
        <is>
          <t>avverkningsanmälan</t>
        </is>
      </c>
      <c r="C27" t="inlineStr">
        <is>
          <t>Föryngringsavverkning</t>
        </is>
      </c>
      <c r="D27" s="1" t="n">
        <v>46008</v>
      </c>
      <c r="E27" s="1" t="n">
        <v>46234</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46234</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46234</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46234</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46234</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46234</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46234</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46234</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46234</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46234</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46234</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46234</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46234</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46234</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46234</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46234</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46234</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46234</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46234</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46234</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46234</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46234</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46234</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46234</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52220-2025</t>
        </is>
      </c>
      <c r="B51" t="inlineStr">
        <is>
          <t>avverkningsanmälan</t>
        </is>
      </c>
      <c r="C51" t="inlineStr">
        <is>
          <t>Avverkning för annat ändamål</t>
        </is>
      </c>
      <c r="D51" s="1" t="n">
        <v>45953</v>
      </c>
      <c r="E51" s="1" t="n">
        <v>46234</v>
      </c>
      <c r="F51" t="inlineStr">
        <is>
          <t>STOCKHOLMS LÄN</t>
        </is>
      </c>
      <c r="G51" t="inlineStr">
        <is>
          <t>ÖSTERÅKER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46234</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46234</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17353-2025</t>
        </is>
      </c>
      <c r="B54" t="inlineStr">
        <is>
          <t>avverkningsanmälan</t>
        </is>
      </c>
      <c r="C54" t="inlineStr">
        <is>
          <t>Föryngringsavverkning</t>
        </is>
      </c>
      <c r="D54" s="1" t="n">
        <v>45756</v>
      </c>
      <c r="E54" s="1" t="n">
        <v>46234</v>
      </c>
      <c r="F54" t="inlineStr">
        <is>
          <t>STOCKHOLMS LÄN</t>
        </is>
      </c>
      <c r="G54" t="inlineStr">
        <is>
          <t>ÖSTERÅKER</t>
        </is>
      </c>
      <c r="H54" t="inlineStr">
        <is>
          <t>Övriga Aktiebolag</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61360-2022</t>
        </is>
      </c>
      <c r="B55" t="inlineStr">
        <is>
          <t>avverkningsanmälan</t>
        </is>
      </c>
      <c r="C55" t="inlineStr">
        <is>
          <t>Föryngringsavverkning</t>
        </is>
      </c>
      <c r="D55" s="1" t="n">
        <v>44915</v>
      </c>
      <c r="E55" s="1" t="n">
        <v>46234</v>
      </c>
      <c r="F55" t="inlineStr">
        <is>
          <t>STOCKHOLMS LÄN</t>
        </is>
      </c>
      <c r="G55" t="inlineStr">
        <is>
          <t>ÖSTERÅKER</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16728-2022</t>
        </is>
      </c>
      <c r="B56" t="inlineStr">
        <is>
          <t>avverkningsanmälan</t>
        </is>
      </c>
      <c r="C56" t="inlineStr">
        <is>
          <t>Föryngringsavverkning</t>
        </is>
      </c>
      <c r="D56" s="1" t="n">
        <v>44673</v>
      </c>
      <c r="E56" s="1" t="n">
        <v>46234</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46234</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46234</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22528-2024</t>
        </is>
      </c>
      <c r="B59" t="inlineStr">
        <is>
          <t>avverkningsanmälan</t>
        </is>
      </c>
      <c r="C59" t="inlineStr">
        <is>
          <t>Föryngringsavverkning</t>
        </is>
      </c>
      <c r="D59" s="1" t="n">
        <v>45447</v>
      </c>
      <c r="E59" s="1" t="n">
        <v>46234</v>
      </c>
      <c r="F59" t="inlineStr">
        <is>
          <t>STOCKHOLMS LÄN</t>
        </is>
      </c>
      <c r="G59" t="inlineStr">
        <is>
          <t>ÖSTERÅKER</t>
        </is>
      </c>
      <c r="H59" t="inlineStr">
        <is>
          <t>Övriga Aktiebolag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46234</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46234</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46234</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5038-2026</t>
        </is>
      </c>
      <c r="B63" t="inlineStr">
        <is>
          <t>avverkningsanmälan</t>
        </is>
      </c>
      <c r="C63" t="inlineStr">
        <is>
          <t>Föryngringsavverkning</t>
        </is>
      </c>
      <c r="D63" s="1" t="n">
        <v>46049</v>
      </c>
      <c r="E63" s="1" t="n">
        <v>46234</v>
      </c>
      <c r="F63" t="inlineStr">
        <is>
          <t>STOCKHOLMS LÄN</t>
        </is>
      </c>
      <c r="G63" t="inlineStr">
        <is>
          <t>ÖSTERÅKER</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46234</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46234</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12345-2026</t>
        </is>
      </c>
      <c r="B66" t="inlineStr">
        <is>
          <t>avverkningsanmälan</t>
        </is>
      </c>
      <c r="C66" t="inlineStr">
        <is>
          <t>Föryngringsavverkning</t>
        </is>
      </c>
      <c r="D66" s="1" t="n">
        <v>46087</v>
      </c>
      <c r="E66" s="1" t="n">
        <v>46234</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46234</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46234</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845-2024</t>
        </is>
      </c>
      <c r="B69" t="inlineStr">
        <is>
          <t>avverkningsanmälan</t>
        </is>
      </c>
      <c r="C69" t="inlineStr">
        <is>
          <t>Föryngringsavverkning</t>
        </is>
      </c>
      <c r="D69" s="1" t="n">
        <v>45300</v>
      </c>
      <c r="E69" s="1" t="n">
        <v>46234</v>
      </c>
      <c r="F69" t="inlineStr">
        <is>
          <t>STOCKHOLMS LÄN</t>
        </is>
      </c>
      <c r="G69" t="inlineStr">
        <is>
          <t>ÖSTERÅKER</t>
        </is>
      </c>
      <c r="I69" t="n">
        <v>10.1</v>
      </c>
      <c r="J69" t="n">
        <v>0</v>
      </c>
      <c r="K69" t="n">
        <v>0</v>
      </c>
      <c r="L69" t="n">
        <v>0</v>
      </c>
      <c r="M69" t="n">
        <v>0</v>
      </c>
      <c r="N69" t="n">
        <v>0</v>
      </c>
      <c r="O69" t="n">
        <v>0</v>
      </c>
      <c r="P69" t="n">
        <v>0</v>
      </c>
      <c r="Q69" t="n">
        <v>0</v>
      </c>
      <c r="R69" t="n">
        <v>0</v>
      </c>
      <c r="S69" t="n">
        <v>0</v>
      </c>
      <c r="T69" t="n">
        <v>0</v>
      </c>
      <c r="U69" t="n">
        <v>0</v>
      </c>
      <c r="V69" s="2" t="inlineStr"/>
    </row>
    <row r="70" ht="15" customHeight="1">
      <c r="A70" t="inlineStr">
        <is>
          <t>A 31134-2023</t>
        </is>
      </c>
      <c r="B70" t="inlineStr">
        <is>
          <t>avverkningsanmälan</t>
        </is>
      </c>
      <c r="C70" t="inlineStr">
        <is>
          <t>Föryngringsavverkning</t>
        </is>
      </c>
      <c r="D70" s="1" t="n">
        <v>45113</v>
      </c>
      <c r="E70" s="1" t="n">
        <v>46234</v>
      </c>
      <c r="F70" t="inlineStr">
        <is>
          <t>STOCKHOLMS LÄN</t>
        </is>
      </c>
      <c r="G70" t="inlineStr">
        <is>
          <t>ÖSTERÅKER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34713-2025</t>
        </is>
      </c>
      <c r="B71" t="inlineStr">
        <is>
          <t>avverkningsanmälan</t>
        </is>
      </c>
      <c r="C71" t="inlineStr">
        <is>
          <t>Föryngringsavverkning</t>
        </is>
      </c>
      <c r="D71" s="1" t="n">
        <v>45848</v>
      </c>
      <c r="E71" s="1" t="n">
        <v>46234</v>
      </c>
      <c r="F71" t="inlineStr">
        <is>
          <t>STOCKHOLMS LÄN</t>
        </is>
      </c>
      <c r="G71" t="inlineStr">
        <is>
          <t>ÖSTERÅKER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60482-2025</t>
        </is>
      </c>
      <c r="B72" t="inlineStr">
        <is>
          <t>avverkningsanmälan</t>
        </is>
      </c>
      <c r="C72" t="inlineStr">
        <is>
          <t>Föryngringsavverkning</t>
        </is>
      </c>
      <c r="D72" s="1" t="n">
        <v>45995</v>
      </c>
      <c r="E72" s="1" t="n">
        <v>46234</v>
      </c>
      <c r="F72" t="inlineStr">
        <is>
          <t>STOCKHOLMS LÄN</t>
        </is>
      </c>
      <c r="G72" t="inlineStr">
        <is>
          <t>ÖSTERÅKER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21796-2025</t>
        </is>
      </c>
      <c r="B73" t="inlineStr">
        <is>
          <t>avverkningsanmälan</t>
        </is>
      </c>
      <c r="C73" t="inlineStr">
        <is>
          <t>Föryngringsavverkning</t>
        </is>
      </c>
      <c r="D73" s="1" t="n">
        <v>45783</v>
      </c>
      <c r="E73" s="1" t="n">
        <v>46234</v>
      </c>
      <c r="F73" t="inlineStr">
        <is>
          <t>STOCKHOLMS LÄN</t>
        </is>
      </c>
      <c r="G73" t="inlineStr">
        <is>
          <t>ÖSTERÅKER</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10185-2025</t>
        </is>
      </c>
      <c r="B74" t="inlineStr">
        <is>
          <t>avverkningsanmälan</t>
        </is>
      </c>
      <c r="C74" t="inlineStr">
        <is>
          <t>Föryngringsavverkning</t>
        </is>
      </c>
      <c r="D74" s="1" t="n">
        <v>45719</v>
      </c>
      <c r="E74" s="1" t="n">
        <v>46234</v>
      </c>
      <c r="F74" t="inlineStr">
        <is>
          <t>STOCKHOLMS LÄN</t>
        </is>
      </c>
      <c r="G74" t="inlineStr">
        <is>
          <t>ÖSTERÅKER</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18711-2023</t>
        </is>
      </c>
      <c r="B75" t="inlineStr">
        <is>
          <t>avverkningsanmälan</t>
        </is>
      </c>
      <c r="C75" t="inlineStr">
        <is>
          <t>Föryngringsavverkning</t>
        </is>
      </c>
      <c r="D75" s="1" t="n">
        <v>45043</v>
      </c>
      <c r="E75" s="1" t="n">
        <v>46234</v>
      </c>
      <c r="F75" t="inlineStr">
        <is>
          <t>STOCKHOLMS LÄN</t>
        </is>
      </c>
      <c r="G75" t="inlineStr">
        <is>
          <t>ÖSTERÅKER</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23144-2024</t>
        </is>
      </c>
      <c r="B76" t="inlineStr">
        <is>
          <t>avverkningsanmälan</t>
        </is>
      </c>
      <c r="C76" t="inlineStr">
        <is>
          <t>Föryngringsavverkning</t>
        </is>
      </c>
      <c r="D76" s="1" t="n">
        <v>45450</v>
      </c>
      <c r="E76" s="1" t="n">
        <v>46234</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24499-2023</t>
        </is>
      </c>
      <c r="B77" t="inlineStr">
        <is>
          <t>avverkningsanmälan</t>
        </is>
      </c>
      <c r="C77" t="inlineStr">
        <is>
          <t>Föryngringsavverkning</t>
        </is>
      </c>
      <c r="D77" s="1" t="n">
        <v>45082</v>
      </c>
      <c r="E77" s="1" t="n">
        <v>46234</v>
      </c>
      <c r="F77" t="inlineStr">
        <is>
          <t>STOCKHOLMS LÄN</t>
        </is>
      </c>
      <c r="G77" t="inlineStr">
        <is>
          <t>ÖSTERÅKER</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17263-2022</t>
        </is>
      </c>
      <c r="B78" t="inlineStr">
        <is>
          <t>avverkningsanmälan</t>
        </is>
      </c>
      <c r="C78" t="inlineStr">
        <is>
          <t>Föryngringsavverkning</t>
        </is>
      </c>
      <c r="D78" s="1" t="n">
        <v>44678</v>
      </c>
      <c r="E78" s="1" t="n">
        <v>46234</v>
      </c>
      <c r="F78" t="inlineStr">
        <is>
          <t>STOCKHOLMS LÄN</t>
        </is>
      </c>
      <c r="G78" t="inlineStr">
        <is>
          <t>ÖSTERÅKER</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28146-2024</t>
        </is>
      </c>
      <c r="B79" t="inlineStr">
        <is>
          <t>avverkningsanmälan</t>
        </is>
      </c>
      <c r="C79" t="inlineStr">
        <is>
          <t>Föryngringsavverkning</t>
        </is>
      </c>
      <c r="D79" s="1" t="n">
        <v>45476</v>
      </c>
      <c r="E79" s="1" t="n">
        <v>46234</v>
      </c>
      <c r="F79" t="inlineStr">
        <is>
          <t>STOCKHOLMS LÄN</t>
        </is>
      </c>
      <c r="G79" t="inlineStr">
        <is>
          <t>ÖSTERÅKER</t>
        </is>
      </c>
      <c r="H79" t="inlineStr">
        <is>
          <t>Övriga Aktiebolag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57048-2024</t>
        </is>
      </c>
      <c r="B80" t="inlineStr">
        <is>
          <t>avverkningsanmälan</t>
        </is>
      </c>
      <c r="C80" t="inlineStr">
        <is>
          <t>Föryngringsavverkning</t>
        </is>
      </c>
      <c r="D80" s="1" t="n">
        <v>45629</v>
      </c>
      <c r="E80" s="1" t="n">
        <v>46234</v>
      </c>
      <c r="F80" t="inlineStr">
        <is>
          <t>STOCKHOLMS LÄN</t>
        </is>
      </c>
      <c r="G80" t="inlineStr">
        <is>
          <t>ÖSTERÅKER</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5286-2025</t>
        </is>
      </c>
      <c r="B81" t="inlineStr">
        <is>
          <t>avverkningsanmälan</t>
        </is>
      </c>
      <c r="C81" t="inlineStr">
        <is>
          <t>Föryngringsavverkning</t>
        </is>
      </c>
      <c r="D81" s="1" t="n">
        <v>45692</v>
      </c>
      <c r="E81" s="1" t="n">
        <v>46234</v>
      </c>
      <c r="F81" t="inlineStr">
        <is>
          <t>STOCKHOLMS LÄN</t>
        </is>
      </c>
      <c r="G81" t="inlineStr">
        <is>
          <t>ÖSTERÅKER</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3817-2023</t>
        </is>
      </c>
      <c r="B82" t="inlineStr">
        <is>
          <t>avverkningsanmälan</t>
        </is>
      </c>
      <c r="C82" t="inlineStr">
        <is>
          <t>Föryngringsavverkning</t>
        </is>
      </c>
      <c r="D82" s="1" t="n">
        <v>44951</v>
      </c>
      <c r="E82" s="1" t="n">
        <v>46234</v>
      </c>
      <c r="F82" t="inlineStr">
        <is>
          <t>STOCKHOLMS LÄN</t>
        </is>
      </c>
      <c r="G82" t="inlineStr">
        <is>
          <t>ÖSTERÅKER</t>
        </is>
      </c>
      <c r="H82" t="inlineStr">
        <is>
          <t>Kommuner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544-2023</t>
        </is>
      </c>
      <c r="B83" t="inlineStr">
        <is>
          <t>avverkningsanmälan</t>
        </is>
      </c>
      <c r="C83" t="inlineStr">
        <is>
          <t>Avverkning för annat ändamål</t>
        </is>
      </c>
      <c r="D83" s="1" t="n">
        <v>44924</v>
      </c>
      <c r="E83" s="1" t="n">
        <v>46234</v>
      </c>
      <c r="F83" t="inlineStr">
        <is>
          <t>STOCKHOLMS LÄN</t>
        </is>
      </c>
      <c r="G83" t="inlineStr">
        <is>
          <t>ÖSTERÅKER</t>
        </is>
      </c>
      <c r="H83" t="inlineStr">
        <is>
          <t>Övriga Aktiebolag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3326-2022</t>
        </is>
      </c>
      <c r="B84" t="inlineStr">
        <is>
          <t>avverkningsanmälan</t>
        </is>
      </c>
      <c r="C84" t="inlineStr">
        <is>
          <t>Föryngringsavverkning</t>
        </is>
      </c>
      <c r="D84" s="1" t="n">
        <v>44583</v>
      </c>
      <c r="E84" s="1" t="n">
        <v>46234</v>
      </c>
      <c r="F84" t="inlineStr">
        <is>
          <t>STOCKHOLMS LÄN</t>
        </is>
      </c>
      <c r="G84" t="inlineStr">
        <is>
          <t>ÖSTERÅKER</t>
        </is>
      </c>
      <c r="H84" t="inlineStr">
        <is>
          <t>Övriga Aktiebolag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34038-2025</t>
        </is>
      </c>
      <c r="B85" t="inlineStr">
        <is>
          <t>avverkningsanmälan</t>
        </is>
      </c>
      <c r="C85" t="inlineStr">
        <is>
          <t>Föryngringsavverkning</t>
        </is>
      </c>
      <c r="D85" s="1" t="n">
        <v>45842</v>
      </c>
      <c r="E85" s="1" t="n">
        <v>46234</v>
      </c>
      <c r="F85" t="inlineStr">
        <is>
          <t>STOCKHOLMS LÄN</t>
        </is>
      </c>
      <c r="G85" t="inlineStr">
        <is>
          <t>ÖSTERÅKER</t>
        </is>
      </c>
      <c r="H85" t="inlineStr">
        <is>
          <t>Övriga Aktiebolag</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46234</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46234</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46234</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29443-2026</t>
        </is>
      </c>
      <c r="B89" t="inlineStr">
        <is>
          <t>avverkningsanmälan</t>
        </is>
      </c>
      <c r="C89" t="inlineStr">
        <is>
          <t>Föryngringsavverkning</t>
        </is>
      </c>
      <c r="D89" s="1" t="n">
        <v>46203</v>
      </c>
      <c r="E89" s="1" t="n">
        <v>46234</v>
      </c>
      <c r="F89" t="inlineStr">
        <is>
          <t>STOCKHOLMS LÄN</t>
        </is>
      </c>
      <c r="G89" t="inlineStr">
        <is>
          <t>ÖSTERÅKER</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46688-2022</t>
        </is>
      </c>
      <c r="B90" t="inlineStr">
        <is>
          <t>avverkningsanmälan</t>
        </is>
      </c>
      <c r="C90" t="inlineStr">
        <is>
          <t>Föryngringsavverkning</t>
        </is>
      </c>
      <c r="D90" s="1" t="n">
        <v>44851</v>
      </c>
      <c r="E90" s="1" t="n">
        <v>46234</v>
      </c>
      <c r="F90" t="inlineStr">
        <is>
          <t>STOCKHOLMS LÄN</t>
        </is>
      </c>
      <c r="G90" t="inlineStr">
        <is>
          <t>ÖSTERÅKER</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16738-2022</t>
        </is>
      </c>
      <c r="B91" t="inlineStr">
        <is>
          <t>avverkningsanmälan</t>
        </is>
      </c>
      <c r="C91" t="inlineStr">
        <is>
          <t>Avverkning för annat ändamål</t>
        </is>
      </c>
      <c r="D91" s="1" t="n">
        <v>44673</v>
      </c>
      <c r="E91" s="1" t="n">
        <v>46234</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17196-2022</t>
        </is>
      </c>
      <c r="B92" t="inlineStr">
        <is>
          <t>avverkningsanmälan</t>
        </is>
      </c>
      <c r="C92" t="inlineStr">
        <is>
          <t>Föryngringsavverkning</t>
        </is>
      </c>
      <c r="D92" s="1" t="n">
        <v>44677</v>
      </c>
      <c r="E92" s="1" t="n">
        <v>46234</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23198-2026</t>
        </is>
      </c>
      <c r="B93" t="inlineStr">
        <is>
          <t>avverkningsanmälan</t>
        </is>
      </c>
      <c r="C93" t="inlineStr">
        <is>
          <t>Avverkning för annat ändamål</t>
        </is>
      </c>
      <c r="D93" s="1" t="n">
        <v>46161</v>
      </c>
      <c r="E93" s="1" t="n">
        <v>46234</v>
      </c>
      <c r="F93" t="inlineStr">
        <is>
          <t>STOCKHOLMS LÄN</t>
        </is>
      </c>
      <c r="G93" t="inlineStr">
        <is>
          <t>ÖSTERÅKER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9865-2025</t>
        </is>
      </c>
      <c r="B94" t="inlineStr">
        <is>
          <t>avverkningsanmälan</t>
        </is>
      </c>
      <c r="C94" t="inlineStr">
        <is>
          <t>Föryngringsavverkning</t>
        </is>
      </c>
      <c r="D94" s="1" t="n">
        <v>45716</v>
      </c>
      <c r="E94" s="1" t="n">
        <v>46234</v>
      </c>
      <c r="F94" t="inlineStr">
        <is>
          <t>STOCKHOLMS LÄN</t>
        </is>
      </c>
      <c r="G94" t="inlineStr">
        <is>
          <t>ÖSTERÅKER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30599-2026</t>
        </is>
      </c>
      <c r="B95" t="inlineStr">
        <is>
          <t>avverkningsanmälan</t>
        </is>
      </c>
      <c r="C95" t="inlineStr">
        <is>
          <t>Föryngringsavverkning</t>
        </is>
      </c>
      <c r="D95" s="1" t="n">
        <v>46210</v>
      </c>
      <c r="E95" s="1" t="n">
        <v>46234</v>
      </c>
      <c r="F95" t="inlineStr">
        <is>
          <t>STOCKHOLMS LÄN</t>
        </is>
      </c>
      <c r="G95" t="inlineStr">
        <is>
          <t>ÖSTERÅKER</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3917-2023</t>
        </is>
      </c>
      <c r="B96" t="inlineStr">
        <is>
          <t>avverkningsanmälan</t>
        </is>
      </c>
      <c r="C96" t="inlineStr">
        <is>
          <t>Föryngringsavverkning</t>
        </is>
      </c>
      <c r="D96" s="1" t="n">
        <v>44952</v>
      </c>
      <c r="E96" s="1" t="n">
        <v>46234</v>
      </c>
      <c r="F96" t="inlineStr">
        <is>
          <t>STOCKHOLMS LÄN</t>
        </is>
      </c>
      <c r="G96" t="inlineStr">
        <is>
          <t>ÖSTERÅKER</t>
        </is>
      </c>
      <c r="H96" t="inlineStr">
        <is>
          <t>Kommuner</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62108-2022</t>
        </is>
      </c>
      <c r="B97" t="inlineStr">
        <is>
          <t>avverkningsanmälan</t>
        </is>
      </c>
      <c r="C97" t="inlineStr">
        <is>
          <t>Föryngringsavverkning</t>
        </is>
      </c>
      <c r="D97" s="1" t="n">
        <v>44920</v>
      </c>
      <c r="E97" s="1" t="n">
        <v>46234</v>
      </c>
      <c r="F97" t="inlineStr">
        <is>
          <t>STOCKHOLMS LÄN</t>
        </is>
      </c>
      <c r="G97" t="inlineStr">
        <is>
          <t>ÖSTERÅKER</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31146-2026</t>
        </is>
      </c>
      <c r="B98" t="inlineStr">
        <is>
          <t>avverkningsanmälan</t>
        </is>
      </c>
      <c r="C98" t="inlineStr">
        <is>
          <t>Föryngringsavverkning</t>
        </is>
      </c>
      <c r="D98" s="1" t="n">
        <v>46216</v>
      </c>
      <c r="E98" s="1" t="n">
        <v>46234</v>
      </c>
      <c r="F98" t="inlineStr">
        <is>
          <t>STOCKHOLMS LÄN</t>
        </is>
      </c>
      <c r="G98" t="inlineStr">
        <is>
          <t>ÖSTERÅKER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46234</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31149-2026</t>
        </is>
      </c>
      <c r="B100" t="inlineStr">
        <is>
          <t>avverkningsanmälan</t>
        </is>
      </c>
      <c r="C100" t="inlineStr">
        <is>
          <t>Föryngringsavverkning</t>
        </is>
      </c>
      <c r="D100" s="1" t="n">
        <v>46216</v>
      </c>
      <c r="E100" s="1" t="n">
        <v>46234</v>
      </c>
      <c r="F100" t="inlineStr">
        <is>
          <t>STOCKHOLMS LÄN</t>
        </is>
      </c>
      <c r="G100" t="inlineStr">
        <is>
          <t>ÖSTERÅKER</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31154-2026</t>
        </is>
      </c>
      <c r="B101" t="inlineStr">
        <is>
          <t>avverkningsanmälan</t>
        </is>
      </c>
      <c r="C101" t="inlineStr">
        <is>
          <t>Föryngringsavverkning</t>
        </is>
      </c>
      <c r="D101" s="1" t="n">
        <v>46216</v>
      </c>
      <c r="E101" s="1" t="n">
        <v>46234</v>
      </c>
      <c r="F101" t="inlineStr">
        <is>
          <t>STOCKHOLMS LÄN</t>
        </is>
      </c>
      <c r="G101" t="inlineStr">
        <is>
          <t>ÖSTERÅKER</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26249-2026</t>
        </is>
      </c>
      <c r="B102" t="inlineStr">
        <is>
          <t>avverkningsanmälan</t>
        </is>
      </c>
      <c r="C102" t="inlineStr">
        <is>
          <t>Avverkning för annat ändamål</t>
        </is>
      </c>
      <c r="D102" s="1" t="n">
        <v>46182</v>
      </c>
      <c r="E102" s="1" t="n">
        <v>46234</v>
      </c>
      <c r="F102" t="inlineStr">
        <is>
          <t>STOCKHOLMS LÄN</t>
        </is>
      </c>
      <c r="G102" t="inlineStr">
        <is>
          <t>ÖSTERÅKER</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2026-07-31T01:54:07Z</dcterms:created>
  <dcterms:modified xmlns:dcterms="http://purl.org/dc/terms/" xmlns:xsi="http://www.w3.org/2001/XMLSchema-instance" xsi:type="dcterms:W3CDTF">2026-07-31T01:54:08Z</dcterms:modified>
</cp:coreProperties>
</file>