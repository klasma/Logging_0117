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45998</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45998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43308-2024</t>
        </is>
      </c>
      <c r="B9" s="1" t="n">
        <v>45568</v>
      </c>
      <c r="C9" s="1" t="n">
        <v>45998</v>
      </c>
      <c r="D9" t="inlineStr">
        <is>
          <t>STOCKHOLMS LÄN</t>
        </is>
      </c>
      <c r="E9" t="inlineStr">
        <is>
          <t>ÖSTERÅKER</t>
        </is>
      </c>
      <c r="F9" t="inlineStr">
        <is>
          <t>Kyrkan</t>
        </is>
      </c>
      <c r="G9" t="n">
        <v>3.2</v>
      </c>
      <c r="H9" t="n">
        <v>0</v>
      </c>
      <c r="I9" t="n">
        <v>1</v>
      </c>
      <c r="J9" t="n">
        <v>1</v>
      </c>
      <c r="K9" t="n">
        <v>0</v>
      </c>
      <c r="L9" t="n">
        <v>0</v>
      </c>
      <c r="M9" t="n">
        <v>0</v>
      </c>
      <c r="N9" t="n">
        <v>0</v>
      </c>
      <c r="O9" t="n">
        <v>1</v>
      </c>
      <c r="P9" t="n">
        <v>0</v>
      </c>
      <c r="Q9" t="n">
        <v>2</v>
      </c>
      <c r="R9" s="2" t="inlineStr">
        <is>
          <t>Tallticka
Dropptaggsvamp</t>
        </is>
      </c>
      <c r="S9">
        <f>HYPERLINK("https://klasma.github.io/Logging_0117/artfynd/A 43308-2024 artfynd.xlsx", "A 43308-2024")</f>
        <v/>
      </c>
      <c r="T9">
        <f>HYPERLINK("https://klasma.github.io/Logging_0117/kartor/A 43308-2024 karta.png", "A 43308-2024")</f>
        <v/>
      </c>
      <c r="V9">
        <f>HYPERLINK("https://klasma.github.io/Logging_0117/klagomål/A 43308-2024 FSC-klagomål.docx", "A 43308-2024")</f>
        <v/>
      </c>
      <c r="W9">
        <f>HYPERLINK("https://klasma.github.io/Logging_0117/klagomålsmail/A 43308-2024 FSC-klagomål mail.docx", "A 43308-2024")</f>
        <v/>
      </c>
      <c r="X9">
        <f>HYPERLINK("https://klasma.github.io/Logging_0117/tillsyn/A 43308-2024 tillsynsbegäran.docx", "A 43308-2024")</f>
        <v/>
      </c>
      <c r="Y9">
        <f>HYPERLINK("https://klasma.github.io/Logging_0117/tillsynsmail/A 43308-2024 tillsynsbegäran mail.docx", "A 43308-2024")</f>
        <v/>
      </c>
    </row>
    <row r="10" ht="15" customHeight="1">
      <c r="A10" t="inlineStr">
        <is>
          <t>A 61275-2021</t>
        </is>
      </c>
      <c r="B10" s="1" t="n">
        <v>44498</v>
      </c>
      <c r="C10" s="1" t="n">
        <v>45998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54703-2024</t>
        </is>
      </c>
      <c r="B11" s="1" t="n">
        <v>45618</v>
      </c>
      <c r="C11" s="1" t="n">
        <v>45998</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45998</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36366-2025</t>
        </is>
      </c>
      <c r="B13" s="1" t="n">
        <v>45868</v>
      </c>
      <c r="C13" s="1" t="n">
        <v>45998</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45998</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45998</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45998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45998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45998</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45998</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27921-2025</t>
        </is>
      </c>
      <c r="B20" s="1" t="n">
        <v>45817.4846875</v>
      </c>
      <c r="C20" s="1" t="n">
        <v>45998</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45998</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3919-2023</t>
        </is>
      </c>
      <c r="B22" s="1" t="n">
        <v>44952</v>
      </c>
      <c r="C22" s="1" t="n">
        <v>45998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67244-2021</t>
        </is>
      </c>
      <c r="B27" s="1" t="n">
        <v>44523</v>
      </c>
      <c r="C27" s="1" t="n">
        <v>45998</v>
      </c>
      <c r="D27" t="inlineStr">
        <is>
          <t>STOCKHOLMS LÄN</t>
        </is>
      </c>
      <c r="E27" t="inlineStr">
        <is>
          <t>ÖSTERÅKER</t>
        </is>
      </c>
      <c r="F27" t="inlineStr">
        <is>
          <t>Kommuner</t>
        </is>
      </c>
      <c r="G27" t="n">
        <v>5.3</v>
      </c>
      <c r="H27" t="n">
        <v>0</v>
      </c>
      <c r="I27" t="n">
        <v>0</v>
      </c>
      <c r="J27" t="n">
        <v>0</v>
      </c>
      <c r="K27" t="n">
        <v>0</v>
      </c>
      <c r="L27" t="n">
        <v>0</v>
      </c>
      <c r="M27" t="n">
        <v>0</v>
      </c>
      <c r="N27" t="n">
        <v>0</v>
      </c>
      <c r="O27" t="n">
        <v>0</v>
      </c>
      <c r="P27" t="n">
        <v>0</v>
      </c>
      <c r="Q27" t="n">
        <v>0</v>
      </c>
      <c r="R27" s="2" t="inlineStr"/>
    </row>
    <row r="28" ht="15" customHeight="1">
      <c r="A28" t="inlineStr">
        <is>
          <t>A 15131-2022</t>
        </is>
      </c>
      <c r="B28" s="1" t="n">
        <v>44658</v>
      </c>
      <c r="C28" s="1" t="n">
        <v>45998</v>
      </c>
      <c r="D28" t="inlineStr">
        <is>
          <t>STOCKHOLMS LÄN</t>
        </is>
      </c>
      <c r="E28" t="inlineStr">
        <is>
          <t>ÖSTERÅKER</t>
        </is>
      </c>
      <c r="G28" t="n">
        <v>4.6</v>
      </c>
      <c r="H28" t="n">
        <v>0</v>
      </c>
      <c r="I28" t="n">
        <v>0</v>
      </c>
      <c r="J28" t="n">
        <v>0</v>
      </c>
      <c r="K28" t="n">
        <v>0</v>
      </c>
      <c r="L28" t="n">
        <v>0</v>
      </c>
      <c r="M28" t="n">
        <v>0</v>
      </c>
      <c r="N28" t="n">
        <v>0</v>
      </c>
      <c r="O28" t="n">
        <v>0</v>
      </c>
      <c r="P28" t="n">
        <v>0</v>
      </c>
      <c r="Q28" t="n">
        <v>0</v>
      </c>
      <c r="R28" s="2" t="inlineStr"/>
    </row>
    <row r="29" ht="15" customHeight="1">
      <c r="A29" t="inlineStr">
        <is>
          <t>A 17263-2022</t>
        </is>
      </c>
      <c r="B29" s="1" t="n">
        <v>44678</v>
      </c>
      <c r="C29" s="1" t="n">
        <v>45998</v>
      </c>
      <c r="D29" t="inlineStr">
        <is>
          <t>STOCKHOLMS LÄN</t>
        </is>
      </c>
      <c r="E29" t="inlineStr">
        <is>
          <t>ÖSTERÅKER</t>
        </is>
      </c>
      <c r="G29" t="n">
        <v>2.4</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45998</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45998</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28405-2022</t>
        </is>
      </c>
      <c r="B32" s="1" t="n">
        <v>44747</v>
      </c>
      <c r="C32" s="1" t="n">
        <v>45998</v>
      </c>
      <c r="D32" t="inlineStr">
        <is>
          <t>STOCKHOLMS LÄN</t>
        </is>
      </c>
      <c r="E32" t="inlineStr">
        <is>
          <t>ÖSTERÅKER</t>
        </is>
      </c>
      <c r="G32" t="n">
        <v>1.9</v>
      </c>
      <c r="H32" t="n">
        <v>0</v>
      </c>
      <c r="I32" t="n">
        <v>0</v>
      </c>
      <c r="J32" t="n">
        <v>0</v>
      </c>
      <c r="K32" t="n">
        <v>0</v>
      </c>
      <c r="L32" t="n">
        <v>0</v>
      </c>
      <c r="M32" t="n">
        <v>0</v>
      </c>
      <c r="N32" t="n">
        <v>0</v>
      </c>
      <c r="O32" t="n">
        <v>0</v>
      </c>
      <c r="P32" t="n">
        <v>0</v>
      </c>
      <c r="Q32" t="n">
        <v>0</v>
      </c>
      <c r="R32" s="2" t="inlineStr"/>
    </row>
    <row r="33" ht="15" customHeight="1">
      <c r="A33" t="inlineStr">
        <is>
          <t>A 17173-2022</t>
        </is>
      </c>
      <c r="B33" s="1" t="n">
        <v>44677</v>
      </c>
      <c r="C33" s="1" t="n">
        <v>45998</v>
      </c>
      <c r="D33" t="inlineStr">
        <is>
          <t>STOCKHOLMS LÄN</t>
        </is>
      </c>
      <c r="E33" t="inlineStr">
        <is>
          <t>ÖSTERÅKER</t>
        </is>
      </c>
      <c r="G33" t="n">
        <v>2.8</v>
      </c>
      <c r="H33" t="n">
        <v>0</v>
      </c>
      <c r="I33" t="n">
        <v>0</v>
      </c>
      <c r="J33" t="n">
        <v>0</v>
      </c>
      <c r="K33" t="n">
        <v>0</v>
      </c>
      <c r="L33" t="n">
        <v>0</v>
      </c>
      <c r="M33" t="n">
        <v>0</v>
      </c>
      <c r="N33" t="n">
        <v>0</v>
      </c>
      <c r="O33" t="n">
        <v>0</v>
      </c>
      <c r="P33" t="n">
        <v>0</v>
      </c>
      <c r="Q33" t="n">
        <v>0</v>
      </c>
      <c r="R33" s="2" t="inlineStr"/>
    </row>
    <row r="34" ht="15" customHeight="1">
      <c r="A34" t="inlineStr">
        <is>
          <t>A 31075-2021</t>
        </is>
      </c>
      <c r="B34" s="1" t="n">
        <v>44368</v>
      </c>
      <c r="C34" s="1" t="n">
        <v>45998</v>
      </c>
      <c r="D34" t="inlineStr">
        <is>
          <t>STOCKHOLMS LÄN</t>
        </is>
      </c>
      <c r="E34" t="inlineStr">
        <is>
          <t>ÖSTERÅKER</t>
        </is>
      </c>
      <c r="F34" t="inlineStr">
        <is>
          <t>Övriga Aktiebolag</t>
        </is>
      </c>
      <c r="G34" t="n">
        <v>2.9</v>
      </c>
      <c r="H34" t="n">
        <v>0</v>
      </c>
      <c r="I34" t="n">
        <v>0</v>
      </c>
      <c r="J34" t="n">
        <v>0</v>
      </c>
      <c r="K34" t="n">
        <v>0</v>
      </c>
      <c r="L34" t="n">
        <v>0</v>
      </c>
      <c r="M34" t="n">
        <v>0</v>
      </c>
      <c r="N34" t="n">
        <v>0</v>
      </c>
      <c r="O34" t="n">
        <v>0</v>
      </c>
      <c r="P34" t="n">
        <v>0</v>
      </c>
      <c r="Q34" t="n">
        <v>0</v>
      </c>
      <c r="R34" s="2" t="inlineStr"/>
    </row>
    <row r="35" ht="15" customHeight="1">
      <c r="A35" t="inlineStr">
        <is>
          <t>A 13921-2021</t>
        </is>
      </c>
      <c r="B35" s="1" t="n">
        <v>44277</v>
      </c>
      <c r="C35" s="1" t="n">
        <v>45998</v>
      </c>
      <c r="D35" t="inlineStr">
        <is>
          <t>STOCKHOLMS LÄN</t>
        </is>
      </c>
      <c r="E35" t="inlineStr">
        <is>
          <t>ÖSTERÅKER</t>
        </is>
      </c>
      <c r="G35" t="n">
        <v>0.9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45998</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18172-2021</t>
        </is>
      </c>
      <c r="B37" s="1" t="n">
        <v>44302.62196759259</v>
      </c>
      <c r="C37" s="1" t="n">
        <v>45998</v>
      </c>
      <c r="D37" t="inlineStr">
        <is>
          <t>STOCKHOLMS LÄN</t>
        </is>
      </c>
      <c r="E37" t="inlineStr">
        <is>
          <t>ÖSTERÅKER</t>
        </is>
      </c>
      <c r="G37" t="n">
        <v>3.2</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45998</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45998</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45998</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45998</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45998</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45998</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470-2022</t>
        </is>
      </c>
      <c r="B44" s="1" t="n">
        <v>44565</v>
      </c>
      <c r="C44" s="1" t="n">
        <v>45998</v>
      </c>
      <c r="D44" t="inlineStr">
        <is>
          <t>STOCKHOLMS LÄN</t>
        </is>
      </c>
      <c r="E44" t="inlineStr">
        <is>
          <t>ÖSTERÅKER</t>
        </is>
      </c>
      <c r="F44" t="inlineStr">
        <is>
          <t>Övriga Aktiebolag</t>
        </is>
      </c>
      <c r="G44" t="n">
        <v>4.6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45998</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45998</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31575-2022</t>
        </is>
      </c>
      <c r="B47" s="1" t="n">
        <v>44775.45063657407</v>
      </c>
      <c r="C47" s="1" t="n">
        <v>45998</v>
      </c>
      <c r="D47" t="inlineStr">
        <is>
          <t>STOCKHOLMS LÄN</t>
        </is>
      </c>
      <c r="E47" t="inlineStr">
        <is>
          <t>ÖSTERÅKER</t>
        </is>
      </c>
      <c r="G47" t="n">
        <v>5</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45998</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28143-2024</t>
        </is>
      </c>
      <c r="B49" s="1" t="n">
        <v>45476</v>
      </c>
      <c r="C49" s="1" t="n">
        <v>45998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45998</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16728-2022</t>
        </is>
      </c>
      <c r="B51" s="1" t="n">
        <v>44673</v>
      </c>
      <c r="C51" s="1" t="n">
        <v>45998</v>
      </c>
      <c r="D51" t="inlineStr">
        <is>
          <t>STOCKHOLMS LÄN</t>
        </is>
      </c>
      <c r="E51" t="inlineStr">
        <is>
          <t>ÖSTERÅKER</t>
        </is>
      </c>
      <c r="G51" t="n">
        <v>0.9</v>
      </c>
      <c r="H51" t="n">
        <v>0</v>
      </c>
      <c r="I51" t="n">
        <v>0</v>
      </c>
      <c r="J51" t="n">
        <v>0</v>
      </c>
      <c r="K51" t="n">
        <v>0</v>
      </c>
      <c r="L51" t="n">
        <v>0</v>
      </c>
      <c r="M51" t="n">
        <v>0</v>
      </c>
      <c r="N51" t="n">
        <v>0</v>
      </c>
      <c r="O51" t="n">
        <v>0</v>
      </c>
      <c r="P51" t="n">
        <v>0</v>
      </c>
      <c r="Q51" t="n">
        <v>0</v>
      </c>
      <c r="R51" s="2" t="inlineStr"/>
    </row>
    <row r="52" ht="15" customHeight="1">
      <c r="A52" t="inlineStr">
        <is>
          <t>A 13366-2024</t>
        </is>
      </c>
      <c r="B52" s="1" t="n">
        <v>45387</v>
      </c>
      <c r="C52" s="1" t="n">
        <v>45998</v>
      </c>
      <c r="D52" t="inlineStr">
        <is>
          <t>STOCKHOLMS LÄN</t>
        </is>
      </c>
      <c r="E52" t="inlineStr">
        <is>
          <t>ÖSTERÅKER</t>
        </is>
      </c>
      <c r="G52" t="n">
        <v>13.7</v>
      </c>
      <c r="H52" t="n">
        <v>0</v>
      </c>
      <c r="I52" t="n">
        <v>0</v>
      </c>
      <c r="J52" t="n">
        <v>0</v>
      </c>
      <c r="K52" t="n">
        <v>0</v>
      </c>
      <c r="L52" t="n">
        <v>0</v>
      </c>
      <c r="M52" t="n">
        <v>0</v>
      </c>
      <c r="N52" t="n">
        <v>0</v>
      </c>
      <c r="O52" t="n">
        <v>0</v>
      </c>
      <c r="P52" t="n">
        <v>0</v>
      </c>
      <c r="Q52" t="n">
        <v>0</v>
      </c>
      <c r="R52" s="2" t="inlineStr"/>
    </row>
    <row r="53" ht="15" customHeight="1">
      <c r="A53" t="inlineStr">
        <is>
          <t>A 14776-2024</t>
        </is>
      </c>
      <c r="B53" s="1" t="n">
        <v>45397</v>
      </c>
      <c r="C53" s="1" t="n">
        <v>45998</v>
      </c>
      <c r="D53" t="inlineStr">
        <is>
          <t>STOCKHOLMS LÄN</t>
        </is>
      </c>
      <c r="E53" t="inlineStr">
        <is>
          <t>ÖSTERÅKER</t>
        </is>
      </c>
      <c r="G53" t="n">
        <v>13.6</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45998</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62108-2022</t>
        </is>
      </c>
      <c r="B55" s="1" t="n">
        <v>44920</v>
      </c>
      <c r="C55" s="1" t="n">
        <v>45998</v>
      </c>
      <c r="D55" t="inlineStr">
        <is>
          <t>STOCKHOLMS LÄN</t>
        </is>
      </c>
      <c r="E55" t="inlineStr">
        <is>
          <t>ÖSTERÅKER</t>
        </is>
      </c>
      <c r="G55" t="n">
        <v>1.5</v>
      </c>
      <c r="H55" t="n">
        <v>0</v>
      </c>
      <c r="I55" t="n">
        <v>0</v>
      </c>
      <c r="J55" t="n">
        <v>0</v>
      </c>
      <c r="K55" t="n">
        <v>0</v>
      </c>
      <c r="L55" t="n">
        <v>0</v>
      </c>
      <c r="M55" t="n">
        <v>0</v>
      </c>
      <c r="N55" t="n">
        <v>0</v>
      </c>
      <c r="O55" t="n">
        <v>0</v>
      </c>
      <c r="P55" t="n">
        <v>0</v>
      </c>
      <c r="Q55" t="n">
        <v>0</v>
      </c>
      <c r="R55" s="2" t="inlineStr"/>
    </row>
    <row r="56" ht="15" customHeight="1">
      <c r="A56" t="inlineStr">
        <is>
          <t>A 6655-2023</t>
        </is>
      </c>
      <c r="B56" s="1" t="n">
        <v>44966.60668981481</v>
      </c>
      <c r="C56" s="1" t="n">
        <v>45998</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61370-2022</t>
        </is>
      </c>
      <c r="B57" s="1" t="n">
        <v>44915</v>
      </c>
      <c r="C57" s="1" t="n">
        <v>45998</v>
      </c>
      <c r="D57" t="inlineStr">
        <is>
          <t>STOCKHOLMS LÄN</t>
        </is>
      </c>
      <c r="E57" t="inlineStr">
        <is>
          <t>ÖSTERÅKER</t>
        </is>
      </c>
      <c r="G57" t="n">
        <v>3.2</v>
      </c>
      <c r="H57" t="n">
        <v>0</v>
      </c>
      <c r="I57" t="n">
        <v>0</v>
      </c>
      <c r="J57" t="n">
        <v>0</v>
      </c>
      <c r="K57" t="n">
        <v>0</v>
      </c>
      <c r="L57" t="n">
        <v>0</v>
      </c>
      <c r="M57" t="n">
        <v>0</v>
      </c>
      <c r="N57" t="n">
        <v>0</v>
      </c>
      <c r="O57" t="n">
        <v>0</v>
      </c>
      <c r="P57" t="n">
        <v>0</v>
      </c>
      <c r="Q57" t="n">
        <v>0</v>
      </c>
      <c r="R57" s="2" t="inlineStr"/>
    </row>
    <row r="58" ht="15" customHeight="1">
      <c r="A58" t="inlineStr">
        <is>
          <t>A 3817-2023</t>
        </is>
      </c>
      <c r="B58" s="1" t="n">
        <v>44951</v>
      </c>
      <c r="C58" s="1" t="n">
        <v>45998</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3828-2023</t>
        </is>
      </c>
      <c r="B59" s="1" t="n">
        <v>44951</v>
      </c>
      <c r="C59" s="1" t="n">
        <v>45998</v>
      </c>
      <c r="D59" t="inlineStr">
        <is>
          <t>STOCKHOLMS LÄN</t>
        </is>
      </c>
      <c r="E59" t="inlineStr">
        <is>
          <t>ÖSTERÅKER</t>
        </is>
      </c>
      <c r="F59" t="inlineStr">
        <is>
          <t>Kommuner</t>
        </is>
      </c>
      <c r="G59" t="n">
        <v>3.2</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45998</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57048-2024</t>
        </is>
      </c>
      <c r="B61" s="1" t="n">
        <v>45629.33938657407</v>
      </c>
      <c r="C61" s="1" t="n">
        <v>45998</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57055-2024</t>
        </is>
      </c>
      <c r="B62" s="1" t="n">
        <v>45629.34627314815</v>
      </c>
      <c r="C62" s="1" t="n">
        <v>45998</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24499-2023</t>
        </is>
      </c>
      <c r="B63" s="1" t="n">
        <v>45082</v>
      </c>
      <c r="C63" s="1" t="n">
        <v>45998</v>
      </c>
      <c r="D63" t="inlineStr">
        <is>
          <t>STOCKHOLMS LÄN</t>
        </is>
      </c>
      <c r="E63" t="inlineStr">
        <is>
          <t>ÖSTERÅKER</t>
        </is>
      </c>
      <c r="G63" t="n">
        <v>0.1</v>
      </c>
      <c r="H63" t="n">
        <v>0</v>
      </c>
      <c r="I63" t="n">
        <v>0</v>
      </c>
      <c r="J63" t="n">
        <v>0</v>
      </c>
      <c r="K63" t="n">
        <v>0</v>
      </c>
      <c r="L63" t="n">
        <v>0</v>
      </c>
      <c r="M63" t="n">
        <v>0</v>
      </c>
      <c r="N63" t="n">
        <v>0</v>
      </c>
      <c r="O63" t="n">
        <v>0</v>
      </c>
      <c r="P63" t="n">
        <v>0</v>
      </c>
      <c r="Q63" t="n">
        <v>0</v>
      </c>
      <c r="R63" s="2" t="inlineStr"/>
    </row>
    <row r="64" ht="15" customHeight="1">
      <c r="A64" t="inlineStr">
        <is>
          <t>A 37244-2024</t>
        </is>
      </c>
      <c r="B64" s="1" t="n">
        <v>45540</v>
      </c>
      <c r="C64" s="1" t="n">
        <v>45998</v>
      </c>
      <c r="D64" t="inlineStr">
        <is>
          <t>STOCKHOLMS LÄN</t>
        </is>
      </c>
      <c r="E64" t="inlineStr">
        <is>
          <t>ÖSTERÅKER</t>
        </is>
      </c>
      <c r="G64" t="n">
        <v>2.6</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45998</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61323-2022</t>
        </is>
      </c>
      <c r="B66" s="1" t="n">
        <v>44915</v>
      </c>
      <c r="C66" s="1" t="n">
        <v>45998</v>
      </c>
      <c r="D66" t="inlineStr">
        <is>
          <t>STOCKHOLMS LÄN</t>
        </is>
      </c>
      <c r="E66" t="inlineStr">
        <is>
          <t>ÖSTERÅKER</t>
        </is>
      </c>
      <c r="G66" t="n">
        <v>2.7</v>
      </c>
      <c r="H66" t="n">
        <v>0</v>
      </c>
      <c r="I66" t="n">
        <v>0</v>
      </c>
      <c r="J66" t="n">
        <v>0</v>
      </c>
      <c r="K66" t="n">
        <v>0</v>
      </c>
      <c r="L66" t="n">
        <v>0</v>
      </c>
      <c r="M66" t="n">
        <v>0</v>
      </c>
      <c r="N66" t="n">
        <v>0</v>
      </c>
      <c r="O66" t="n">
        <v>0</v>
      </c>
      <c r="P66" t="n">
        <v>0</v>
      </c>
      <c r="Q66" t="n">
        <v>0</v>
      </c>
      <c r="R66" s="2" t="inlineStr"/>
    </row>
    <row r="67" ht="15" customHeight="1">
      <c r="A67" t="inlineStr">
        <is>
          <t>A 17196-2022</t>
        </is>
      </c>
      <c r="B67" s="1" t="n">
        <v>44677</v>
      </c>
      <c r="C67" s="1" t="n">
        <v>45998</v>
      </c>
      <c r="D67" t="inlineStr">
        <is>
          <t>STOCKHOLMS LÄN</t>
        </is>
      </c>
      <c r="E67" t="inlineStr">
        <is>
          <t>ÖSTERÅKER</t>
        </is>
      </c>
      <c r="G67" t="n">
        <v>5.9</v>
      </c>
      <c r="H67" t="n">
        <v>0</v>
      </c>
      <c r="I67" t="n">
        <v>0</v>
      </c>
      <c r="J67" t="n">
        <v>0</v>
      </c>
      <c r="K67" t="n">
        <v>0</v>
      </c>
      <c r="L67" t="n">
        <v>0</v>
      </c>
      <c r="M67" t="n">
        <v>0</v>
      </c>
      <c r="N67" t="n">
        <v>0</v>
      </c>
      <c r="O67" t="n">
        <v>0</v>
      </c>
      <c r="P67" t="n">
        <v>0</v>
      </c>
      <c r="Q67" t="n">
        <v>0</v>
      </c>
      <c r="R67" s="2" t="inlineStr"/>
    </row>
    <row r="68" ht="15" customHeight="1">
      <c r="A68" t="inlineStr">
        <is>
          <t>A 21786-2025</t>
        </is>
      </c>
      <c r="B68" s="1" t="n">
        <v>45783.67215277778</v>
      </c>
      <c r="C68" s="1" t="n">
        <v>45998</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3326-2022</t>
        </is>
      </c>
      <c r="B69" s="1" t="n">
        <v>44583</v>
      </c>
      <c r="C69" s="1" t="n">
        <v>45998</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9842-2025</t>
        </is>
      </c>
      <c r="B70" s="1" t="n">
        <v>45716</v>
      </c>
      <c r="C70" s="1" t="n">
        <v>45998</v>
      </c>
      <c r="D70" t="inlineStr">
        <is>
          <t>STOCKHOLMS LÄN</t>
        </is>
      </c>
      <c r="E70" t="inlineStr">
        <is>
          <t>ÖSTERÅKER</t>
        </is>
      </c>
      <c r="G70" t="n">
        <v>4.8</v>
      </c>
      <c r="H70" t="n">
        <v>0</v>
      </c>
      <c r="I70" t="n">
        <v>0</v>
      </c>
      <c r="J70" t="n">
        <v>0</v>
      </c>
      <c r="K70" t="n">
        <v>0</v>
      </c>
      <c r="L70" t="n">
        <v>0</v>
      </c>
      <c r="M70" t="n">
        <v>0</v>
      </c>
      <c r="N70" t="n">
        <v>0</v>
      </c>
      <c r="O70" t="n">
        <v>0</v>
      </c>
      <c r="P70" t="n">
        <v>0</v>
      </c>
      <c r="Q70" t="n">
        <v>0</v>
      </c>
      <c r="R70" s="2" t="inlineStr"/>
    </row>
    <row r="71" ht="15" customHeight="1">
      <c r="A71" t="inlineStr">
        <is>
          <t>A 56909-2024</t>
        </is>
      </c>
      <c r="B71" s="1" t="n">
        <v>45628.59060185185</v>
      </c>
      <c r="C71" s="1" t="n">
        <v>45998</v>
      </c>
      <c r="D71" t="inlineStr">
        <is>
          <t>STOCKHOLMS LÄN</t>
        </is>
      </c>
      <c r="E71" t="inlineStr">
        <is>
          <t>ÖSTERÅKER</t>
        </is>
      </c>
      <c r="G71" t="n">
        <v>1</v>
      </c>
      <c r="H71" t="n">
        <v>0</v>
      </c>
      <c r="I71" t="n">
        <v>0</v>
      </c>
      <c r="J71" t="n">
        <v>0</v>
      </c>
      <c r="K71" t="n">
        <v>0</v>
      </c>
      <c r="L71" t="n">
        <v>0</v>
      </c>
      <c r="M71" t="n">
        <v>0</v>
      </c>
      <c r="N71" t="n">
        <v>0</v>
      </c>
      <c r="O71" t="n">
        <v>0</v>
      </c>
      <c r="P71" t="n">
        <v>0</v>
      </c>
      <c r="Q71" t="n">
        <v>0</v>
      </c>
      <c r="R71" s="2" t="inlineStr"/>
    </row>
    <row r="72" ht="15" customHeight="1">
      <c r="A72" t="inlineStr">
        <is>
          <t>A 1603-2023</t>
        </is>
      </c>
      <c r="B72" s="1" t="n">
        <v>44937.68086805556</v>
      </c>
      <c r="C72" s="1" t="n">
        <v>45998</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1605-2023</t>
        </is>
      </c>
      <c r="B73" s="1" t="n">
        <v>44937.68299768519</v>
      </c>
      <c r="C73" s="1" t="n">
        <v>45998</v>
      </c>
      <c r="D73" t="inlineStr">
        <is>
          <t>STOCKHOLMS LÄN</t>
        </is>
      </c>
      <c r="E73" t="inlineStr">
        <is>
          <t>ÖSTERÅKER</t>
        </is>
      </c>
      <c r="G73" t="n">
        <v>2.9</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45998</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67265-2021</t>
        </is>
      </c>
      <c r="B75" s="1" t="n">
        <v>44523.59277777778</v>
      </c>
      <c r="C75" s="1" t="n">
        <v>45998</v>
      </c>
      <c r="D75" t="inlineStr">
        <is>
          <t>STOCKHOLMS LÄN</t>
        </is>
      </c>
      <c r="E75" t="inlineStr">
        <is>
          <t>ÖSTERÅKER</t>
        </is>
      </c>
      <c r="F75" t="inlineStr">
        <is>
          <t>Kommuner</t>
        </is>
      </c>
      <c r="G75" t="n">
        <v>2.6</v>
      </c>
      <c r="H75" t="n">
        <v>0</v>
      </c>
      <c r="I75" t="n">
        <v>0</v>
      </c>
      <c r="J75" t="n">
        <v>0</v>
      </c>
      <c r="K75" t="n">
        <v>0</v>
      </c>
      <c r="L75" t="n">
        <v>0</v>
      </c>
      <c r="M75" t="n">
        <v>0</v>
      </c>
      <c r="N75" t="n">
        <v>0</v>
      </c>
      <c r="O75" t="n">
        <v>0</v>
      </c>
      <c r="P75" t="n">
        <v>0</v>
      </c>
      <c r="Q75" t="n">
        <v>0</v>
      </c>
      <c r="R75" s="2" t="inlineStr"/>
    </row>
    <row r="76" ht="15" customHeight="1">
      <c r="A76" t="inlineStr">
        <is>
          <t>A 16738-2022</t>
        </is>
      </c>
      <c r="B76" s="1" t="n">
        <v>44673</v>
      </c>
      <c r="C76" s="1" t="n">
        <v>45998</v>
      </c>
      <c r="D76" t="inlineStr">
        <is>
          <t>STOCKHOLMS LÄN</t>
        </is>
      </c>
      <c r="E76" t="inlineStr">
        <is>
          <t>ÖSTERÅKER</t>
        </is>
      </c>
      <c r="G76" t="n">
        <v>1.1</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45998</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45998</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45998</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45998</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30949-2024</t>
        </is>
      </c>
      <c r="B81" s="1" t="n">
        <v>45499</v>
      </c>
      <c r="C81" s="1" t="n">
        <v>45998</v>
      </c>
      <c r="D81" t="inlineStr">
        <is>
          <t>STOCKHOLMS LÄN</t>
        </is>
      </c>
      <c r="E81" t="inlineStr">
        <is>
          <t>ÖSTERÅKER</t>
        </is>
      </c>
      <c r="F81" t="inlineStr">
        <is>
          <t>Övriga Aktiebolag</t>
        </is>
      </c>
      <c r="G81" t="n">
        <v>3.2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45998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10185-2025</t>
        </is>
      </c>
      <c r="B83" s="1" t="n">
        <v>45719</v>
      </c>
      <c r="C83" s="1" t="n">
        <v>45998</v>
      </c>
      <c r="D83" t="inlineStr">
        <is>
          <t>STOCKHOLMS LÄN</t>
        </is>
      </c>
      <c r="E83" t="inlineStr">
        <is>
          <t>ÖSTERÅKER</t>
        </is>
      </c>
      <c r="G83" t="n">
        <v>4.1</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45998</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37037-2023</t>
        </is>
      </c>
      <c r="B85" s="1" t="n">
        <v>45155</v>
      </c>
      <c r="C85" s="1" t="n">
        <v>45998</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45998</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35656-2025</t>
        </is>
      </c>
      <c r="B87" s="1" t="n">
        <v>45859</v>
      </c>
      <c r="C87" s="1" t="n">
        <v>45998</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35819-2025</t>
        </is>
      </c>
      <c r="B88" s="1" t="n">
        <v>45861</v>
      </c>
      <c r="C88" s="1" t="n">
        <v>45998</v>
      </c>
      <c r="D88" t="inlineStr">
        <is>
          <t>STOCKHOLMS LÄN</t>
        </is>
      </c>
      <c r="E88" t="inlineStr">
        <is>
          <t>ÖSTERÅKER</t>
        </is>
      </c>
      <c r="F88" t="inlineStr">
        <is>
          <t>Övriga Aktiebolag</t>
        </is>
      </c>
      <c r="G88" t="n">
        <v>8</v>
      </c>
      <c r="H88" t="n">
        <v>0</v>
      </c>
      <c r="I88" t="n">
        <v>0</v>
      </c>
      <c r="J88" t="n">
        <v>0</v>
      </c>
      <c r="K88" t="n">
        <v>0</v>
      </c>
      <c r="L88" t="n">
        <v>0</v>
      </c>
      <c r="M88" t="n">
        <v>0</v>
      </c>
      <c r="N88" t="n">
        <v>0</v>
      </c>
      <c r="O88" t="n">
        <v>0</v>
      </c>
      <c r="P88" t="n">
        <v>0</v>
      </c>
      <c r="Q88" t="n">
        <v>0</v>
      </c>
      <c r="R88" s="2" t="inlineStr"/>
    </row>
    <row r="89" ht="15" customHeight="1">
      <c r="A89" t="inlineStr">
        <is>
          <t>A 36614-2025</t>
        </is>
      </c>
      <c r="B89" s="1" t="n">
        <v>45870</v>
      </c>
      <c r="C89" s="1" t="n">
        <v>45998</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36612-2025</t>
        </is>
      </c>
      <c r="B90" s="1" t="n">
        <v>45870</v>
      </c>
      <c r="C90" s="1" t="n">
        <v>45998</v>
      </c>
      <c r="D90" t="inlineStr">
        <is>
          <t>STOCKHOLMS LÄN</t>
        </is>
      </c>
      <c r="E90" t="inlineStr">
        <is>
          <t>ÖSTERÅKER</t>
        </is>
      </c>
      <c r="F90" t="inlineStr">
        <is>
          <t>Övriga Aktiebolag</t>
        </is>
      </c>
      <c r="G90" t="n">
        <v>2.1</v>
      </c>
      <c r="H90" t="n">
        <v>0</v>
      </c>
      <c r="I90" t="n">
        <v>0</v>
      </c>
      <c r="J90" t="n">
        <v>0</v>
      </c>
      <c r="K90" t="n">
        <v>0</v>
      </c>
      <c r="L90" t="n">
        <v>0</v>
      </c>
      <c r="M90" t="n">
        <v>0</v>
      </c>
      <c r="N90" t="n">
        <v>0</v>
      </c>
      <c r="O90" t="n">
        <v>0</v>
      </c>
      <c r="P90" t="n">
        <v>0</v>
      </c>
      <c r="Q90" t="n">
        <v>0</v>
      </c>
      <c r="R90" s="2" t="inlineStr"/>
    </row>
    <row r="91" ht="15" customHeight="1">
      <c r="A91" t="inlineStr">
        <is>
          <t>A 36611-2025</t>
        </is>
      </c>
      <c r="B91" s="1" t="n">
        <v>45870</v>
      </c>
      <c r="C91" s="1" t="n">
        <v>45998</v>
      </c>
      <c r="D91" t="inlineStr">
        <is>
          <t>STOCKHOLMS LÄN</t>
        </is>
      </c>
      <c r="E91" t="inlineStr">
        <is>
          <t>ÖSTERÅKER</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28146-2024</t>
        </is>
      </c>
      <c r="B92" s="1" t="n">
        <v>45476</v>
      </c>
      <c r="C92" s="1" t="n">
        <v>45998</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22528-2024</t>
        </is>
      </c>
      <c r="B93" s="1" t="n">
        <v>45447.44967592593</v>
      </c>
      <c r="C93" s="1" t="n">
        <v>45998</v>
      </c>
      <c r="D93" t="inlineStr">
        <is>
          <t>STOCKHOLMS LÄN</t>
        </is>
      </c>
      <c r="E93" t="inlineStr">
        <is>
          <t>ÖSTERÅKER</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45998</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34713-2025</t>
        </is>
      </c>
      <c r="B95" s="1" t="n">
        <v>45848</v>
      </c>
      <c r="C95" s="1" t="n">
        <v>45998</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27137-2025</t>
        </is>
      </c>
      <c r="B96" s="1" t="n">
        <v>45811.95890046296</v>
      </c>
      <c r="C96" s="1" t="n">
        <v>45998</v>
      </c>
      <c r="D96" t="inlineStr">
        <is>
          <t>STOCKHOLMS LÄN</t>
        </is>
      </c>
      <c r="E96" t="inlineStr">
        <is>
          <t>ÖSTERÅKER</t>
        </is>
      </c>
      <c r="G96" t="n">
        <v>3.8</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45998</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464-2022</t>
        </is>
      </c>
      <c r="B98" s="1" t="n">
        <v>44565</v>
      </c>
      <c r="C98" s="1" t="n">
        <v>45998</v>
      </c>
      <c r="D98" t="inlineStr">
        <is>
          <t>STOCKHOLMS LÄN</t>
        </is>
      </c>
      <c r="E98" t="inlineStr">
        <is>
          <t>ÖSTERÅKER</t>
        </is>
      </c>
      <c r="F98" t="inlineStr">
        <is>
          <t>Övriga Aktiebolag</t>
        </is>
      </c>
      <c r="G98" t="n">
        <v>7.6</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45998</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60482-2025</t>
        </is>
      </c>
      <c r="B100" s="1" t="n">
        <v>45995.59832175926</v>
      </c>
      <c r="C100" s="1" t="n">
        <v>45998</v>
      </c>
      <c r="D100" t="inlineStr">
        <is>
          <t>STOCKHOLMS LÄN</t>
        </is>
      </c>
      <c r="E100" t="inlineStr">
        <is>
          <t>ÖSTERÅKER</t>
        </is>
      </c>
      <c r="G100" t="n">
        <v>1.4</v>
      </c>
      <c r="H100" t="n">
        <v>0</v>
      </c>
      <c r="I100" t="n">
        <v>0</v>
      </c>
      <c r="J100" t="n">
        <v>0</v>
      </c>
      <c r="K100" t="n">
        <v>0</v>
      </c>
      <c r="L100" t="n">
        <v>0</v>
      </c>
      <c r="M100" t="n">
        <v>0</v>
      </c>
      <c r="N100" t="n">
        <v>0</v>
      </c>
      <c r="O100" t="n">
        <v>0</v>
      </c>
      <c r="P100" t="n">
        <v>0</v>
      </c>
      <c r="Q100" t="n">
        <v>0</v>
      </c>
      <c r="R100" s="2" t="inlineStr"/>
    </row>
    <row r="101" ht="15" customHeight="1">
      <c r="A101" t="inlineStr">
        <is>
          <t>A 52220-2025</t>
        </is>
      </c>
      <c r="B101" s="1" t="n">
        <v>45953</v>
      </c>
      <c r="C101" s="1" t="n">
        <v>45998</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34034-2025</t>
        </is>
      </c>
      <c r="B102" s="1" t="n">
        <v>45842</v>
      </c>
      <c r="C102" s="1" t="n">
        <v>45998</v>
      </c>
      <c r="D102" t="inlineStr">
        <is>
          <t>STOCKHOLMS LÄN</t>
        </is>
      </c>
      <c r="E102" t="inlineStr">
        <is>
          <t>ÖSTERÅKER</t>
        </is>
      </c>
      <c r="F102" t="inlineStr">
        <is>
          <t>Övriga Aktiebolag</t>
        </is>
      </c>
      <c r="G102" t="n">
        <v>3.9</v>
      </c>
      <c r="H102" t="n">
        <v>0</v>
      </c>
      <c r="I102" t="n">
        <v>0</v>
      </c>
      <c r="J102" t="n">
        <v>0</v>
      </c>
      <c r="K102" t="n">
        <v>0</v>
      </c>
      <c r="L102" t="n">
        <v>0</v>
      </c>
      <c r="M102" t="n">
        <v>0</v>
      </c>
      <c r="N102" t="n">
        <v>0</v>
      </c>
      <c r="O102" t="n">
        <v>0</v>
      </c>
      <c r="P102" t="n">
        <v>0</v>
      </c>
      <c r="Q102" t="n">
        <v>0</v>
      </c>
      <c r="R102" s="2" t="inlineStr"/>
    </row>
    <row r="103" ht="15" customHeight="1">
      <c r="A103" t="inlineStr">
        <is>
          <t>A 34038-2025</t>
        </is>
      </c>
      <c r="B103" s="1" t="n">
        <v>45842</v>
      </c>
      <c r="C103" s="1" t="n">
        <v>45998</v>
      </c>
      <c r="D103" t="inlineStr">
        <is>
          <t>STOCKHOLMS LÄN</t>
        </is>
      </c>
      <c r="E103" t="inlineStr">
        <is>
          <t>ÖSTERÅKER</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61710-2022</t>
        </is>
      </c>
      <c r="B104" s="1" t="n">
        <v>44917</v>
      </c>
      <c r="C104" s="1" t="n">
        <v>45998</v>
      </c>
      <c r="D104" t="inlineStr">
        <is>
          <t>STOCKHOLMS LÄN</t>
        </is>
      </c>
      <c r="E104" t="inlineStr">
        <is>
          <t>ÖSTERÅKER</t>
        </is>
      </c>
      <c r="G104" t="n">
        <v>6.2</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45998</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17353-2025</t>
        </is>
      </c>
      <c r="B106" s="1" t="n">
        <v>45756</v>
      </c>
      <c r="C106" s="1" t="n">
        <v>45998</v>
      </c>
      <c r="D106" t="inlineStr">
        <is>
          <t>STOCKHOLMS LÄN</t>
        </is>
      </c>
      <c r="E106" t="inlineStr">
        <is>
          <t>ÖSTERÅKER</t>
        </is>
      </c>
      <c r="F106" t="inlineStr">
        <is>
          <t>Övriga Aktiebolag</t>
        </is>
      </c>
      <c r="G106" t="n">
        <v>5.5</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45998</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c r="A108" t="inlineStr">
        <is>
          <t>A 544-2023</t>
        </is>
      </c>
      <c r="B108" s="1" t="n">
        <v>44924</v>
      </c>
      <c r="C108" s="1" t="n">
        <v>45998</v>
      </c>
      <c r="D108" t="inlineStr">
        <is>
          <t>STOCKHOLMS LÄN</t>
        </is>
      </c>
      <c r="E108" t="inlineStr">
        <is>
          <t>ÖSTERÅKER</t>
        </is>
      </c>
      <c r="F108" t="inlineStr">
        <is>
          <t>Övriga Aktiebolag</t>
        </is>
      </c>
      <c r="G108" t="n">
        <v>0.9</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2025-12-07T10:30:32Z</dcterms:created>
  <dcterms:modified xmlns:dcterms="http://purl.org/dc/terms/" xmlns:xsi="http://www.w3.org/2001/XMLSchema-instance" xsi:type="dcterms:W3CDTF">2025-12-07T10:30:32Z</dcterms:modified>
</cp:coreProperties>
</file>