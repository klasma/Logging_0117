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46049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46049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62642-2025</t>
        </is>
      </c>
      <c r="B4" s="1" t="n">
        <v>46008.37217592593</v>
      </c>
      <c r="C4" s="1" t="n">
        <v>46049</v>
      </c>
      <c r="D4" t="inlineStr">
        <is>
          <t>STOCKHOLMS LÄN</t>
        </is>
      </c>
      <c r="E4" t="inlineStr">
        <is>
          <t>ÖSTERÅKER</t>
        </is>
      </c>
      <c r="G4" t="n">
        <v>2.7</v>
      </c>
      <c r="H4" t="n">
        <v>0</v>
      </c>
      <c r="I4" t="n">
        <v>6</v>
      </c>
      <c r="J4" t="n">
        <v>1</v>
      </c>
      <c r="K4" t="n">
        <v>0</v>
      </c>
      <c r="L4" t="n">
        <v>0</v>
      </c>
      <c r="M4" t="n">
        <v>0</v>
      </c>
      <c r="N4" t="n">
        <v>0</v>
      </c>
      <c r="O4" t="n">
        <v>1</v>
      </c>
      <c r="P4" t="n">
        <v>0</v>
      </c>
      <c r="Q4" t="n">
        <v>7</v>
      </c>
      <c r="R4" s="2" t="inlineStr">
        <is>
          <t>Grön aspvedbock
Björksplintborre
Bronshjon
Dvärgtufs
Granbarkgnagare
Mindre märgborre
Vågbandad barkbock</t>
        </is>
      </c>
      <c r="S4">
        <f>HYPERLINK("https://klasma.github.io/Logging_0117/artfynd/A 62642-2025 artfynd.xlsx", "A 62642-2025")</f>
        <v/>
      </c>
      <c r="T4">
        <f>HYPERLINK("https://klasma.github.io/Logging_0117/kartor/A 62642-2025 karta.png", "A 62642-2025")</f>
        <v/>
      </c>
      <c r="V4">
        <f>HYPERLINK("https://klasma.github.io/Logging_0117/klagomål/A 62642-2025 FSC-klagomål.docx", "A 62642-2025")</f>
        <v/>
      </c>
      <c r="W4">
        <f>HYPERLINK("https://klasma.github.io/Logging_0117/klagomålsmail/A 62642-2025 FSC-klagomål mail.docx", "A 62642-2025")</f>
        <v/>
      </c>
      <c r="X4">
        <f>HYPERLINK("https://klasma.github.io/Logging_0117/tillsyn/A 62642-2025 tillsynsbegäran.docx", "A 62642-2025")</f>
        <v/>
      </c>
      <c r="Y4">
        <f>HYPERLINK("https://klasma.github.io/Logging_0117/tillsynsmail/A 62642-2025 tillsynsbegäran mail.docx", "A 62642-2025")</f>
        <v/>
      </c>
    </row>
    <row r="5" ht="15" customHeight="1">
      <c r="A5" t="inlineStr">
        <is>
          <t>A 62573-2025</t>
        </is>
      </c>
      <c r="B5" s="1" t="n">
        <v>46007.73069444444</v>
      </c>
      <c r="C5" s="1" t="n">
        <v>46049</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31015-2024</t>
        </is>
      </c>
      <c r="B6" s="1" t="n">
        <v>45499</v>
      </c>
      <c r="C6" s="1" t="n">
        <v>46049</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46049</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46049</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46049</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46049</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46049</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46049</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46049</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31523-2022</t>
        </is>
      </c>
      <c r="B14" s="1" t="n">
        <v>44775.22490740741</v>
      </c>
      <c r="C14" s="1" t="n">
        <v>46049</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46049</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46049</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46049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46049</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46049</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46049</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46049</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46049</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3919-2023</t>
        </is>
      </c>
      <c r="B23" s="1" t="n">
        <v>44952</v>
      </c>
      <c r="C23" s="1" t="n">
        <v>46049</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13942-2021</t>
        </is>
      </c>
      <c r="B24" s="1" t="n">
        <v>44277</v>
      </c>
      <c r="C24" s="1" t="n">
        <v>46049</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46049</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46049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46049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46049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46049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46049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46049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46049</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46049</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46049</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46049</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46049</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46049</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46049</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46049</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46049</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46049</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46049</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46049</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46049</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46049</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46049</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46049</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46049</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46049</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46049</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46049</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46049</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28146-2024</t>
        </is>
      </c>
      <c r="B53" s="1" t="n">
        <v>45476</v>
      </c>
      <c r="C53" s="1" t="n">
        <v>46049</v>
      </c>
      <c r="D53" t="inlineStr">
        <is>
          <t>STOCKHOLMS LÄN</t>
        </is>
      </c>
      <c r="E53" t="inlineStr">
        <is>
          <t>ÖSTERÅKER</t>
        </is>
      </c>
      <c r="F53" t="inlineStr">
        <is>
          <t>Övriga Aktiebolag</t>
        </is>
      </c>
      <c r="G53" t="n">
        <v>2.7</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46049</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22528-2024</t>
        </is>
      </c>
      <c r="B55" s="1" t="n">
        <v>45447.44967592593</v>
      </c>
      <c r="C55" s="1" t="n">
        <v>46049</v>
      </c>
      <c r="D55" t="inlineStr">
        <is>
          <t>STOCKHOLMS LÄN</t>
        </is>
      </c>
      <c r="E55" t="inlineStr">
        <is>
          <t>ÖSTERÅKER</t>
        </is>
      </c>
      <c r="F55" t="inlineStr">
        <is>
          <t>Övriga Aktiebolag</t>
        </is>
      </c>
      <c r="G55" t="n">
        <v>1.4</v>
      </c>
      <c r="H55" t="n">
        <v>0</v>
      </c>
      <c r="I55" t="n">
        <v>0</v>
      </c>
      <c r="J55" t="n">
        <v>0</v>
      </c>
      <c r="K55" t="n">
        <v>0</v>
      </c>
      <c r="L55" t="n">
        <v>0</v>
      </c>
      <c r="M55" t="n">
        <v>0</v>
      </c>
      <c r="N55" t="n">
        <v>0</v>
      </c>
      <c r="O55" t="n">
        <v>0</v>
      </c>
      <c r="P55" t="n">
        <v>0</v>
      </c>
      <c r="Q55" t="n">
        <v>0</v>
      </c>
      <c r="R55" s="2" t="inlineStr"/>
    </row>
    <row r="56" ht="15" customHeight="1">
      <c r="A56" t="inlineStr">
        <is>
          <t>A 16803-2022</t>
        </is>
      </c>
      <c r="B56" s="1" t="n">
        <v>44673</v>
      </c>
      <c r="C56" s="1" t="n">
        <v>46049</v>
      </c>
      <c r="D56" t="inlineStr">
        <is>
          <t>STOCKHOLMS LÄN</t>
        </is>
      </c>
      <c r="E56" t="inlineStr">
        <is>
          <t>ÖSTERÅKER</t>
        </is>
      </c>
      <c r="G56" t="n">
        <v>1.9</v>
      </c>
      <c r="H56" t="n">
        <v>0</v>
      </c>
      <c r="I56" t="n">
        <v>0</v>
      </c>
      <c r="J56" t="n">
        <v>0</v>
      </c>
      <c r="K56" t="n">
        <v>0</v>
      </c>
      <c r="L56" t="n">
        <v>0</v>
      </c>
      <c r="M56" t="n">
        <v>0</v>
      </c>
      <c r="N56" t="n">
        <v>0</v>
      </c>
      <c r="O56" t="n">
        <v>0</v>
      </c>
      <c r="P56" t="n">
        <v>0</v>
      </c>
      <c r="Q56" t="n">
        <v>0</v>
      </c>
      <c r="R56" s="2" t="inlineStr"/>
    </row>
    <row r="57" ht="15" customHeight="1">
      <c r="A57" t="inlineStr">
        <is>
          <t>A 464-2022</t>
        </is>
      </c>
      <c r="B57" s="1" t="n">
        <v>44565</v>
      </c>
      <c r="C57" s="1" t="n">
        <v>46049</v>
      </c>
      <c r="D57" t="inlineStr">
        <is>
          <t>STOCKHOLMS LÄN</t>
        </is>
      </c>
      <c r="E57" t="inlineStr">
        <is>
          <t>ÖSTERÅKER</t>
        </is>
      </c>
      <c r="F57" t="inlineStr">
        <is>
          <t>Övriga Aktiebolag</t>
        </is>
      </c>
      <c r="G57" t="n">
        <v>7.6</v>
      </c>
      <c r="H57" t="n">
        <v>0</v>
      </c>
      <c r="I57" t="n">
        <v>0</v>
      </c>
      <c r="J57" t="n">
        <v>0</v>
      </c>
      <c r="K57" t="n">
        <v>0</v>
      </c>
      <c r="L57" t="n">
        <v>0</v>
      </c>
      <c r="M57" t="n">
        <v>0</v>
      </c>
      <c r="N57" t="n">
        <v>0</v>
      </c>
      <c r="O57" t="n">
        <v>0</v>
      </c>
      <c r="P57" t="n">
        <v>0</v>
      </c>
      <c r="Q57" t="n">
        <v>0</v>
      </c>
      <c r="R57" s="2" t="inlineStr"/>
    </row>
    <row r="58" ht="15" customHeight="1">
      <c r="A58" t="inlineStr">
        <is>
          <t>A 61710-2022</t>
        </is>
      </c>
      <c r="B58" s="1" t="n">
        <v>44917</v>
      </c>
      <c r="C58" s="1" t="n">
        <v>46049</v>
      </c>
      <c r="D58" t="inlineStr">
        <is>
          <t>STOCKHOLMS LÄN</t>
        </is>
      </c>
      <c r="E58" t="inlineStr">
        <is>
          <t>ÖSTERÅKER</t>
        </is>
      </c>
      <c r="G58" t="n">
        <v>6.2</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46049</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46049</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34034-2025</t>
        </is>
      </c>
      <c r="B61" s="1" t="n">
        <v>45842</v>
      </c>
      <c r="C61" s="1" t="n">
        <v>46049</v>
      </c>
      <c r="D61" t="inlineStr">
        <is>
          <t>STOCKHOLMS LÄN</t>
        </is>
      </c>
      <c r="E61" t="inlineStr">
        <is>
          <t>ÖSTERÅKER</t>
        </is>
      </c>
      <c r="F61" t="inlineStr">
        <is>
          <t>Övriga Aktiebolag</t>
        </is>
      </c>
      <c r="G61" t="n">
        <v>3.9</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46049</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34713-2025</t>
        </is>
      </c>
      <c r="B63" s="1" t="n">
        <v>45848</v>
      </c>
      <c r="C63" s="1" t="n">
        <v>46049</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3917-2023</t>
        </is>
      </c>
      <c r="B64" s="1" t="n">
        <v>44952</v>
      </c>
      <c r="C64" s="1" t="n">
        <v>46049</v>
      </c>
      <c r="D64" t="inlineStr">
        <is>
          <t>STOCKHOLMS LÄN</t>
        </is>
      </c>
      <c r="E64" t="inlineStr">
        <is>
          <t>ÖSTERÅKER</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34079-2025</t>
        </is>
      </c>
      <c r="B65" s="1" t="n">
        <v>45842</v>
      </c>
      <c r="C65" s="1" t="n">
        <v>46049</v>
      </c>
      <c r="D65" t="inlineStr">
        <is>
          <t>STOCKHOLMS LÄN</t>
        </is>
      </c>
      <c r="E65" t="inlineStr">
        <is>
          <t>ÖSTERÅKER</t>
        </is>
      </c>
      <c r="F65" t="inlineStr">
        <is>
          <t>Övriga Aktiebolag</t>
        </is>
      </c>
      <c r="G65" t="n">
        <v>4.1</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46049</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46049</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36614-2025</t>
        </is>
      </c>
      <c r="B68" s="1" t="n">
        <v>45870</v>
      </c>
      <c r="C68" s="1" t="n">
        <v>46049</v>
      </c>
      <c r="D68" t="inlineStr">
        <is>
          <t>STOCKHOLMS LÄN</t>
        </is>
      </c>
      <c r="E68" t="inlineStr">
        <is>
          <t>ÖSTERÅKER</t>
        </is>
      </c>
      <c r="G68" t="n">
        <v>1.7</v>
      </c>
      <c r="H68" t="n">
        <v>0</v>
      </c>
      <c r="I68" t="n">
        <v>0</v>
      </c>
      <c r="J68" t="n">
        <v>0</v>
      </c>
      <c r="K68" t="n">
        <v>0</v>
      </c>
      <c r="L68" t="n">
        <v>0</v>
      </c>
      <c r="M68" t="n">
        <v>0</v>
      </c>
      <c r="N68" t="n">
        <v>0</v>
      </c>
      <c r="O68" t="n">
        <v>0</v>
      </c>
      <c r="P68" t="n">
        <v>0</v>
      </c>
      <c r="Q68" t="n">
        <v>0</v>
      </c>
      <c r="R68" s="2" t="inlineStr"/>
    </row>
    <row r="69" ht="15" customHeight="1">
      <c r="A69" t="inlineStr">
        <is>
          <t>A 36612-2025</t>
        </is>
      </c>
      <c r="B69" s="1" t="n">
        <v>45870</v>
      </c>
      <c r="C69" s="1" t="n">
        <v>46049</v>
      </c>
      <c r="D69" t="inlineStr">
        <is>
          <t>STOCKHOLMS LÄN</t>
        </is>
      </c>
      <c r="E69" t="inlineStr">
        <is>
          <t>ÖSTERÅKER</t>
        </is>
      </c>
      <c r="F69" t="inlineStr">
        <is>
          <t>Övriga Aktiebolag</t>
        </is>
      </c>
      <c r="G69" t="n">
        <v>2.1</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46049</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46049</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52220-2025</t>
        </is>
      </c>
      <c r="B72" s="1" t="n">
        <v>45953</v>
      </c>
      <c r="C72" s="1" t="n">
        <v>46049</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470-2022</t>
        </is>
      </c>
      <c r="B73" s="1" t="n">
        <v>44565</v>
      </c>
      <c r="C73" s="1" t="n">
        <v>46049</v>
      </c>
      <c r="D73" t="inlineStr">
        <is>
          <t>STOCKHOLMS LÄN</t>
        </is>
      </c>
      <c r="E73" t="inlineStr">
        <is>
          <t>ÖSTERÅKER</t>
        </is>
      </c>
      <c r="F73" t="inlineStr">
        <is>
          <t>Övriga Aktiebolag</t>
        </is>
      </c>
      <c r="G73" t="n">
        <v>4.6</v>
      </c>
      <c r="H73" t="n">
        <v>0</v>
      </c>
      <c r="I73" t="n">
        <v>0</v>
      </c>
      <c r="J73" t="n">
        <v>0</v>
      </c>
      <c r="K73" t="n">
        <v>0</v>
      </c>
      <c r="L73" t="n">
        <v>0</v>
      </c>
      <c r="M73" t="n">
        <v>0</v>
      </c>
      <c r="N73" t="n">
        <v>0</v>
      </c>
      <c r="O73" t="n">
        <v>0</v>
      </c>
      <c r="P73" t="n">
        <v>0</v>
      </c>
      <c r="Q73" t="n">
        <v>0</v>
      </c>
      <c r="R73" s="2" t="inlineStr"/>
    </row>
    <row r="74" ht="15" customHeight="1">
      <c r="A74" t="inlineStr">
        <is>
          <t>A 31575-2022</t>
        </is>
      </c>
      <c r="B74" s="1" t="n">
        <v>44775.45063657407</v>
      </c>
      <c r="C74" s="1" t="n">
        <v>46049</v>
      </c>
      <c r="D74" t="inlineStr">
        <is>
          <t>STOCKHOLMS LÄN</t>
        </is>
      </c>
      <c r="E74" t="inlineStr">
        <is>
          <t>ÖSTERÅKER</t>
        </is>
      </c>
      <c r="G74" t="n">
        <v>5</v>
      </c>
      <c r="H74" t="n">
        <v>0</v>
      </c>
      <c r="I74" t="n">
        <v>0</v>
      </c>
      <c r="J74" t="n">
        <v>0</v>
      </c>
      <c r="K74" t="n">
        <v>0</v>
      </c>
      <c r="L74" t="n">
        <v>0</v>
      </c>
      <c r="M74" t="n">
        <v>0</v>
      </c>
      <c r="N74" t="n">
        <v>0</v>
      </c>
      <c r="O74" t="n">
        <v>0</v>
      </c>
      <c r="P74" t="n">
        <v>0</v>
      </c>
      <c r="Q74" t="n">
        <v>0</v>
      </c>
      <c r="R74" s="2" t="inlineStr"/>
    </row>
    <row r="75" ht="15" customHeight="1">
      <c r="A75" t="inlineStr">
        <is>
          <t>A 33158-2024</t>
        </is>
      </c>
      <c r="B75" s="1" t="n">
        <v>45518</v>
      </c>
      <c r="C75" s="1" t="n">
        <v>46049</v>
      </c>
      <c r="D75" t="inlineStr">
        <is>
          <t>STOCKHOLMS LÄN</t>
        </is>
      </c>
      <c r="E75" t="inlineStr">
        <is>
          <t>ÖSTERÅKER</t>
        </is>
      </c>
      <c r="G75" t="n">
        <v>1.6</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46049</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61360-2022</t>
        </is>
      </c>
      <c r="B77" s="1" t="n">
        <v>44915</v>
      </c>
      <c r="C77" s="1" t="n">
        <v>46049</v>
      </c>
      <c r="D77" t="inlineStr">
        <is>
          <t>STOCKHOLMS LÄN</t>
        </is>
      </c>
      <c r="E77" t="inlineStr">
        <is>
          <t>ÖSTERÅKER</t>
        </is>
      </c>
      <c r="G77" t="n">
        <v>2.3</v>
      </c>
      <c r="H77" t="n">
        <v>0</v>
      </c>
      <c r="I77" t="n">
        <v>0</v>
      </c>
      <c r="J77" t="n">
        <v>0</v>
      </c>
      <c r="K77" t="n">
        <v>0</v>
      </c>
      <c r="L77" t="n">
        <v>0</v>
      </c>
      <c r="M77" t="n">
        <v>0</v>
      </c>
      <c r="N77" t="n">
        <v>0</v>
      </c>
      <c r="O77" t="n">
        <v>0</v>
      </c>
      <c r="P77" t="n">
        <v>0</v>
      </c>
      <c r="Q77" t="n">
        <v>0</v>
      </c>
      <c r="R77" s="2" t="inlineStr"/>
    </row>
    <row r="78" ht="15" customHeight="1">
      <c r="A78" t="inlineStr">
        <is>
          <t>A 62108-2022</t>
        </is>
      </c>
      <c r="B78" s="1" t="n">
        <v>44920</v>
      </c>
      <c r="C78" s="1" t="n">
        <v>46049</v>
      </c>
      <c r="D78" t="inlineStr">
        <is>
          <t>STOCKHOLMS LÄN</t>
        </is>
      </c>
      <c r="E78" t="inlineStr">
        <is>
          <t>ÖSTERÅKER</t>
        </is>
      </c>
      <c r="G78" t="n">
        <v>1.5</v>
      </c>
      <c r="H78" t="n">
        <v>0</v>
      </c>
      <c r="I78" t="n">
        <v>0</v>
      </c>
      <c r="J78" t="n">
        <v>0</v>
      </c>
      <c r="K78" t="n">
        <v>0</v>
      </c>
      <c r="L78" t="n">
        <v>0</v>
      </c>
      <c r="M78" t="n">
        <v>0</v>
      </c>
      <c r="N78" t="n">
        <v>0</v>
      </c>
      <c r="O78" t="n">
        <v>0</v>
      </c>
      <c r="P78" t="n">
        <v>0</v>
      </c>
      <c r="Q78" t="n">
        <v>0</v>
      </c>
      <c r="R78" s="2" t="inlineStr"/>
    </row>
    <row r="79" ht="15" customHeight="1">
      <c r="A79" t="inlineStr">
        <is>
          <t>A 6655-2023</t>
        </is>
      </c>
      <c r="B79" s="1" t="n">
        <v>44966.60668981481</v>
      </c>
      <c r="C79" s="1" t="n">
        <v>46049</v>
      </c>
      <c r="D79" t="inlineStr">
        <is>
          <t>STOCKHOLMS LÄN</t>
        </is>
      </c>
      <c r="E79" t="inlineStr">
        <is>
          <t>ÖSTERÅKER</t>
        </is>
      </c>
      <c r="G79" t="n">
        <v>0.8</v>
      </c>
      <c r="H79" t="n">
        <v>0</v>
      </c>
      <c r="I79" t="n">
        <v>0</v>
      </c>
      <c r="J79" t="n">
        <v>0</v>
      </c>
      <c r="K79" t="n">
        <v>0</v>
      </c>
      <c r="L79" t="n">
        <v>0</v>
      </c>
      <c r="M79" t="n">
        <v>0</v>
      </c>
      <c r="N79" t="n">
        <v>0</v>
      </c>
      <c r="O79" t="n">
        <v>0</v>
      </c>
      <c r="P79" t="n">
        <v>0</v>
      </c>
      <c r="Q79" t="n">
        <v>0</v>
      </c>
      <c r="R79" s="2" t="inlineStr"/>
    </row>
    <row r="80" ht="15" customHeight="1">
      <c r="A80" t="inlineStr">
        <is>
          <t>A 31134-2023</t>
        </is>
      </c>
      <c r="B80" s="1" t="n">
        <v>45113</v>
      </c>
      <c r="C80" s="1" t="n">
        <v>46049</v>
      </c>
      <c r="D80" t="inlineStr">
        <is>
          <t>STOCKHOLMS LÄN</t>
        </is>
      </c>
      <c r="E80" t="inlineStr">
        <is>
          <t>ÖSTERÅKER</t>
        </is>
      </c>
      <c r="G80" t="n">
        <v>2.1</v>
      </c>
      <c r="H80" t="n">
        <v>0</v>
      </c>
      <c r="I80" t="n">
        <v>0</v>
      </c>
      <c r="J80" t="n">
        <v>0</v>
      </c>
      <c r="K80" t="n">
        <v>0</v>
      </c>
      <c r="L80" t="n">
        <v>0</v>
      </c>
      <c r="M80" t="n">
        <v>0</v>
      </c>
      <c r="N80" t="n">
        <v>0</v>
      </c>
      <c r="O80" t="n">
        <v>0</v>
      </c>
      <c r="P80" t="n">
        <v>0</v>
      </c>
      <c r="Q80" t="n">
        <v>0</v>
      </c>
      <c r="R80" s="2" t="inlineStr"/>
    </row>
    <row r="81" ht="15" customHeight="1">
      <c r="A81" t="inlineStr">
        <is>
          <t>A 57048-2024</t>
        </is>
      </c>
      <c r="B81" s="1" t="n">
        <v>45629.33938657407</v>
      </c>
      <c r="C81" s="1" t="n">
        <v>46049</v>
      </c>
      <c r="D81" t="inlineStr">
        <is>
          <t>STOCKHOLMS LÄN</t>
        </is>
      </c>
      <c r="E81" t="inlineStr">
        <is>
          <t>ÖSTERÅKER</t>
        </is>
      </c>
      <c r="G81" t="n">
        <v>3</v>
      </c>
      <c r="H81" t="n">
        <v>0</v>
      </c>
      <c r="I81" t="n">
        <v>0</v>
      </c>
      <c r="J81" t="n">
        <v>0</v>
      </c>
      <c r="K81" t="n">
        <v>0</v>
      </c>
      <c r="L81" t="n">
        <v>0</v>
      </c>
      <c r="M81" t="n">
        <v>0</v>
      </c>
      <c r="N81" t="n">
        <v>0</v>
      </c>
      <c r="O81" t="n">
        <v>0</v>
      </c>
      <c r="P81" t="n">
        <v>0</v>
      </c>
      <c r="Q81" t="n">
        <v>0</v>
      </c>
      <c r="R81" s="2" t="inlineStr"/>
    </row>
    <row r="82" ht="15" customHeight="1">
      <c r="A82" t="inlineStr">
        <is>
          <t>A 57055-2024</t>
        </is>
      </c>
      <c r="B82" s="1" t="n">
        <v>45629.34627314815</v>
      </c>
      <c r="C82" s="1" t="n">
        <v>46049</v>
      </c>
      <c r="D82" t="inlineStr">
        <is>
          <t>STOCKHOLMS LÄN</t>
        </is>
      </c>
      <c r="E82" t="inlineStr">
        <is>
          <t>ÖSTERÅKER</t>
        </is>
      </c>
      <c r="G82" t="n">
        <v>0.5</v>
      </c>
      <c r="H82" t="n">
        <v>0</v>
      </c>
      <c r="I82" t="n">
        <v>0</v>
      </c>
      <c r="J82" t="n">
        <v>0</v>
      </c>
      <c r="K82" t="n">
        <v>0</v>
      </c>
      <c r="L82" t="n">
        <v>0</v>
      </c>
      <c r="M82" t="n">
        <v>0</v>
      </c>
      <c r="N82" t="n">
        <v>0</v>
      </c>
      <c r="O82" t="n">
        <v>0</v>
      </c>
      <c r="P82" t="n">
        <v>0</v>
      </c>
      <c r="Q82" t="n">
        <v>0</v>
      </c>
      <c r="R82" s="2" t="inlineStr"/>
    </row>
    <row r="83" ht="15" customHeight="1">
      <c r="A83" t="inlineStr">
        <is>
          <t>A 60482-2025</t>
        </is>
      </c>
      <c r="B83" s="1" t="n">
        <v>45995.59832175926</v>
      </c>
      <c r="C83" s="1" t="n">
        <v>46049</v>
      </c>
      <c r="D83" t="inlineStr">
        <is>
          <t>STOCKHOLMS LÄN</t>
        </is>
      </c>
      <c r="E83" t="inlineStr">
        <is>
          <t>ÖSTERÅKER</t>
        </is>
      </c>
      <c r="G83" t="n">
        <v>1.4</v>
      </c>
      <c r="H83" t="n">
        <v>0</v>
      </c>
      <c r="I83" t="n">
        <v>0</v>
      </c>
      <c r="J83" t="n">
        <v>0</v>
      </c>
      <c r="K83" t="n">
        <v>0</v>
      </c>
      <c r="L83" t="n">
        <v>0</v>
      </c>
      <c r="M83" t="n">
        <v>0</v>
      </c>
      <c r="N83" t="n">
        <v>0</v>
      </c>
      <c r="O83" t="n">
        <v>0</v>
      </c>
      <c r="P83" t="n">
        <v>0</v>
      </c>
      <c r="Q83" t="n">
        <v>0</v>
      </c>
      <c r="R83" s="2" t="inlineStr"/>
    </row>
    <row r="84" ht="15" customHeight="1">
      <c r="A84" t="inlineStr">
        <is>
          <t>A 23144-2024</t>
        </is>
      </c>
      <c r="B84" s="1" t="n">
        <v>45450.63202546296</v>
      </c>
      <c r="C84" s="1" t="n">
        <v>46049</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62831-2025</t>
        </is>
      </c>
      <c r="B85" s="1" t="n">
        <v>46008</v>
      </c>
      <c r="C85" s="1" t="n">
        <v>46049</v>
      </c>
      <c r="D85" t="inlineStr">
        <is>
          <t>STOCKHOLMS LÄN</t>
        </is>
      </c>
      <c r="E85" t="inlineStr">
        <is>
          <t>ÖSTERÅKER</t>
        </is>
      </c>
      <c r="G85" t="n">
        <v>1.6</v>
      </c>
      <c r="H85" t="n">
        <v>0</v>
      </c>
      <c r="I85" t="n">
        <v>0</v>
      </c>
      <c r="J85" t="n">
        <v>0</v>
      </c>
      <c r="K85" t="n">
        <v>0</v>
      </c>
      <c r="L85" t="n">
        <v>0</v>
      </c>
      <c r="M85" t="n">
        <v>0</v>
      </c>
      <c r="N85" t="n">
        <v>0</v>
      </c>
      <c r="O85" t="n">
        <v>0</v>
      </c>
      <c r="P85" t="n">
        <v>0</v>
      </c>
      <c r="Q85" t="n">
        <v>0</v>
      </c>
      <c r="R85" s="2" t="inlineStr"/>
    </row>
    <row r="86" ht="15" customHeight="1">
      <c r="A86" t="inlineStr">
        <is>
          <t>A 3326-2022</t>
        </is>
      </c>
      <c r="B86" s="1" t="n">
        <v>44583</v>
      </c>
      <c r="C86" s="1" t="n">
        <v>46049</v>
      </c>
      <c r="D86" t="inlineStr">
        <is>
          <t>STOCKHOLMS LÄN</t>
        </is>
      </c>
      <c r="E86" t="inlineStr">
        <is>
          <t>ÖSTERÅKER</t>
        </is>
      </c>
      <c r="F86" t="inlineStr">
        <is>
          <t>Övriga Aktiebolag</t>
        </is>
      </c>
      <c r="G86" t="n">
        <v>2.7</v>
      </c>
      <c r="H86" t="n">
        <v>0</v>
      </c>
      <c r="I86" t="n">
        <v>0</v>
      </c>
      <c r="J86" t="n">
        <v>0</v>
      </c>
      <c r="K86" t="n">
        <v>0</v>
      </c>
      <c r="L86" t="n">
        <v>0</v>
      </c>
      <c r="M86" t="n">
        <v>0</v>
      </c>
      <c r="N86" t="n">
        <v>0</v>
      </c>
      <c r="O86" t="n">
        <v>0</v>
      </c>
      <c r="P86" t="n">
        <v>0</v>
      </c>
      <c r="Q86" t="n">
        <v>0</v>
      </c>
      <c r="R86" s="2" t="inlineStr"/>
    </row>
    <row r="87" ht="15" customHeight="1">
      <c r="A87" t="inlineStr">
        <is>
          <t>A 61781-2025</t>
        </is>
      </c>
      <c r="B87" s="1" t="n">
        <v>46002</v>
      </c>
      <c r="C87" s="1" t="n">
        <v>46049</v>
      </c>
      <c r="D87" t="inlineStr">
        <is>
          <t>STOCKHOLMS LÄN</t>
        </is>
      </c>
      <c r="E87" t="inlineStr">
        <is>
          <t>ÖSTERÅKER</t>
        </is>
      </c>
      <c r="G87" t="n">
        <v>4.9</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46049</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46049</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62839-2025</t>
        </is>
      </c>
      <c r="B90" s="1" t="n">
        <v>46008</v>
      </c>
      <c r="C90" s="1" t="n">
        <v>46049</v>
      </c>
      <c r="D90" t="inlineStr">
        <is>
          <t>STOCKHOLMS LÄN</t>
        </is>
      </c>
      <c r="E90" t="inlineStr">
        <is>
          <t>ÖSTERÅKER</t>
        </is>
      </c>
      <c r="G90" t="n">
        <v>1.4</v>
      </c>
      <c r="H90" t="n">
        <v>0</v>
      </c>
      <c r="I90" t="n">
        <v>0</v>
      </c>
      <c r="J90" t="n">
        <v>0</v>
      </c>
      <c r="K90" t="n">
        <v>0</v>
      </c>
      <c r="L90" t="n">
        <v>0</v>
      </c>
      <c r="M90" t="n">
        <v>0</v>
      </c>
      <c r="N90" t="n">
        <v>0</v>
      </c>
      <c r="O90" t="n">
        <v>0</v>
      </c>
      <c r="P90" t="n">
        <v>0</v>
      </c>
      <c r="Q90" t="n">
        <v>0</v>
      </c>
      <c r="R90" s="2" t="inlineStr"/>
    </row>
    <row r="91" ht="15" customHeight="1">
      <c r="A91" t="inlineStr">
        <is>
          <t>A 16738-2022</t>
        </is>
      </c>
      <c r="B91" s="1" t="n">
        <v>44673</v>
      </c>
      <c r="C91" s="1" t="n">
        <v>46049</v>
      </c>
      <c r="D91" t="inlineStr">
        <is>
          <t>STOCKHOLMS LÄN</t>
        </is>
      </c>
      <c r="E91" t="inlineStr">
        <is>
          <t>ÖSTERÅKER</t>
        </is>
      </c>
      <c r="G91" t="n">
        <v>1.1</v>
      </c>
      <c r="H91" t="n">
        <v>0</v>
      </c>
      <c r="I91" t="n">
        <v>0</v>
      </c>
      <c r="J91" t="n">
        <v>0</v>
      </c>
      <c r="K91" t="n">
        <v>0</v>
      </c>
      <c r="L91" t="n">
        <v>0</v>
      </c>
      <c r="M91" t="n">
        <v>0</v>
      </c>
      <c r="N91" t="n">
        <v>0</v>
      </c>
      <c r="O91" t="n">
        <v>0</v>
      </c>
      <c r="P91" t="n">
        <v>0</v>
      </c>
      <c r="Q91" t="n">
        <v>0</v>
      </c>
      <c r="R91" s="2" t="inlineStr"/>
    </row>
    <row r="92" ht="15" customHeight="1">
      <c r="A92" t="inlineStr">
        <is>
          <t>A 59379-2022</t>
        </is>
      </c>
      <c r="B92" s="1" t="n">
        <v>44905</v>
      </c>
      <c r="C92" s="1" t="n">
        <v>46049</v>
      </c>
      <c r="D92" t="inlineStr">
        <is>
          <t>STOCKHOLMS LÄN</t>
        </is>
      </c>
      <c r="E92" t="inlineStr">
        <is>
          <t>ÖSTERÅKER</t>
        </is>
      </c>
      <c r="F92" t="inlineStr">
        <is>
          <t>Kommuner</t>
        </is>
      </c>
      <c r="G92" t="n">
        <v>4.7</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46049</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16728-2022</t>
        </is>
      </c>
      <c r="B94" s="1" t="n">
        <v>44673</v>
      </c>
      <c r="C94" s="1" t="n">
        <v>46049</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14776-2024</t>
        </is>
      </c>
      <c r="B95" s="1" t="n">
        <v>45397</v>
      </c>
      <c r="C95" s="1" t="n">
        <v>46049</v>
      </c>
      <c r="D95" t="inlineStr">
        <is>
          <t>STOCKHOLMS LÄN</t>
        </is>
      </c>
      <c r="E95" t="inlineStr">
        <is>
          <t>ÖSTERÅKER</t>
        </is>
      </c>
      <c r="G95" t="n">
        <v>13.6</v>
      </c>
      <c r="H95" t="n">
        <v>0</v>
      </c>
      <c r="I95" t="n">
        <v>0</v>
      </c>
      <c r="J95" t="n">
        <v>0</v>
      </c>
      <c r="K95" t="n">
        <v>0</v>
      </c>
      <c r="L95" t="n">
        <v>0</v>
      </c>
      <c r="M95" t="n">
        <v>0</v>
      </c>
      <c r="N95" t="n">
        <v>0</v>
      </c>
      <c r="O95" t="n">
        <v>0</v>
      </c>
      <c r="P95" t="n">
        <v>0</v>
      </c>
      <c r="Q95" t="n">
        <v>0</v>
      </c>
      <c r="R95" s="2" t="inlineStr"/>
    </row>
    <row r="96" ht="15" customHeight="1">
      <c r="A96" t="inlineStr">
        <is>
          <t>A 61370-2022</t>
        </is>
      </c>
      <c r="B96" s="1" t="n">
        <v>44915</v>
      </c>
      <c r="C96" s="1" t="n">
        <v>46049</v>
      </c>
      <c r="D96" t="inlineStr">
        <is>
          <t>STOCKHOLMS LÄN</t>
        </is>
      </c>
      <c r="E96" t="inlineStr">
        <is>
          <t>ÖSTERÅKER</t>
        </is>
      </c>
      <c r="G96" t="n">
        <v>3.2</v>
      </c>
      <c r="H96" t="n">
        <v>0</v>
      </c>
      <c r="I96" t="n">
        <v>0</v>
      </c>
      <c r="J96" t="n">
        <v>0</v>
      </c>
      <c r="K96" t="n">
        <v>0</v>
      </c>
      <c r="L96" t="n">
        <v>0</v>
      </c>
      <c r="M96" t="n">
        <v>0</v>
      </c>
      <c r="N96" t="n">
        <v>0</v>
      </c>
      <c r="O96" t="n">
        <v>0</v>
      </c>
      <c r="P96" t="n">
        <v>0</v>
      </c>
      <c r="Q96" t="n">
        <v>0</v>
      </c>
      <c r="R96" s="2" t="inlineStr"/>
    </row>
    <row r="97" ht="15" customHeight="1">
      <c r="A97" t="inlineStr">
        <is>
          <t>A 3817-2023</t>
        </is>
      </c>
      <c r="B97" s="1" t="n">
        <v>44951</v>
      </c>
      <c r="C97" s="1" t="n">
        <v>46049</v>
      </c>
      <c r="D97" t="inlineStr">
        <is>
          <t>STOCKHOLMS LÄN</t>
        </is>
      </c>
      <c r="E97" t="inlineStr">
        <is>
          <t>ÖSTERÅKER</t>
        </is>
      </c>
      <c r="F97" t="inlineStr">
        <is>
          <t>Kommuner</t>
        </is>
      </c>
      <c r="G97" t="n">
        <v>4.7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46049</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46049</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46049</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1603-2023</t>
        </is>
      </c>
      <c r="B101" s="1" t="n">
        <v>44937.68086805556</v>
      </c>
      <c r="C101" s="1" t="n">
        <v>46049</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1605-2023</t>
        </is>
      </c>
      <c r="B102" s="1" t="n">
        <v>44937.68299768519</v>
      </c>
      <c r="C102" s="1" t="n">
        <v>46049</v>
      </c>
      <c r="D102" t="inlineStr">
        <is>
          <t>STOCKHOLMS LÄN</t>
        </is>
      </c>
      <c r="E102" t="inlineStr">
        <is>
          <t>ÖSTERÅKER</t>
        </is>
      </c>
      <c r="G102" t="n">
        <v>2.9</v>
      </c>
      <c r="H102" t="n">
        <v>0</v>
      </c>
      <c r="I102" t="n">
        <v>0</v>
      </c>
      <c r="J102" t="n">
        <v>0</v>
      </c>
      <c r="K102" t="n">
        <v>0</v>
      </c>
      <c r="L102" t="n">
        <v>0</v>
      </c>
      <c r="M102" t="n">
        <v>0</v>
      </c>
      <c r="N102" t="n">
        <v>0</v>
      </c>
      <c r="O102" t="n">
        <v>0</v>
      </c>
      <c r="P102" t="n">
        <v>0</v>
      </c>
      <c r="Q102" t="n">
        <v>0</v>
      </c>
      <c r="R102" s="2" t="inlineStr"/>
    </row>
    <row r="103" ht="15" customHeight="1">
      <c r="A103" t="inlineStr">
        <is>
          <t>A 67265-2021</t>
        </is>
      </c>
      <c r="B103" s="1" t="n">
        <v>44523.59277777778</v>
      </c>
      <c r="C103" s="1" t="n">
        <v>46049</v>
      </c>
      <c r="D103" t="inlineStr">
        <is>
          <t>STOCKHOLMS LÄN</t>
        </is>
      </c>
      <c r="E103" t="inlineStr">
        <is>
          <t>ÖSTERÅKER</t>
        </is>
      </c>
      <c r="F103" t="inlineStr">
        <is>
          <t>Kommuner</t>
        </is>
      </c>
      <c r="G103" t="n">
        <v>2.6</v>
      </c>
      <c r="H103" t="n">
        <v>0</v>
      </c>
      <c r="I103" t="n">
        <v>0</v>
      </c>
      <c r="J103" t="n">
        <v>0</v>
      </c>
      <c r="K103" t="n">
        <v>0</v>
      </c>
      <c r="L103" t="n">
        <v>0</v>
      </c>
      <c r="M103" t="n">
        <v>0</v>
      </c>
      <c r="N103" t="n">
        <v>0</v>
      </c>
      <c r="O103" t="n">
        <v>0</v>
      </c>
      <c r="P103" t="n">
        <v>0</v>
      </c>
      <c r="Q103" t="n">
        <v>0</v>
      </c>
      <c r="R103" s="2" t="inlineStr"/>
    </row>
    <row r="104" ht="15" customHeight="1">
      <c r="A104" t="inlineStr">
        <is>
          <t>A 5286-2025</t>
        </is>
      </c>
      <c r="B104" s="1" t="n">
        <v>45692.44144675926</v>
      </c>
      <c r="C104" s="1" t="n">
        <v>46049</v>
      </c>
      <c r="D104" t="inlineStr">
        <is>
          <t>STOCKHOLMS LÄN</t>
        </is>
      </c>
      <c r="E104" t="inlineStr">
        <is>
          <t>ÖSTERÅKER</t>
        </is>
      </c>
      <c r="G104" t="n">
        <v>11.2</v>
      </c>
      <c r="H104" t="n">
        <v>0</v>
      </c>
      <c r="I104" t="n">
        <v>0</v>
      </c>
      <c r="J104" t="n">
        <v>0</v>
      </c>
      <c r="K104" t="n">
        <v>0</v>
      </c>
      <c r="L104" t="n">
        <v>0</v>
      </c>
      <c r="M104" t="n">
        <v>0</v>
      </c>
      <c r="N104" t="n">
        <v>0</v>
      </c>
      <c r="O104" t="n">
        <v>0</v>
      </c>
      <c r="P104" t="n">
        <v>0</v>
      </c>
      <c r="Q104" t="n">
        <v>0</v>
      </c>
      <c r="R104" s="2" t="inlineStr"/>
    </row>
    <row r="105" ht="15" customHeight="1">
      <c r="A105" t="inlineStr">
        <is>
          <t>A 18711-2023</t>
        </is>
      </c>
      <c r="B105" s="1" t="n">
        <v>45043.6433912037</v>
      </c>
      <c r="C105" s="1" t="n">
        <v>46049</v>
      </c>
      <c r="D105" t="inlineStr">
        <is>
          <t>STOCKHOLMS LÄN</t>
        </is>
      </c>
      <c r="E105" t="inlineStr">
        <is>
          <t>ÖSTERÅKER</t>
        </is>
      </c>
      <c r="G105" t="n">
        <v>3</v>
      </c>
      <c r="H105" t="n">
        <v>0</v>
      </c>
      <c r="I105" t="n">
        <v>0</v>
      </c>
      <c r="J105" t="n">
        <v>0</v>
      </c>
      <c r="K105" t="n">
        <v>0</v>
      </c>
      <c r="L105" t="n">
        <v>0</v>
      </c>
      <c r="M105" t="n">
        <v>0</v>
      </c>
      <c r="N105" t="n">
        <v>0</v>
      </c>
      <c r="O105" t="n">
        <v>0</v>
      </c>
      <c r="P105" t="n">
        <v>0</v>
      </c>
      <c r="Q105" t="n">
        <v>0</v>
      </c>
      <c r="R105" s="2" t="inlineStr"/>
    </row>
    <row r="106" ht="15" customHeight="1">
      <c r="A106" t="inlineStr">
        <is>
          <t>A 1136-2023</t>
        </is>
      </c>
      <c r="B106" s="1" t="n">
        <v>44935</v>
      </c>
      <c r="C106" s="1" t="n">
        <v>46049</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39394-2023</t>
        </is>
      </c>
      <c r="B107" s="1" t="n">
        <v>45166</v>
      </c>
      <c r="C107" s="1" t="n">
        <v>46049</v>
      </c>
      <c r="D107" t="inlineStr">
        <is>
          <t>STOCKHOLMS LÄN</t>
        </is>
      </c>
      <c r="E107" t="inlineStr">
        <is>
          <t>ÖSTERÅKER</t>
        </is>
      </c>
      <c r="G107" t="n">
        <v>0.4</v>
      </c>
      <c r="H107" t="n">
        <v>0</v>
      </c>
      <c r="I107" t="n">
        <v>0</v>
      </c>
      <c r="J107" t="n">
        <v>0</v>
      </c>
      <c r="K107" t="n">
        <v>0</v>
      </c>
      <c r="L107" t="n">
        <v>0</v>
      </c>
      <c r="M107" t="n">
        <v>0</v>
      </c>
      <c r="N107" t="n">
        <v>0</v>
      </c>
      <c r="O107" t="n">
        <v>0</v>
      </c>
      <c r="P107" t="n">
        <v>0</v>
      </c>
      <c r="Q107" t="n">
        <v>0</v>
      </c>
      <c r="R107" s="2" t="inlineStr"/>
    </row>
    <row r="108" ht="15" customHeight="1">
      <c r="A108" t="inlineStr">
        <is>
          <t>A 30949-2024</t>
        </is>
      </c>
      <c r="B108" s="1" t="n">
        <v>45499</v>
      </c>
      <c r="C108" s="1" t="n">
        <v>46049</v>
      </c>
      <c r="D108" t="inlineStr">
        <is>
          <t>STOCKHOLMS LÄN</t>
        </is>
      </c>
      <c r="E108" t="inlineStr">
        <is>
          <t>ÖSTERÅKER</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845-2024</t>
        </is>
      </c>
      <c r="B109" s="1" t="n">
        <v>45300.91423611111</v>
      </c>
      <c r="C109" s="1" t="n">
        <v>46049</v>
      </c>
      <c r="D109" t="inlineStr">
        <is>
          <t>STOCKHOLMS LÄN</t>
        </is>
      </c>
      <c r="E109" t="inlineStr">
        <is>
          <t>ÖSTERÅKER</t>
        </is>
      </c>
      <c r="G109" t="n">
        <v>10.1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46049</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19404-2024</t>
        </is>
      </c>
      <c r="B111" s="1" t="n">
        <v>45428</v>
      </c>
      <c r="C111" s="1" t="n">
        <v>46049</v>
      </c>
      <c r="D111" t="inlineStr">
        <is>
          <t>STOCKHOLMS LÄN</t>
        </is>
      </c>
      <c r="E111" t="inlineStr">
        <is>
          <t>ÖSTERÅKER</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46049</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21786-2025</t>
        </is>
      </c>
      <c r="B113" s="1" t="n">
        <v>45783.67215277778</v>
      </c>
      <c r="C113" s="1" t="n">
        <v>46049</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row r="114">
      <c r="A114" t="inlineStr">
        <is>
          <t>A 21796-2025</t>
        </is>
      </c>
      <c r="B114" s="1" t="n">
        <v>45783.68135416666</v>
      </c>
      <c r="C114" s="1" t="n">
        <v>46049</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2026-01-27T10:58:03Z</dcterms:created>
  <dcterms:modified xmlns:dcterms="http://purl.org/dc/terms/" xmlns:xsi="http://www.w3.org/2001/XMLSchema-instance" xsi:type="dcterms:W3CDTF">2026-01-27T10:58:03Z</dcterms:modified>
</cp:coreProperties>
</file>