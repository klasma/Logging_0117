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45976</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45976</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36366-2025</t>
        </is>
      </c>
      <c r="B10" s="1" t="n">
        <v>45868</v>
      </c>
      <c r="C10" s="1" t="n">
        <v>45976</v>
      </c>
      <c r="D10" t="inlineStr">
        <is>
          <t>STOCKHOLMS LÄN</t>
        </is>
      </c>
      <c r="E10" t="inlineStr">
        <is>
          <t>ÖSTERÅKER</t>
        </is>
      </c>
      <c r="G10" t="n">
        <v>7.2</v>
      </c>
      <c r="H10" t="n">
        <v>0</v>
      </c>
      <c r="I10" t="n">
        <v>1</v>
      </c>
      <c r="J10" t="n">
        <v>1</v>
      </c>
      <c r="K10" t="n">
        <v>0</v>
      </c>
      <c r="L10" t="n">
        <v>0</v>
      </c>
      <c r="M10" t="n">
        <v>0</v>
      </c>
      <c r="N10" t="n">
        <v>0</v>
      </c>
      <c r="O10" t="n">
        <v>1</v>
      </c>
      <c r="P10" t="n">
        <v>0</v>
      </c>
      <c r="Q10" t="n">
        <v>2</v>
      </c>
      <c r="R10" s="2" t="inlineStr">
        <is>
          <t>Garnlav
Björksplintborre</t>
        </is>
      </c>
      <c r="S10">
        <f>HYPERLINK("https://klasma.github.io/Logging_0117/artfynd/A 36366-2025 artfynd.xlsx", "A 36366-2025")</f>
        <v/>
      </c>
      <c r="T10">
        <f>HYPERLINK("https://klasma.github.io/Logging_0117/kartor/A 36366-2025 karta.png", "A 36366-2025")</f>
        <v/>
      </c>
      <c r="V10">
        <f>HYPERLINK("https://klasma.github.io/Logging_0117/klagomål/A 36366-2025 FSC-klagomål.docx", "A 36366-2025")</f>
        <v/>
      </c>
      <c r="W10">
        <f>HYPERLINK("https://klasma.github.io/Logging_0117/klagomålsmail/A 36366-2025 FSC-klagomål mail.docx", "A 36366-2025")</f>
        <v/>
      </c>
      <c r="X10">
        <f>HYPERLINK("https://klasma.github.io/Logging_0117/tillsyn/A 36366-2025 tillsynsbegäran.docx", "A 36366-2025")</f>
        <v/>
      </c>
      <c r="Y10">
        <f>HYPERLINK("https://klasma.github.io/Logging_0117/tillsynsmail/A 36366-2025 tillsynsbegäran mail.docx", "A 36366-2025")</f>
        <v/>
      </c>
    </row>
    <row r="11" ht="15" customHeight="1">
      <c r="A11" t="inlineStr">
        <is>
          <t>A 61363-2022</t>
        </is>
      </c>
      <c r="B11" s="1" t="n">
        <v>44915</v>
      </c>
      <c r="C11" s="1" t="n">
        <v>45976</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54703-2024</t>
        </is>
      </c>
      <c r="B12" s="1" t="n">
        <v>45618</v>
      </c>
      <c r="C12" s="1" t="n">
        <v>45976</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45976</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45976</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45976</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45976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45976</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3919-2023</t>
        </is>
      </c>
      <c r="B18" s="1" t="n">
        <v>44952</v>
      </c>
      <c r="C18" s="1" t="n">
        <v>45976</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3914-2023</t>
        </is>
      </c>
      <c r="B19" s="1" t="n">
        <v>44952.30934027778</v>
      </c>
      <c r="C19" s="1" t="n">
        <v>45976</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27921-2025</t>
        </is>
      </c>
      <c r="B20" s="1" t="n">
        <v>45817.4846875</v>
      </c>
      <c r="C20" s="1" t="n">
        <v>45976</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13942-2021</t>
        </is>
      </c>
      <c r="B21" s="1" t="n">
        <v>44277</v>
      </c>
      <c r="C21" s="1" t="n">
        <v>45976</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31716-2025</t>
        </is>
      </c>
      <c r="B22" s="1" t="n">
        <v>45834</v>
      </c>
      <c r="C22" s="1" t="n">
        <v>45976</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45976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31075-2021</t>
        </is>
      </c>
      <c r="B27" s="1" t="n">
        <v>44368</v>
      </c>
      <c r="C27" s="1" t="n">
        <v>45976</v>
      </c>
      <c r="D27" t="inlineStr">
        <is>
          <t>STOCKHOLMS LÄN</t>
        </is>
      </c>
      <c r="E27" t="inlineStr">
        <is>
          <t>ÖSTERÅKER</t>
        </is>
      </c>
      <c r="F27" t="inlineStr">
        <is>
          <t>Övriga Aktiebolag</t>
        </is>
      </c>
      <c r="G27" t="n">
        <v>2.9</v>
      </c>
      <c r="H27" t="n">
        <v>0</v>
      </c>
      <c r="I27" t="n">
        <v>0</v>
      </c>
      <c r="J27" t="n">
        <v>0</v>
      </c>
      <c r="K27" t="n">
        <v>0</v>
      </c>
      <c r="L27" t="n">
        <v>0</v>
      </c>
      <c r="M27" t="n">
        <v>0</v>
      </c>
      <c r="N27" t="n">
        <v>0</v>
      </c>
      <c r="O27" t="n">
        <v>0</v>
      </c>
      <c r="P27" t="n">
        <v>0</v>
      </c>
      <c r="Q27" t="n">
        <v>0</v>
      </c>
      <c r="R27" s="2" t="inlineStr"/>
    </row>
    <row r="28" ht="15" customHeight="1">
      <c r="A28" t="inlineStr">
        <is>
          <t>A 18172-2021</t>
        </is>
      </c>
      <c r="B28" s="1" t="n">
        <v>44302.62196759259</v>
      </c>
      <c r="C28" s="1" t="n">
        <v>45976</v>
      </c>
      <c r="D28" t="inlineStr">
        <is>
          <t>STOCKHOLMS LÄN</t>
        </is>
      </c>
      <c r="E28" t="inlineStr">
        <is>
          <t>ÖSTERÅKER</t>
        </is>
      </c>
      <c r="G28" t="n">
        <v>3.2</v>
      </c>
      <c r="H28" t="n">
        <v>0</v>
      </c>
      <c r="I28" t="n">
        <v>0</v>
      </c>
      <c r="J28" t="n">
        <v>0</v>
      </c>
      <c r="K28" t="n">
        <v>0</v>
      </c>
      <c r="L28" t="n">
        <v>0</v>
      </c>
      <c r="M28" t="n">
        <v>0</v>
      </c>
      <c r="N28" t="n">
        <v>0</v>
      </c>
      <c r="O28" t="n">
        <v>0</v>
      </c>
      <c r="P28" t="n">
        <v>0</v>
      </c>
      <c r="Q28" t="n">
        <v>0</v>
      </c>
      <c r="R28" s="2" t="inlineStr"/>
    </row>
    <row r="29" ht="15" customHeight="1">
      <c r="A29" t="inlineStr">
        <is>
          <t>A 17263-2022</t>
        </is>
      </c>
      <c r="B29" s="1" t="n">
        <v>44678</v>
      </c>
      <c r="C29" s="1" t="n">
        <v>45976</v>
      </c>
      <c r="D29" t="inlineStr">
        <is>
          <t>STOCKHOLMS LÄN</t>
        </is>
      </c>
      <c r="E29" t="inlineStr">
        <is>
          <t>ÖSTERÅKER</t>
        </is>
      </c>
      <c r="G29" t="n">
        <v>2.4</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45976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45976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45976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45976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45976</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45976</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45976</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45976</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28399-2022</t>
        </is>
      </c>
      <c r="B38" s="1" t="n">
        <v>44747</v>
      </c>
      <c r="C38" s="1" t="n">
        <v>45976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45976</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61370-2022</t>
        </is>
      </c>
      <c r="B40" s="1" t="n">
        <v>44915</v>
      </c>
      <c r="C40" s="1" t="n">
        <v>45976</v>
      </c>
      <c r="D40" t="inlineStr">
        <is>
          <t>STOCKHOLMS LÄN</t>
        </is>
      </c>
      <c r="E40" t="inlineStr">
        <is>
          <t>ÖSTERÅKER</t>
        </is>
      </c>
      <c r="G40" t="n">
        <v>3.2</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45976</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61710-2022</t>
        </is>
      </c>
      <c r="B42" s="1" t="n">
        <v>44917</v>
      </c>
      <c r="C42" s="1" t="n">
        <v>45976</v>
      </c>
      <c r="D42" t="inlineStr">
        <is>
          <t>STOCKHOLMS LÄN</t>
        </is>
      </c>
      <c r="E42" t="inlineStr">
        <is>
          <t>ÖSTERÅKER</t>
        </is>
      </c>
      <c r="G42" t="n">
        <v>6.2</v>
      </c>
      <c r="H42" t="n">
        <v>0</v>
      </c>
      <c r="I42" t="n">
        <v>0</v>
      </c>
      <c r="J42" t="n">
        <v>0</v>
      </c>
      <c r="K42" t="n">
        <v>0</v>
      </c>
      <c r="L42" t="n">
        <v>0</v>
      </c>
      <c r="M42" t="n">
        <v>0</v>
      </c>
      <c r="N42" t="n">
        <v>0</v>
      </c>
      <c r="O42" t="n">
        <v>0</v>
      </c>
      <c r="P42" t="n">
        <v>0</v>
      </c>
      <c r="Q42" t="n">
        <v>0</v>
      </c>
      <c r="R42" s="2" t="inlineStr"/>
    </row>
    <row r="43" ht="15" customHeight="1">
      <c r="A43" t="inlineStr">
        <is>
          <t>A 3817-2023</t>
        </is>
      </c>
      <c r="B43" s="1" t="n">
        <v>44951</v>
      </c>
      <c r="C43" s="1" t="n">
        <v>45976</v>
      </c>
      <c r="D43" t="inlineStr">
        <is>
          <t>STOCKHOLMS LÄN</t>
        </is>
      </c>
      <c r="E43" t="inlineStr">
        <is>
          <t>ÖSTERÅKER</t>
        </is>
      </c>
      <c r="F43" t="inlineStr">
        <is>
          <t>Kommuner</t>
        </is>
      </c>
      <c r="G43" t="n">
        <v>4.7</v>
      </c>
      <c r="H43" t="n">
        <v>0</v>
      </c>
      <c r="I43" t="n">
        <v>0</v>
      </c>
      <c r="J43" t="n">
        <v>0</v>
      </c>
      <c r="K43" t="n">
        <v>0</v>
      </c>
      <c r="L43" t="n">
        <v>0</v>
      </c>
      <c r="M43" t="n">
        <v>0</v>
      </c>
      <c r="N43" t="n">
        <v>0</v>
      </c>
      <c r="O43" t="n">
        <v>0</v>
      </c>
      <c r="P43" t="n">
        <v>0</v>
      </c>
      <c r="Q43" t="n">
        <v>0</v>
      </c>
      <c r="R43" s="2" t="inlineStr"/>
    </row>
    <row r="44" ht="15" customHeight="1">
      <c r="A44" t="inlineStr">
        <is>
          <t>A 544-2023</t>
        </is>
      </c>
      <c r="B44" s="1" t="n">
        <v>44924</v>
      </c>
      <c r="C44" s="1" t="n">
        <v>45976</v>
      </c>
      <c r="D44" t="inlineStr">
        <is>
          <t>STOCKHOLMS LÄN</t>
        </is>
      </c>
      <c r="E44" t="inlineStr">
        <is>
          <t>ÖSTERÅKER</t>
        </is>
      </c>
      <c r="F44" t="inlineStr">
        <is>
          <t>Övriga Aktiebolag</t>
        </is>
      </c>
      <c r="G44" t="n">
        <v>0.9</v>
      </c>
      <c r="H44" t="n">
        <v>0</v>
      </c>
      <c r="I44" t="n">
        <v>0</v>
      </c>
      <c r="J44" t="n">
        <v>0</v>
      </c>
      <c r="K44" t="n">
        <v>0</v>
      </c>
      <c r="L44" t="n">
        <v>0</v>
      </c>
      <c r="M44" t="n">
        <v>0</v>
      </c>
      <c r="N44" t="n">
        <v>0</v>
      </c>
      <c r="O44" t="n">
        <v>0</v>
      </c>
      <c r="P44" t="n">
        <v>0</v>
      </c>
      <c r="Q44" t="n">
        <v>0</v>
      </c>
      <c r="R44" s="2" t="inlineStr"/>
    </row>
    <row r="45" ht="15" customHeight="1">
      <c r="A45" t="inlineStr">
        <is>
          <t>A 28405-2022</t>
        </is>
      </c>
      <c r="B45" s="1" t="n">
        <v>44747</v>
      </c>
      <c r="C45" s="1" t="n">
        <v>45976</v>
      </c>
      <c r="D45" t="inlineStr">
        <is>
          <t>STOCKHOLMS LÄN</t>
        </is>
      </c>
      <c r="E45" t="inlineStr">
        <is>
          <t>ÖSTERÅKER</t>
        </is>
      </c>
      <c r="G45" t="n">
        <v>1.9</v>
      </c>
      <c r="H45" t="n">
        <v>0</v>
      </c>
      <c r="I45" t="n">
        <v>0</v>
      </c>
      <c r="J45" t="n">
        <v>0</v>
      </c>
      <c r="K45" t="n">
        <v>0</v>
      </c>
      <c r="L45" t="n">
        <v>0</v>
      </c>
      <c r="M45" t="n">
        <v>0</v>
      </c>
      <c r="N45" t="n">
        <v>0</v>
      </c>
      <c r="O45" t="n">
        <v>0</v>
      </c>
      <c r="P45" t="n">
        <v>0</v>
      </c>
      <c r="Q45" t="n">
        <v>0</v>
      </c>
      <c r="R45" s="2" t="inlineStr"/>
    </row>
    <row r="46" ht="15" customHeight="1">
      <c r="A46" t="inlineStr">
        <is>
          <t>A 3326-2022</t>
        </is>
      </c>
      <c r="B46" s="1" t="n">
        <v>44583</v>
      </c>
      <c r="C46" s="1" t="n">
        <v>45976</v>
      </c>
      <c r="D46" t="inlineStr">
        <is>
          <t>STOCKHOLMS LÄN</t>
        </is>
      </c>
      <c r="E46" t="inlineStr">
        <is>
          <t>ÖSTERÅKER</t>
        </is>
      </c>
      <c r="F46" t="inlineStr">
        <is>
          <t>Övriga Aktiebolag</t>
        </is>
      </c>
      <c r="G46" t="n">
        <v>2.7</v>
      </c>
      <c r="H46" t="n">
        <v>0</v>
      </c>
      <c r="I46" t="n">
        <v>0</v>
      </c>
      <c r="J46" t="n">
        <v>0</v>
      </c>
      <c r="K46" t="n">
        <v>0</v>
      </c>
      <c r="L46" t="n">
        <v>0</v>
      </c>
      <c r="M46" t="n">
        <v>0</v>
      </c>
      <c r="N46" t="n">
        <v>0</v>
      </c>
      <c r="O46" t="n">
        <v>0</v>
      </c>
      <c r="P46" t="n">
        <v>0</v>
      </c>
      <c r="Q46" t="n">
        <v>0</v>
      </c>
      <c r="R46" s="2" t="inlineStr"/>
    </row>
    <row r="47" ht="15" customHeight="1">
      <c r="A47" t="inlineStr">
        <is>
          <t>A 17173-2022</t>
        </is>
      </c>
      <c r="B47" s="1" t="n">
        <v>44677</v>
      </c>
      <c r="C47" s="1" t="n">
        <v>45976</v>
      </c>
      <c r="D47" t="inlineStr">
        <is>
          <t>STOCKHOLMS LÄN</t>
        </is>
      </c>
      <c r="E47" t="inlineStr">
        <is>
          <t>ÖSTERÅKER</t>
        </is>
      </c>
      <c r="G47" t="n">
        <v>2.8</v>
      </c>
      <c r="H47" t="n">
        <v>0</v>
      </c>
      <c r="I47" t="n">
        <v>0</v>
      </c>
      <c r="J47" t="n">
        <v>0</v>
      </c>
      <c r="K47" t="n">
        <v>0</v>
      </c>
      <c r="L47" t="n">
        <v>0</v>
      </c>
      <c r="M47" t="n">
        <v>0</v>
      </c>
      <c r="N47" t="n">
        <v>0</v>
      </c>
      <c r="O47" t="n">
        <v>0</v>
      </c>
      <c r="P47" t="n">
        <v>0</v>
      </c>
      <c r="Q47" t="n">
        <v>0</v>
      </c>
      <c r="R47" s="2" t="inlineStr"/>
    </row>
    <row r="48" ht="15" customHeight="1">
      <c r="A48" t="inlineStr">
        <is>
          <t>A 22528-2024</t>
        </is>
      </c>
      <c r="B48" s="1" t="n">
        <v>45447.44967592593</v>
      </c>
      <c r="C48" s="1" t="n">
        <v>45976</v>
      </c>
      <c r="D48" t="inlineStr">
        <is>
          <t>STOCKHOLMS LÄN</t>
        </is>
      </c>
      <c r="E48" t="inlineStr">
        <is>
          <t>ÖSTERÅKER</t>
        </is>
      </c>
      <c r="F48" t="inlineStr">
        <is>
          <t>Övriga Aktiebolag</t>
        </is>
      </c>
      <c r="G48" t="n">
        <v>1.4</v>
      </c>
      <c r="H48" t="n">
        <v>0</v>
      </c>
      <c r="I48" t="n">
        <v>0</v>
      </c>
      <c r="J48" t="n">
        <v>0</v>
      </c>
      <c r="K48" t="n">
        <v>0</v>
      </c>
      <c r="L48" t="n">
        <v>0</v>
      </c>
      <c r="M48" t="n">
        <v>0</v>
      </c>
      <c r="N48" t="n">
        <v>0</v>
      </c>
      <c r="O48" t="n">
        <v>0</v>
      </c>
      <c r="P48" t="n">
        <v>0</v>
      </c>
      <c r="Q48" t="n">
        <v>0</v>
      </c>
      <c r="R48" s="2" t="inlineStr"/>
    </row>
    <row r="49" ht="15" customHeight="1">
      <c r="A49" t="inlineStr">
        <is>
          <t>A 36614-2025</t>
        </is>
      </c>
      <c r="B49" s="1" t="n">
        <v>45870</v>
      </c>
      <c r="C49" s="1" t="n">
        <v>45976</v>
      </c>
      <c r="D49" t="inlineStr">
        <is>
          <t>STOCKHOLMS LÄN</t>
        </is>
      </c>
      <c r="E49" t="inlineStr">
        <is>
          <t>ÖSTERÅKER</t>
        </is>
      </c>
      <c r="G49" t="n">
        <v>1.7</v>
      </c>
      <c r="H49" t="n">
        <v>0</v>
      </c>
      <c r="I49" t="n">
        <v>0</v>
      </c>
      <c r="J49" t="n">
        <v>0</v>
      </c>
      <c r="K49" t="n">
        <v>0</v>
      </c>
      <c r="L49" t="n">
        <v>0</v>
      </c>
      <c r="M49" t="n">
        <v>0</v>
      </c>
      <c r="N49" t="n">
        <v>0</v>
      </c>
      <c r="O49" t="n">
        <v>0</v>
      </c>
      <c r="P49" t="n">
        <v>0</v>
      </c>
      <c r="Q49" t="n">
        <v>0</v>
      </c>
      <c r="R49" s="2" t="inlineStr"/>
    </row>
    <row r="50" ht="15" customHeight="1">
      <c r="A50" t="inlineStr">
        <is>
          <t>A 1603-2023</t>
        </is>
      </c>
      <c r="B50" s="1" t="n">
        <v>44937.68086805556</v>
      </c>
      <c r="C50" s="1" t="n">
        <v>45976</v>
      </c>
      <c r="D50" t="inlineStr">
        <is>
          <t>STOCKHOLMS LÄN</t>
        </is>
      </c>
      <c r="E50" t="inlineStr">
        <is>
          <t>ÖSTERÅKER</t>
        </is>
      </c>
      <c r="G50" t="n">
        <v>1.7</v>
      </c>
      <c r="H50" t="n">
        <v>0</v>
      </c>
      <c r="I50" t="n">
        <v>0</v>
      </c>
      <c r="J50" t="n">
        <v>0</v>
      </c>
      <c r="K50" t="n">
        <v>0</v>
      </c>
      <c r="L50" t="n">
        <v>0</v>
      </c>
      <c r="M50" t="n">
        <v>0</v>
      </c>
      <c r="N50" t="n">
        <v>0</v>
      </c>
      <c r="O50" t="n">
        <v>0</v>
      </c>
      <c r="P50" t="n">
        <v>0</v>
      </c>
      <c r="Q50" t="n">
        <v>0</v>
      </c>
      <c r="R50" s="2" t="inlineStr"/>
    </row>
    <row r="51" ht="15" customHeight="1">
      <c r="A51" t="inlineStr">
        <is>
          <t>A 1605-2023</t>
        </is>
      </c>
      <c r="B51" s="1" t="n">
        <v>44937.68299768519</v>
      </c>
      <c r="C51" s="1" t="n">
        <v>45976</v>
      </c>
      <c r="D51" t="inlineStr">
        <is>
          <t>STOCKHOLMS LÄN</t>
        </is>
      </c>
      <c r="E51" t="inlineStr">
        <is>
          <t>ÖSTERÅKER</t>
        </is>
      </c>
      <c r="G51" t="n">
        <v>2.9</v>
      </c>
      <c r="H51" t="n">
        <v>0</v>
      </c>
      <c r="I51" t="n">
        <v>0</v>
      </c>
      <c r="J51" t="n">
        <v>0</v>
      </c>
      <c r="K51" t="n">
        <v>0</v>
      </c>
      <c r="L51" t="n">
        <v>0</v>
      </c>
      <c r="M51" t="n">
        <v>0</v>
      </c>
      <c r="N51" t="n">
        <v>0</v>
      </c>
      <c r="O51" t="n">
        <v>0</v>
      </c>
      <c r="P51" t="n">
        <v>0</v>
      </c>
      <c r="Q51" t="n">
        <v>0</v>
      </c>
      <c r="R51" s="2" t="inlineStr"/>
    </row>
    <row r="52" ht="15" customHeight="1">
      <c r="A52" t="inlineStr">
        <is>
          <t>A 36612-2025</t>
        </is>
      </c>
      <c r="B52" s="1" t="n">
        <v>45870</v>
      </c>
      <c r="C52" s="1" t="n">
        <v>45976</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13366-2024</t>
        </is>
      </c>
      <c r="B53" s="1" t="n">
        <v>45387</v>
      </c>
      <c r="C53" s="1" t="n">
        <v>45976</v>
      </c>
      <c r="D53" t="inlineStr">
        <is>
          <t>STOCKHOLMS LÄN</t>
        </is>
      </c>
      <c r="E53" t="inlineStr">
        <is>
          <t>ÖSTERÅKER</t>
        </is>
      </c>
      <c r="G53" t="n">
        <v>13.7</v>
      </c>
      <c r="H53" t="n">
        <v>0</v>
      </c>
      <c r="I53" t="n">
        <v>0</v>
      </c>
      <c r="J53" t="n">
        <v>0</v>
      </c>
      <c r="K53" t="n">
        <v>0</v>
      </c>
      <c r="L53" t="n">
        <v>0</v>
      </c>
      <c r="M53" t="n">
        <v>0</v>
      </c>
      <c r="N53" t="n">
        <v>0</v>
      </c>
      <c r="O53" t="n">
        <v>0</v>
      </c>
      <c r="P53" t="n">
        <v>0</v>
      </c>
      <c r="Q53" t="n">
        <v>0</v>
      </c>
      <c r="R53" s="2" t="inlineStr"/>
    </row>
    <row r="54" ht="15" customHeight="1">
      <c r="A54" t="inlineStr">
        <is>
          <t>A 37037-2023</t>
        </is>
      </c>
      <c r="B54" s="1" t="n">
        <v>45155</v>
      </c>
      <c r="C54" s="1" t="n">
        <v>45976</v>
      </c>
      <c r="D54" t="inlineStr">
        <is>
          <t>STOCKHOLMS LÄN</t>
        </is>
      </c>
      <c r="E54" t="inlineStr">
        <is>
          <t>ÖSTERÅKER</t>
        </is>
      </c>
      <c r="G54" t="n">
        <v>2</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45976</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57055-2024</t>
        </is>
      </c>
      <c r="B56" s="1" t="n">
        <v>45629.34627314815</v>
      </c>
      <c r="C56" s="1" t="n">
        <v>45976</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59379-2022</t>
        </is>
      </c>
      <c r="B57" s="1" t="n">
        <v>44905</v>
      </c>
      <c r="C57" s="1" t="n">
        <v>45976</v>
      </c>
      <c r="D57" t="inlineStr">
        <is>
          <t>STOCKHOLMS LÄN</t>
        </is>
      </c>
      <c r="E57" t="inlineStr">
        <is>
          <t>ÖSTERÅKER</t>
        </is>
      </c>
      <c r="F57" t="inlineStr">
        <is>
          <t>Kommuner</t>
        </is>
      </c>
      <c r="G57" t="n">
        <v>4.7</v>
      </c>
      <c r="H57" t="n">
        <v>0</v>
      </c>
      <c r="I57" t="n">
        <v>0</v>
      </c>
      <c r="J57" t="n">
        <v>0</v>
      </c>
      <c r="K57" t="n">
        <v>0</v>
      </c>
      <c r="L57" t="n">
        <v>0</v>
      </c>
      <c r="M57" t="n">
        <v>0</v>
      </c>
      <c r="N57" t="n">
        <v>0</v>
      </c>
      <c r="O57" t="n">
        <v>0</v>
      </c>
      <c r="P57" t="n">
        <v>0</v>
      </c>
      <c r="Q57" t="n">
        <v>0</v>
      </c>
      <c r="R57" s="2" t="inlineStr"/>
    </row>
    <row r="58" ht="15" customHeight="1">
      <c r="A58" t="inlineStr">
        <is>
          <t>A 46688-2022</t>
        </is>
      </c>
      <c r="B58" s="1" t="n">
        <v>44851</v>
      </c>
      <c r="C58" s="1" t="n">
        <v>45976</v>
      </c>
      <c r="D58" t="inlineStr">
        <is>
          <t>STOCKHOLMS LÄN</t>
        </is>
      </c>
      <c r="E58" t="inlineStr">
        <is>
          <t>ÖSTERÅKER</t>
        </is>
      </c>
      <c r="G58" t="n">
        <v>2</v>
      </c>
      <c r="H58" t="n">
        <v>0</v>
      </c>
      <c r="I58" t="n">
        <v>0</v>
      </c>
      <c r="J58" t="n">
        <v>0</v>
      </c>
      <c r="K58" t="n">
        <v>0</v>
      </c>
      <c r="L58" t="n">
        <v>0</v>
      </c>
      <c r="M58" t="n">
        <v>0</v>
      </c>
      <c r="N58" t="n">
        <v>0</v>
      </c>
      <c r="O58" t="n">
        <v>0</v>
      </c>
      <c r="P58" t="n">
        <v>0</v>
      </c>
      <c r="Q58" t="n">
        <v>0</v>
      </c>
      <c r="R58" s="2" t="inlineStr"/>
    </row>
    <row r="59" ht="15" customHeight="1">
      <c r="A59" t="inlineStr">
        <is>
          <t>A 3828-2023</t>
        </is>
      </c>
      <c r="B59" s="1" t="n">
        <v>44951</v>
      </c>
      <c r="C59" s="1" t="n">
        <v>45976</v>
      </c>
      <c r="D59" t="inlineStr">
        <is>
          <t>STOCKHOLMS LÄN</t>
        </is>
      </c>
      <c r="E59" t="inlineStr">
        <is>
          <t>ÖSTERÅKER</t>
        </is>
      </c>
      <c r="F59" t="inlineStr">
        <is>
          <t>Kommuner</t>
        </is>
      </c>
      <c r="G59" t="n">
        <v>3.2</v>
      </c>
      <c r="H59" t="n">
        <v>0</v>
      </c>
      <c r="I59" t="n">
        <v>0</v>
      </c>
      <c r="J59" t="n">
        <v>0</v>
      </c>
      <c r="K59" t="n">
        <v>0</v>
      </c>
      <c r="L59" t="n">
        <v>0</v>
      </c>
      <c r="M59" t="n">
        <v>0</v>
      </c>
      <c r="N59" t="n">
        <v>0</v>
      </c>
      <c r="O59" t="n">
        <v>0</v>
      </c>
      <c r="P59" t="n">
        <v>0</v>
      </c>
      <c r="Q59" t="n">
        <v>0</v>
      </c>
      <c r="R59" s="2" t="inlineStr"/>
    </row>
    <row r="60" ht="15" customHeight="1">
      <c r="A60" t="inlineStr">
        <is>
          <t>A 16738-2022</t>
        </is>
      </c>
      <c r="B60" s="1" t="n">
        <v>44673</v>
      </c>
      <c r="C60" s="1" t="n">
        <v>45976</v>
      </c>
      <c r="D60" t="inlineStr">
        <is>
          <t>STOCKHOLMS LÄN</t>
        </is>
      </c>
      <c r="E60" t="inlineStr">
        <is>
          <t>ÖSTERÅKER</t>
        </is>
      </c>
      <c r="G60" t="n">
        <v>1.1</v>
      </c>
      <c r="H60" t="n">
        <v>0</v>
      </c>
      <c r="I60" t="n">
        <v>0</v>
      </c>
      <c r="J60" t="n">
        <v>0</v>
      </c>
      <c r="K60" t="n">
        <v>0</v>
      </c>
      <c r="L60" t="n">
        <v>0</v>
      </c>
      <c r="M60" t="n">
        <v>0</v>
      </c>
      <c r="N60" t="n">
        <v>0</v>
      </c>
      <c r="O60" t="n">
        <v>0</v>
      </c>
      <c r="P60" t="n">
        <v>0</v>
      </c>
      <c r="Q60" t="n">
        <v>0</v>
      </c>
      <c r="R60" s="2" t="inlineStr"/>
    </row>
    <row r="61" ht="15" customHeight="1">
      <c r="A61" t="inlineStr">
        <is>
          <t>A 14776-2024</t>
        </is>
      </c>
      <c r="B61" s="1" t="n">
        <v>45397</v>
      </c>
      <c r="C61" s="1" t="n">
        <v>45976</v>
      </c>
      <c r="D61" t="inlineStr">
        <is>
          <t>STOCKHOLMS LÄN</t>
        </is>
      </c>
      <c r="E61" t="inlineStr">
        <is>
          <t>ÖSTERÅKER</t>
        </is>
      </c>
      <c r="G61" t="n">
        <v>13.6</v>
      </c>
      <c r="H61" t="n">
        <v>0</v>
      </c>
      <c r="I61" t="n">
        <v>0</v>
      </c>
      <c r="J61" t="n">
        <v>0</v>
      </c>
      <c r="K61" t="n">
        <v>0</v>
      </c>
      <c r="L61" t="n">
        <v>0</v>
      </c>
      <c r="M61" t="n">
        <v>0</v>
      </c>
      <c r="N61" t="n">
        <v>0</v>
      </c>
      <c r="O61" t="n">
        <v>0</v>
      </c>
      <c r="P61" t="n">
        <v>0</v>
      </c>
      <c r="Q61" t="n">
        <v>0</v>
      </c>
      <c r="R61" s="2" t="inlineStr"/>
    </row>
    <row r="62" ht="15" customHeight="1">
      <c r="A62" t="inlineStr">
        <is>
          <t>A 17196-2022</t>
        </is>
      </c>
      <c r="B62" s="1" t="n">
        <v>44677</v>
      </c>
      <c r="C62" s="1" t="n">
        <v>45976</v>
      </c>
      <c r="D62" t="inlineStr">
        <is>
          <t>STOCKHOLMS LÄN</t>
        </is>
      </c>
      <c r="E62" t="inlineStr">
        <is>
          <t>ÖSTERÅKER</t>
        </is>
      </c>
      <c r="G62" t="n">
        <v>5.9</v>
      </c>
      <c r="H62" t="n">
        <v>0</v>
      </c>
      <c r="I62" t="n">
        <v>0</v>
      </c>
      <c r="J62" t="n">
        <v>0</v>
      </c>
      <c r="K62" t="n">
        <v>0</v>
      </c>
      <c r="L62" t="n">
        <v>0</v>
      </c>
      <c r="M62" t="n">
        <v>0</v>
      </c>
      <c r="N62" t="n">
        <v>0</v>
      </c>
      <c r="O62" t="n">
        <v>0</v>
      </c>
      <c r="P62" t="n">
        <v>0</v>
      </c>
      <c r="Q62" t="n">
        <v>0</v>
      </c>
      <c r="R62" s="2" t="inlineStr"/>
    </row>
    <row r="63" ht="15" customHeight="1">
      <c r="A63" t="inlineStr">
        <is>
          <t>A 33158-2024</t>
        </is>
      </c>
      <c r="B63" s="1" t="n">
        <v>45518</v>
      </c>
      <c r="C63" s="1" t="n">
        <v>45976</v>
      </c>
      <c r="D63" t="inlineStr">
        <is>
          <t>STOCKHOLMS LÄN</t>
        </is>
      </c>
      <c r="E63" t="inlineStr">
        <is>
          <t>ÖSTERÅKER</t>
        </is>
      </c>
      <c r="G63" t="n">
        <v>1.6</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45976</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39394-2023</t>
        </is>
      </c>
      <c r="B65" s="1" t="n">
        <v>45166</v>
      </c>
      <c r="C65" s="1" t="n">
        <v>45976</v>
      </c>
      <c r="D65" t="inlineStr">
        <is>
          <t>STOCKHOLMS LÄN</t>
        </is>
      </c>
      <c r="E65" t="inlineStr">
        <is>
          <t>ÖSTERÅKER</t>
        </is>
      </c>
      <c r="G65" t="n">
        <v>0.4</v>
      </c>
      <c r="H65" t="n">
        <v>0</v>
      </c>
      <c r="I65" t="n">
        <v>0</v>
      </c>
      <c r="J65" t="n">
        <v>0</v>
      </c>
      <c r="K65" t="n">
        <v>0</v>
      </c>
      <c r="L65" t="n">
        <v>0</v>
      </c>
      <c r="M65" t="n">
        <v>0</v>
      </c>
      <c r="N65" t="n">
        <v>0</v>
      </c>
      <c r="O65" t="n">
        <v>0</v>
      </c>
      <c r="P65" t="n">
        <v>0</v>
      </c>
      <c r="Q65" t="n">
        <v>0</v>
      </c>
      <c r="R65" s="2" t="inlineStr"/>
    </row>
    <row r="66" ht="15" customHeight="1">
      <c r="A66" t="inlineStr">
        <is>
          <t>A 62108-2022</t>
        </is>
      </c>
      <c r="B66" s="1" t="n">
        <v>44920</v>
      </c>
      <c r="C66" s="1" t="n">
        <v>45976</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16803-2022</t>
        </is>
      </c>
      <c r="B67" s="1" t="n">
        <v>44673</v>
      </c>
      <c r="C67" s="1" t="n">
        <v>45976</v>
      </c>
      <c r="D67" t="inlineStr">
        <is>
          <t>STOCKHOLMS LÄN</t>
        </is>
      </c>
      <c r="E67" t="inlineStr">
        <is>
          <t>ÖSTERÅKER</t>
        </is>
      </c>
      <c r="G67" t="n">
        <v>1.9</v>
      </c>
      <c r="H67" t="n">
        <v>0</v>
      </c>
      <c r="I67" t="n">
        <v>0</v>
      </c>
      <c r="J67" t="n">
        <v>0</v>
      </c>
      <c r="K67" t="n">
        <v>0</v>
      </c>
      <c r="L67" t="n">
        <v>0</v>
      </c>
      <c r="M67" t="n">
        <v>0</v>
      </c>
      <c r="N67" t="n">
        <v>0</v>
      </c>
      <c r="O67" t="n">
        <v>0</v>
      </c>
      <c r="P67" t="n">
        <v>0</v>
      </c>
      <c r="Q67" t="n">
        <v>0</v>
      </c>
      <c r="R67" s="2" t="inlineStr"/>
    </row>
    <row r="68" ht="15" customHeight="1">
      <c r="A68" t="inlineStr">
        <is>
          <t>A 470-2022</t>
        </is>
      </c>
      <c r="B68" s="1" t="n">
        <v>44565</v>
      </c>
      <c r="C68" s="1" t="n">
        <v>45976</v>
      </c>
      <c r="D68" t="inlineStr">
        <is>
          <t>STOCKHOLMS LÄN</t>
        </is>
      </c>
      <c r="E68" t="inlineStr">
        <is>
          <t>ÖSTERÅKER</t>
        </is>
      </c>
      <c r="F68" t="inlineStr">
        <is>
          <t>Övriga Aktiebolag</t>
        </is>
      </c>
      <c r="G68" t="n">
        <v>4.6</v>
      </c>
      <c r="H68" t="n">
        <v>0</v>
      </c>
      <c r="I68" t="n">
        <v>0</v>
      </c>
      <c r="J68" t="n">
        <v>0</v>
      </c>
      <c r="K68" t="n">
        <v>0</v>
      </c>
      <c r="L68" t="n">
        <v>0</v>
      </c>
      <c r="M68" t="n">
        <v>0</v>
      </c>
      <c r="N68" t="n">
        <v>0</v>
      </c>
      <c r="O68" t="n">
        <v>0</v>
      </c>
      <c r="P68" t="n">
        <v>0</v>
      </c>
      <c r="Q68" t="n">
        <v>0</v>
      </c>
      <c r="R68" s="2" t="inlineStr"/>
    </row>
    <row r="69" ht="15" customHeight="1">
      <c r="A69" t="inlineStr">
        <is>
          <t>A 9865-2025</t>
        </is>
      </c>
      <c r="B69" s="1" t="n">
        <v>45716</v>
      </c>
      <c r="C69" s="1" t="n">
        <v>45976</v>
      </c>
      <c r="D69" t="inlineStr">
        <is>
          <t>STOCKHOLMS LÄN</t>
        </is>
      </c>
      <c r="E69" t="inlineStr">
        <is>
          <t>ÖSTERÅKER</t>
        </is>
      </c>
      <c r="G69" t="n">
        <v>7</v>
      </c>
      <c r="H69" t="n">
        <v>0</v>
      </c>
      <c r="I69" t="n">
        <v>0</v>
      </c>
      <c r="J69" t="n">
        <v>0</v>
      </c>
      <c r="K69" t="n">
        <v>0</v>
      </c>
      <c r="L69" t="n">
        <v>0</v>
      </c>
      <c r="M69" t="n">
        <v>0</v>
      </c>
      <c r="N69" t="n">
        <v>0</v>
      </c>
      <c r="O69" t="n">
        <v>0</v>
      </c>
      <c r="P69" t="n">
        <v>0</v>
      </c>
      <c r="Q69" t="n">
        <v>0</v>
      </c>
      <c r="R69" s="2" t="inlineStr"/>
    </row>
    <row r="70" ht="15" customHeight="1">
      <c r="A70" t="inlineStr">
        <is>
          <t>A 23144-2024</t>
        </is>
      </c>
      <c r="B70" s="1" t="n">
        <v>45450.63202546296</v>
      </c>
      <c r="C70" s="1" t="n">
        <v>45976</v>
      </c>
      <c r="D70" t="inlineStr">
        <is>
          <t>STOCKHOLMS LÄN</t>
        </is>
      </c>
      <c r="E70" t="inlineStr">
        <is>
          <t>ÖSTERÅKER</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13118-2021</t>
        </is>
      </c>
      <c r="B71" s="1" t="n">
        <v>44272</v>
      </c>
      <c r="C71" s="1" t="n">
        <v>45976</v>
      </c>
      <c r="D71" t="inlineStr">
        <is>
          <t>STOCKHOLMS LÄN</t>
        </is>
      </c>
      <c r="E71" t="inlineStr">
        <is>
          <t>ÖSTERÅKER</t>
        </is>
      </c>
      <c r="F71" t="inlineStr">
        <is>
          <t>Kyrkan</t>
        </is>
      </c>
      <c r="G71" t="n">
        <v>4</v>
      </c>
      <c r="H71" t="n">
        <v>0</v>
      </c>
      <c r="I71" t="n">
        <v>0</v>
      </c>
      <c r="J71" t="n">
        <v>0</v>
      </c>
      <c r="K71" t="n">
        <v>0</v>
      </c>
      <c r="L71" t="n">
        <v>0</v>
      </c>
      <c r="M71" t="n">
        <v>0</v>
      </c>
      <c r="N71" t="n">
        <v>0</v>
      </c>
      <c r="O71" t="n">
        <v>0</v>
      </c>
      <c r="P71" t="n">
        <v>0</v>
      </c>
      <c r="Q71" t="n">
        <v>0</v>
      </c>
      <c r="R71" s="2" t="inlineStr"/>
    </row>
    <row r="72" ht="15" customHeight="1">
      <c r="A72" t="inlineStr">
        <is>
          <t>A 17353-2025</t>
        </is>
      </c>
      <c r="B72" s="1" t="n">
        <v>45756</v>
      </c>
      <c r="C72" s="1" t="n">
        <v>45976</v>
      </c>
      <c r="D72" t="inlineStr">
        <is>
          <t>STOCKHOLMS LÄN</t>
        </is>
      </c>
      <c r="E72" t="inlineStr">
        <is>
          <t>ÖSTERÅKER</t>
        </is>
      </c>
      <c r="F72" t="inlineStr">
        <is>
          <t>Övriga Aktiebolag</t>
        </is>
      </c>
      <c r="G72" t="n">
        <v>5.5</v>
      </c>
      <c r="H72" t="n">
        <v>0</v>
      </c>
      <c r="I72" t="n">
        <v>0</v>
      </c>
      <c r="J72" t="n">
        <v>0</v>
      </c>
      <c r="K72" t="n">
        <v>0</v>
      </c>
      <c r="L72" t="n">
        <v>0</v>
      </c>
      <c r="M72" t="n">
        <v>0</v>
      </c>
      <c r="N72" t="n">
        <v>0</v>
      </c>
      <c r="O72" t="n">
        <v>0</v>
      </c>
      <c r="P72" t="n">
        <v>0</v>
      </c>
      <c r="Q72" t="n">
        <v>0</v>
      </c>
      <c r="R72" s="2" t="inlineStr"/>
    </row>
    <row r="73" ht="15" customHeight="1">
      <c r="A73" t="inlineStr">
        <is>
          <t>A 61360-2022</t>
        </is>
      </c>
      <c r="B73" s="1" t="n">
        <v>44915</v>
      </c>
      <c r="C73" s="1" t="n">
        <v>45976</v>
      </c>
      <c r="D73" t="inlineStr">
        <is>
          <t>STOCKHOLMS LÄN</t>
        </is>
      </c>
      <c r="E73" t="inlineStr">
        <is>
          <t>ÖSTERÅKER</t>
        </is>
      </c>
      <c r="G73" t="n">
        <v>2.3</v>
      </c>
      <c r="H73" t="n">
        <v>0</v>
      </c>
      <c r="I73" t="n">
        <v>0</v>
      </c>
      <c r="J73" t="n">
        <v>0</v>
      </c>
      <c r="K73" t="n">
        <v>0</v>
      </c>
      <c r="L73" t="n">
        <v>0</v>
      </c>
      <c r="M73" t="n">
        <v>0</v>
      </c>
      <c r="N73" t="n">
        <v>0</v>
      </c>
      <c r="O73" t="n">
        <v>0</v>
      </c>
      <c r="P73" t="n">
        <v>0</v>
      </c>
      <c r="Q73" t="n">
        <v>0</v>
      </c>
      <c r="R73" s="2" t="inlineStr"/>
    </row>
    <row r="74" ht="15" customHeight="1">
      <c r="A74" t="inlineStr">
        <is>
          <t>A 37244-2024</t>
        </is>
      </c>
      <c r="B74" s="1" t="n">
        <v>45540</v>
      </c>
      <c r="C74" s="1" t="n">
        <v>45976</v>
      </c>
      <c r="D74" t="inlineStr">
        <is>
          <t>STOCKHOLMS LÄN</t>
        </is>
      </c>
      <c r="E74" t="inlineStr">
        <is>
          <t>ÖSTERÅKER</t>
        </is>
      </c>
      <c r="G74" t="n">
        <v>2.6</v>
      </c>
      <c r="H74" t="n">
        <v>0</v>
      </c>
      <c r="I74" t="n">
        <v>0</v>
      </c>
      <c r="J74" t="n">
        <v>0</v>
      </c>
      <c r="K74" t="n">
        <v>0</v>
      </c>
      <c r="L74" t="n">
        <v>0</v>
      </c>
      <c r="M74" t="n">
        <v>0</v>
      </c>
      <c r="N74" t="n">
        <v>0</v>
      </c>
      <c r="O74" t="n">
        <v>0</v>
      </c>
      <c r="P74" t="n">
        <v>0</v>
      </c>
      <c r="Q74" t="n">
        <v>0</v>
      </c>
      <c r="R74" s="2" t="inlineStr"/>
    </row>
    <row r="75" ht="15" customHeight="1">
      <c r="A75" t="inlineStr">
        <is>
          <t>A 61323-2022</t>
        </is>
      </c>
      <c r="B75" s="1" t="n">
        <v>44915</v>
      </c>
      <c r="C75" s="1" t="n">
        <v>45976</v>
      </c>
      <c r="D75" t="inlineStr">
        <is>
          <t>STOCKHOLMS LÄN</t>
        </is>
      </c>
      <c r="E75" t="inlineStr">
        <is>
          <t>ÖSTERÅKER</t>
        </is>
      </c>
      <c r="G75" t="n">
        <v>2.7</v>
      </c>
      <c r="H75" t="n">
        <v>0</v>
      </c>
      <c r="I75" t="n">
        <v>0</v>
      </c>
      <c r="J75" t="n">
        <v>0</v>
      </c>
      <c r="K75" t="n">
        <v>0</v>
      </c>
      <c r="L75" t="n">
        <v>0</v>
      </c>
      <c r="M75" t="n">
        <v>0</v>
      </c>
      <c r="N75" t="n">
        <v>0</v>
      </c>
      <c r="O75" t="n">
        <v>0</v>
      </c>
      <c r="P75" t="n">
        <v>0</v>
      </c>
      <c r="Q75" t="n">
        <v>0</v>
      </c>
      <c r="R75" s="2" t="inlineStr"/>
    </row>
    <row r="76" ht="15" customHeight="1">
      <c r="A76" t="inlineStr">
        <is>
          <t>A 22080-2024</t>
        </is>
      </c>
      <c r="B76" s="1" t="n">
        <v>45443.64962962963</v>
      </c>
      <c r="C76" s="1" t="n">
        <v>45976</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21796-2025</t>
        </is>
      </c>
      <c r="B77" s="1" t="n">
        <v>45783.68135416666</v>
      </c>
      <c r="C77" s="1" t="n">
        <v>45976</v>
      </c>
      <c r="D77" t="inlineStr">
        <is>
          <t>STOCKHOLMS LÄN</t>
        </is>
      </c>
      <c r="E77" t="inlineStr">
        <is>
          <t>ÖSTERÅKER</t>
        </is>
      </c>
      <c r="G77" t="n">
        <v>2.5</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45976</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45976</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16728-2022</t>
        </is>
      </c>
      <c r="B80" s="1" t="n">
        <v>44673</v>
      </c>
      <c r="C80" s="1" t="n">
        <v>45976</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34713-2025</t>
        </is>
      </c>
      <c r="B81" s="1" t="n">
        <v>45848</v>
      </c>
      <c r="C81" s="1" t="n">
        <v>45976</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1136-2023</t>
        </is>
      </c>
      <c r="B82" s="1" t="n">
        <v>44935</v>
      </c>
      <c r="C82" s="1" t="n">
        <v>45976</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45976</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45976</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45976</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45976</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845-2024</t>
        </is>
      </c>
      <c r="B87" s="1" t="n">
        <v>45300.91423611111</v>
      </c>
      <c r="C87" s="1" t="n">
        <v>45976</v>
      </c>
      <c r="D87" t="inlineStr">
        <is>
          <t>STOCKHOLMS LÄN</t>
        </is>
      </c>
      <c r="E87" t="inlineStr">
        <is>
          <t>ÖSTERÅKER</t>
        </is>
      </c>
      <c r="G87" t="n">
        <v>10.1</v>
      </c>
      <c r="H87" t="n">
        <v>0</v>
      </c>
      <c r="I87" t="n">
        <v>0</v>
      </c>
      <c r="J87" t="n">
        <v>0</v>
      </c>
      <c r="K87" t="n">
        <v>0</v>
      </c>
      <c r="L87" t="n">
        <v>0</v>
      </c>
      <c r="M87" t="n">
        <v>0</v>
      </c>
      <c r="N87" t="n">
        <v>0</v>
      </c>
      <c r="O87" t="n">
        <v>0</v>
      </c>
      <c r="P87" t="n">
        <v>0</v>
      </c>
      <c r="Q87" t="n">
        <v>0</v>
      </c>
      <c r="R87" s="2" t="inlineStr"/>
    </row>
    <row r="88" ht="15" customHeight="1">
      <c r="A88" t="inlineStr">
        <is>
          <t>A 27137-2025</t>
        </is>
      </c>
      <c r="B88" s="1" t="n">
        <v>45811.95890046296</v>
      </c>
      <c r="C88" s="1" t="n">
        <v>45976</v>
      </c>
      <c r="D88" t="inlineStr">
        <is>
          <t>STOCKHOLMS LÄN</t>
        </is>
      </c>
      <c r="E88" t="inlineStr">
        <is>
          <t>ÖSTERÅKER</t>
        </is>
      </c>
      <c r="G88" t="n">
        <v>3.8</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45976</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52220-2025</t>
        </is>
      </c>
      <c r="B90" s="1" t="n">
        <v>45953</v>
      </c>
      <c r="C90" s="1" t="n">
        <v>45976</v>
      </c>
      <c r="D90" t="inlineStr">
        <is>
          <t>STOCKHOLMS LÄN</t>
        </is>
      </c>
      <c r="E90" t="inlineStr">
        <is>
          <t>ÖSTERÅKER</t>
        </is>
      </c>
      <c r="G90" t="n">
        <v>0.8</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45976</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45976</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45976</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31456-2025</t>
        </is>
      </c>
      <c r="B94" s="1" t="n">
        <v>45833.5402662037</v>
      </c>
      <c r="C94" s="1" t="n">
        <v>45976</v>
      </c>
      <c r="D94" t="inlineStr">
        <is>
          <t>STOCKHOLMS LÄN</t>
        </is>
      </c>
      <c r="E94" t="inlineStr">
        <is>
          <t>ÖSTERÅKER</t>
        </is>
      </c>
      <c r="G94" t="n">
        <v>4.3</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45976</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34038-2025</t>
        </is>
      </c>
      <c r="B96" s="1" t="n">
        <v>45842</v>
      </c>
      <c r="C96" s="1" t="n">
        <v>45976</v>
      </c>
      <c r="D96" t="inlineStr">
        <is>
          <t>STOCKHOLMS LÄN</t>
        </is>
      </c>
      <c r="E96" t="inlineStr">
        <is>
          <t>ÖSTERÅKER</t>
        </is>
      </c>
      <c r="F96" t="inlineStr">
        <is>
          <t>Övriga Aktiebolag</t>
        </is>
      </c>
      <c r="G96" t="n">
        <v>4.7</v>
      </c>
      <c r="H96" t="n">
        <v>0</v>
      </c>
      <c r="I96" t="n">
        <v>0</v>
      </c>
      <c r="J96" t="n">
        <v>0</v>
      </c>
      <c r="K96" t="n">
        <v>0</v>
      </c>
      <c r="L96" t="n">
        <v>0</v>
      </c>
      <c r="M96" t="n">
        <v>0</v>
      </c>
      <c r="N96" t="n">
        <v>0</v>
      </c>
      <c r="O96" t="n">
        <v>0</v>
      </c>
      <c r="P96" t="n">
        <v>0</v>
      </c>
      <c r="Q96" t="n">
        <v>0</v>
      </c>
      <c r="R96" s="2" t="inlineStr"/>
    </row>
    <row r="97" ht="15" customHeight="1">
      <c r="A97" t="inlineStr">
        <is>
          <t>A 34079-2025</t>
        </is>
      </c>
      <c r="B97" s="1" t="n">
        <v>45842</v>
      </c>
      <c r="C97" s="1" t="n">
        <v>45976</v>
      </c>
      <c r="D97" t="inlineStr">
        <is>
          <t>STOCKHOLMS LÄN</t>
        </is>
      </c>
      <c r="E97" t="inlineStr">
        <is>
          <t>ÖSTERÅKER</t>
        </is>
      </c>
      <c r="F97" t="inlineStr">
        <is>
          <t>Övriga Aktiebolag</t>
        </is>
      </c>
      <c r="G97" t="n">
        <v>4.1</v>
      </c>
      <c r="H97" t="n">
        <v>0</v>
      </c>
      <c r="I97" t="n">
        <v>0</v>
      </c>
      <c r="J97" t="n">
        <v>0</v>
      </c>
      <c r="K97" t="n">
        <v>0</v>
      </c>
      <c r="L97" t="n">
        <v>0</v>
      </c>
      <c r="M97" t="n">
        <v>0</v>
      </c>
      <c r="N97" t="n">
        <v>0</v>
      </c>
      <c r="O97" t="n">
        <v>0</v>
      </c>
      <c r="P97" t="n">
        <v>0</v>
      </c>
      <c r="Q97" t="n">
        <v>0</v>
      </c>
      <c r="R97" s="2" t="inlineStr"/>
    </row>
    <row r="98" ht="15" customHeight="1">
      <c r="A98" t="inlineStr">
        <is>
          <t>A 34034-2025</t>
        </is>
      </c>
      <c r="B98" s="1" t="n">
        <v>45842</v>
      </c>
      <c r="C98" s="1" t="n">
        <v>45976</v>
      </c>
      <c r="D98" t="inlineStr">
        <is>
          <t>STOCKHOLMS LÄN</t>
        </is>
      </c>
      <c r="E98" t="inlineStr">
        <is>
          <t>ÖSTERÅKER</t>
        </is>
      </c>
      <c r="F98" t="inlineStr">
        <is>
          <t>Övriga Aktiebolag</t>
        </is>
      </c>
      <c r="G98" t="n">
        <v>3.9</v>
      </c>
      <c r="H98" t="n">
        <v>0</v>
      </c>
      <c r="I98" t="n">
        <v>0</v>
      </c>
      <c r="J98" t="n">
        <v>0</v>
      </c>
      <c r="K98" t="n">
        <v>0</v>
      </c>
      <c r="L98" t="n">
        <v>0</v>
      </c>
      <c r="M98" t="n">
        <v>0</v>
      </c>
      <c r="N98" t="n">
        <v>0</v>
      </c>
      <c r="O98" t="n">
        <v>0</v>
      </c>
      <c r="P98" t="n">
        <v>0</v>
      </c>
      <c r="Q98" t="n">
        <v>0</v>
      </c>
      <c r="R98" s="2" t="inlineStr"/>
    </row>
    <row r="99" ht="15" customHeight="1">
      <c r="A99" t="inlineStr">
        <is>
          <t>A 67265-2021</t>
        </is>
      </c>
      <c r="B99" s="1" t="n">
        <v>44523.59277777778</v>
      </c>
      <c r="C99" s="1" t="n">
        <v>45976</v>
      </c>
      <c r="D99" t="inlineStr">
        <is>
          <t>STOCKHOLMS LÄN</t>
        </is>
      </c>
      <c r="E99" t="inlineStr">
        <is>
          <t>ÖSTERÅKER</t>
        </is>
      </c>
      <c r="F99" t="inlineStr">
        <is>
          <t>Kommuner</t>
        </is>
      </c>
      <c r="G99" t="n">
        <v>2.6</v>
      </c>
      <c r="H99" t="n">
        <v>0</v>
      </c>
      <c r="I99" t="n">
        <v>0</v>
      </c>
      <c r="J99" t="n">
        <v>0</v>
      </c>
      <c r="K99" t="n">
        <v>0</v>
      </c>
      <c r="L99" t="n">
        <v>0</v>
      </c>
      <c r="M99" t="n">
        <v>0</v>
      </c>
      <c r="N99" t="n">
        <v>0</v>
      </c>
      <c r="O99" t="n">
        <v>0</v>
      </c>
      <c r="P99" t="n">
        <v>0</v>
      </c>
      <c r="Q99" t="n">
        <v>0</v>
      </c>
      <c r="R99" s="2" t="inlineStr"/>
    </row>
    <row r="100" ht="15" customHeight="1">
      <c r="A100" t="inlineStr">
        <is>
          <t>A 35656-2025</t>
        </is>
      </c>
      <c r="B100" s="1" t="n">
        <v>45859</v>
      </c>
      <c r="C100" s="1" t="n">
        <v>45976</v>
      </c>
      <c r="D100" t="inlineStr">
        <is>
          <t>STOCKHOLMS LÄN</t>
        </is>
      </c>
      <c r="E100" t="inlineStr">
        <is>
          <t>ÖSTERÅKER</t>
        </is>
      </c>
      <c r="G100" t="n">
        <v>1.5</v>
      </c>
      <c r="H100" t="n">
        <v>0</v>
      </c>
      <c r="I100" t="n">
        <v>0</v>
      </c>
      <c r="J100" t="n">
        <v>0</v>
      </c>
      <c r="K100" t="n">
        <v>0</v>
      </c>
      <c r="L100" t="n">
        <v>0</v>
      </c>
      <c r="M100" t="n">
        <v>0</v>
      </c>
      <c r="N100" t="n">
        <v>0</v>
      </c>
      <c r="O100" t="n">
        <v>0</v>
      </c>
      <c r="P100" t="n">
        <v>0</v>
      </c>
      <c r="Q100" t="n">
        <v>0</v>
      </c>
      <c r="R100" s="2" t="inlineStr"/>
    </row>
    <row r="101" ht="15" customHeight="1">
      <c r="A101" t="inlineStr">
        <is>
          <t>A 35819-2025</t>
        </is>
      </c>
      <c r="B101" s="1" t="n">
        <v>45861</v>
      </c>
      <c r="C101" s="1" t="n">
        <v>45976</v>
      </c>
      <c r="D101" t="inlineStr">
        <is>
          <t>STOCKHOLMS LÄN</t>
        </is>
      </c>
      <c r="E101" t="inlineStr">
        <is>
          <t>ÖSTERÅKER</t>
        </is>
      </c>
      <c r="F101" t="inlineStr">
        <is>
          <t>Övriga Aktiebolag</t>
        </is>
      </c>
      <c r="G101" t="n">
        <v>8</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45043.6433912037</v>
      </c>
      <c r="C102" s="1" t="n">
        <v>45976</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36611-2025</t>
        </is>
      </c>
      <c r="B103" s="1" t="n">
        <v>45870</v>
      </c>
      <c r="C103" s="1" t="n">
        <v>45976</v>
      </c>
      <c r="D103" t="inlineStr">
        <is>
          <t>STOCKHOLMS LÄN</t>
        </is>
      </c>
      <c r="E103" t="inlineStr">
        <is>
          <t>ÖSTERÅKER</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45976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28146-2024</t>
        </is>
      </c>
      <c r="B105" s="1" t="n">
        <v>45476</v>
      </c>
      <c r="C105" s="1" t="n">
        <v>45976</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57048-2024</t>
        </is>
      </c>
      <c r="B106" s="1" t="n">
        <v>45629.33938657407</v>
      </c>
      <c r="C106" s="1" t="n">
        <v>45976</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c r="A107" t="inlineStr">
        <is>
          <t>A 5286-2025</t>
        </is>
      </c>
      <c r="B107" s="1" t="n">
        <v>45692.44144675926</v>
      </c>
      <c r="C107" s="1" t="n">
        <v>45976</v>
      </c>
      <c r="D107" t="inlineStr">
        <is>
          <t>STOCKHOLMS LÄN</t>
        </is>
      </c>
      <c r="E107" t="inlineStr">
        <is>
          <t>ÖSTERÅKER</t>
        </is>
      </c>
      <c r="G107" t="n">
        <v>11.2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2025-11-15T10:14:28Z</dcterms:created>
  <dcterms:modified xmlns:dcterms="http://purl.org/dc/terms/" xmlns:xsi="http://www.w3.org/2001/XMLSchema-instance" xsi:type="dcterms:W3CDTF">2025-11-15T10:14:29Z</dcterms:modified>
</cp:coreProperties>
</file>