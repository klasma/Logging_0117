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46261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46261</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46261</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46261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46261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46261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46261</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46261</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46261</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46261</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46261</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46261</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46261</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46261</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54703-2024</t>
        </is>
      </c>
      <c r="B16" t="inlineStr">
        <is>
          <t>avverkningsanmälan</t>
        </is>
      </c>
      <c r="C16" t="inlineStr">
        <is>
          <t>Avverkning för annat ändamål</t>
        </is>
      </c>
      <c r="D16" s="1" t="n">
        <v>45618</v>
      </c>
      <c r="E16" s="1" t="n">
        <v>46261</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46261</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46261</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46261</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46261</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46261</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46261</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31716-2025</t>
        </is>
      </c>
      <c r="B23" t="inlineStr">
        <is>
          <t>avverkningsanmälan</t>
        </is>
      </c>
      <c r="C23" t="inlineStr">
        <is>
          <t>Föryngringsavverkning</t>
        </is>
      </c>
      <c r="D23" s="1" t="n">
        <v>45834</v>
      </c>
      <c r="E23" s="1" t="n">
        <v>46261</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62831-2025</t>
        </is>
      </c>
      <c r="B24" t="inlineStr">
        <is>
          <t>avverkningsanmälan</t>
        </is>
      </c>
      <c r="C24" t="inlineStr">
        <is>
          <t>Föryngringsavverkning</t>
        </is>
      </c>
      <c r="D24" s="1" t="n">
        <v>46008</v>
      </c>
      <c r="E24" s="1" t="n">
        <v>46261</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61323-2022</t>
        </is>
      </c>
      <c r="B25" t="inlineStr">
        <is>
          <t>avverkningsanmälan</t>
        </is>
      </c>
      <c r="C25" t="inlineStr">
        <is>
          <t>Föryngringsavverkning</t>
        </is>
      </c>
      <c r="D25" s="1" t="n">
        <v>44915</v>
      </c>
      <c r="E25" s="1" t="n">
        <v>46261</v>
      </c>
      <c r="F25" t="inlineStr">
        <is>
          <t>STOCKHOLMS LÄN</t>
        </is>
      </c>
      <c r="G25" t="inlineStr">
        <is>
          <t>ÖSTERÅKER</t>
        </is>
      </c>
      <c r="I25" t="n">
        <v>2.7</v>
      </c>
      <c r="J25" t="n">
        <v>0</v>
      </c>
      <c r="K25" t="n">
        <v>0</v>
      </c>
      <c r="L25" t="n">
        <v>0</v>
      </c>
      <c r="M25" t="n">
        <v>1</v>
      </c>
      <c r="N25" t="n">
        <v>0</v>
      </c>
      <c r="O25" t="n">
        <v>0</v>
      </c>
      <c r="P25" t="n">
        <v>0</v>
      </c>
      <c r="Q25" t="n">
        <v>1</v>
      </c>
      <c r="R25" t="n">
        <v>1</v>
      </c>
      <c r="S25" t="n">
        <v>1</v>
      </c>
      <c r="T25" t="n">
        <v>1</v>
      </c>
      <c r="U25" t="n">
        <v>1</v>
      </c>
      <c r="V25" s="2" t="inlineStr">
        <is>
          <t>Gulvit blekspik</t>
        </is>
      </c>
      <c r="W25">
        <f>HYPERLINK("https://klasma.github.io/Logging_0117/artfynd/A 61323-2022 artfynd.xlsx", "A 61323-2022")</f>
        <v/>
      </c>
      <c r="X25">
        <f>HYPERLINK("https://klasma.github.io/Logging_0117/kartor/A 61323-2022 karta.png", "A 61323-2022")</f>
        <v/>
      </c>
      <c r="Y25">
        <f>HYPERLINK("https://klasma.github.io/Logging_0117/kartor_geotiff/A 61323-2022 georefererad karta.tif", "A 61323-2022")</f>
        <v/>
      </c>
      <c r="AA25">
        <f>HYPERLINK("https://klasma.github.io/Logging_0117/klagomål/A 61323-2022 FSC-klagomål.docx", "A 61323-2022")</f>
        <v/>
      </c>
      <c r="AB25">
        <f>HYPERLINK("https://klasma.github.io/Logging_0117/klagomålsmail/A 61323-2022 FSC-klagomål mail.docx", "A 61323-2022")</f>
        <v/>
      </c>
      <c r="AC25">
        <f>HYPERLINK("https://klasma.github.io/Logging_0117/tillsyn/A 61323-2022 tillsynsbegäran.docx", "A 61323-2022")</f>
        <v/>
      </c>
      <c r="AD25">
        <f>HYPERLINK("https://klasma.github.io/Logging_0117/tillsynsmail/A 61323-2022 tillsynsbegäran mail.docx", "A 61323-2022")</f>
        <v/>
      </c>
    </row>
    <row r="26" ht="15" customHeight="1">
      <c r="A26" t="inlineStr">
        <is>
          <t>A 62839-2025</t>
        </is>
      </c>
      <c r="B26" t="inlineStr">
        <is>
          <t>avverkningsanmälan</t>
        </is>
      </c>
      <c r="C26" t="inlineStr">
        <is>
          <t>Föryngringsavverkning</t>
        </is>
      </c>
      <c r="D26" s="1" t="n">
        <v>46008</v>
      </c>
      <c r="E26" s="1" t="n">
        <v>46261</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46261</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46261</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46261</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46261</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46261</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46261</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46261</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46261</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46261</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46261</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46261</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46261</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46261</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46261</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46261</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46261</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46261</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46261</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5038-2026</t>
        </is>
      </c>
      <c r="B45" t="inlineStr">
        <is>
          <t>avverkningsanmälan</t>
        </is>
      </c>
      <c r="C45" t="inlineStr">
        <is>
          <t>Föryngringsavverkning</t>
        </is>
      </c>
      <c r="D45" s="1" t="n">
        <v>46049</v>
      </c>
      <c r="E45" s="1" t="n">
        <v>46261</v>
      </c>
      <c r="F45" t="inlineStr">
        <is>
          <t>STOCKHOLMS LÄN</t>
        </is>
      </c>
      <c r="G45" t="inlineStr">
        <is>
          <t>ÖSTERÅKER</t>
        </is>
      </c>
      <c r="I45" t="n">
        <v>2.1</v>
      </c>
      <c r="J45" t="n">
        <v>0</v>
      </c>
      <c r="K45" t="n">
        <v>0</v>
      </c>
      <c r="L45" t="n">
        <v>0</v>
      </c>
      <c r="M45" t="n">
        <v>0</v>
      </c>
      <c r="N45" t="n">
        <v>0</v>
      </c>
      <c r="O45" t="n">
        <v>0</v>
      </c>
      <c r="P45" t="n">
        <v>0</v>
      </c>
      <c r="Q45" t="n">
        <v>0</v>
      </c>
      <c r="R45" t="n">
        <v>0</v>
      </c>
      <c r="S45" t="n">
        <v>0</v>
      </c>
      <c r="T45" t="n">
        <v>0</v>
      </c>
      <c r="U45" t="n">
        <v>0</v>
      </c>
      <c r="V45" s="2" t="inlineStr"/>
    </row>
    <row r="46" ht="15" customHeight="1">
      <c r="A46" t="inlineStr">
        <is>
          <t>A 27137-2025</t>
        </is>
      </c>
      <c r="B46" t="inlineStr">
        <is>
          <t>avverkningsanmälan</t>
        </is>
      </c>
      <c r="C46" t="inlineStr">
        <is>
          <t>Föryngringsavverkning</t>
        </is>
      </c>
      <c r="D46" s="1" t="n">
        <v>45811</v>
      </c>
      <c r="E46" s="1" t="n">
        <v>46261</v>
      </c>
      <c r="F46" t="inlineStr">
        <is>
          <t>STOCKHOLMS LÄN</t>
        </is>
      </c>
      <c r="G46" t="inlineStr">
        <is>
          <t>ÖSTERÅKER</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28143-2024</t>
        </is>
      </c>
      <c r="B47" t="inlineStr">
        <is>
          <t>avverkningsanmälan</t>
        </is>
      </c>
      <c r="C47" t="inlineStr">
        <is>
          <t>Föryngringsavverkning</t>
        </is>
      </c>
      <c r="D47" s="1" t="n">
        <v>45476</v>
      </c>
      <c r="E47" s="1" t="n">
        <v>46261</v>
      </c>
      <c r="F47" t="inlineStr">
        <is>
          <t>STOCKHOLMS LÄN</t>
        </is>
      </c>
      <c r="G47" t="inlineStr">
        <is>
          <t>ÖSTERÅKER</t>
        </is>
      </c>
      <c r="H47" t="inlineStr">
        <is>
          <t>Övriga Aktiebolag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34034-2025</t>
        </is>
      </c>
      <c r="B48" t="inlineStr">
        <is>
          <t>avverkningsanmälan</t>
        </is>
      </c>
      <c r="C48" t="inlineStr">
        <is>
          <t>Föryngringsavverkning</t>
        </is>
      </c>
      <c r="D48" s="1" t="n">
        <v>45842</v>
      </c>
      <c r="E48" s="1" t="n">
        <v>46261</v>
      </c>
      <c r="F48" t="inlineStr">
        <is>
          <t>STOCKHOLMS LÄN</t>
        </is>
      </c>
      <c r="G48" t="inlineStr">
        <is>
          <t>ÖSTERÅKER</t>
        </is>
      </c>
      <c r="H48" t="inlineStr">
        <is>
          <t>Övriga Aktiebolag</t>
        </is>
      </c>
      <c r="I48" t="n">
        <v>3.9</v>
      </c>
      <c r="J48" t="n">
        <v>0</v>
      </c>
      <c r="K48" t="n">
        <v>0</v>
      </c>
      <c r="L48" t="n">
        <v>0</v>
      </c>
      <c r="M48" t="n">
        <v>0</v>
      </c>
      <c r="N48" t="n">
        <v>0</v>
      </c>
      <c r="O48" t="n">
        <v>0</v>
      </c>
      <c r="P48" t="n">
        <v>0</v>
      </c>
      <c r="Q48" t="n">
        <v>0</v>
      </c>
      <c r="R48" t="n">
        <v>0</v>
      </c>
      <c r="S48" t="n">
        <v>0</v>
      </c>
      <c r="T48" t="n">
        <v>0</v>
      </c>
      <c r="U48" t="n">
        <v>0</v>
      </c>
      <c r="V48" s="2" t="inlineStr"/>
    </row>
    <row r="49" ht="15" customHeight="1">
      <c r="A49" t="inlineStr">
        <is>
          <t>A 12345-2026</t>
        </is>
      </c>
      <c r="B49" t="inlineStr">
        <is>
          <t>avverkningsanmälan</t>
        </is>
      </c>
      <c r="C49" t="inlineStr">
        <is>
          <t>Föryngringsavverkning</t>
        </is>
      </c>
      <c r="D49" s="1" t="n">
        <v>46087</v>
      </c>
      <c r="E49" s="1" t="n">
        <v>46261</v>
      </c>
      <c r="F49" t="inlineStr">
        <is>
          <t>STOCKHOLMS LÄN</t>
        </is>
      </c>
      <c r="G49" t="inlineStr">
        <is>
          <t>ÖSTERÅKER</t>
        </is>
      </c>
      <c r="H49" t="inlineStr">
        <is>
          <t>Övriga Aktiebolag</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35819-2025</t>
        </is>
      </c>
      <c r="B50" t="inlineStr">
        <is>
          <t>avverkningsanmälan</t>
        </is>
      </c>
      <c r="C50" t="inlineStr">
        <is>
          <t>Föryngringsavverkning</t>
        </is>
      </c>
      <c r="D50" s="1" t="n">
        <v>45861</v>
      </c>
      <c r="E50" s="1" t="n">
        <v>46261</v>
      </c>
      <c r="F50" t="inlineStr">
        <is>
          <t>STOCKHOLMS LÄN</t>
        </is>
      </c>
      <c r="G50" t="inlineStr">
        <is>
          <t>ÖSTERÅKER</t>
        </is>
      </c>
      <c r="H50" t="inlineStr">
        <is>
          <t>Övriga Aktiebolag</t>
        </is>
      </c>
      <c r="I50" t="n">
        <v>8</v>
      </c>
      <c r="J50" t="n">
        <v>0</v>
      </c>
      <c r="K50" t="n">
        <v>0</v>
      </c>
      <c r="L50" t="n">
        <v>0</v>
      </c>
      <c r="M50" t="n">
        <v>0</v>
      </c>
      <c r="N50" t="n">
        <v>0</v>
      </c>
      <c r="O50" t="n">
        <v>0</v>
      </c>
      <c r="P50" t="n">
        <v>0</v>
      </c>
      <c r="Q50" t="n">
        <v>0</v>
      </c>
      <c r="R50" t="n">
        <v>0</v>
      </c>
      <c r="S50" t="n">
        <v>0</v>
      </c>
      <c r="T50" t="n">
        <v>0</v>
      </c>
      <c r="U50" t="n">
        <v>0</v>
      </c>
      <c r="V50" s="2" t="inlineStr"/>
    </row>
    <row r="51" ht="15" customHeight="1">
      <c r="A51" t="inlineStr">
        <is>
          <t>A 52220-2025</t>
        </is>
      </c>
      <c r="B51" t="inlineStr">
        <is>
          <t>avverkningsanmälan</t>
        </is>
      </c>
      <c r="C51" t="inlineStr">
        <is>
          <t>Avverkning för annat ändamål</t>
        </is>
      </c>
      <c r="D51" s="1" t="n">
        <v>45953</v>
      </c>
      <c r="E51" s="1" t="n">
        <v>46261</v>
      </c>
      <c r="F51" t="inlineStr">
        <is>
          <t>STOCKHOLMS LÄN</t>
        </is>
      </c>
      <c r="G51" t="inlineStr">
        <is>
          <t>ÖSTERÅKER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28146-2024</t>
        </is>
      </c>
      <c r="B52" t="inlineStr">
        <is>
          <t>avverkningsanmälan</t>
        </is>
      </c>
      <c r="C52" t="inlineStr">
        <is>
          <t>Föryngringsavverkning</t>
        </is>
      </c>
      <c r="D52" s="1" t="n">
        <v>45476</v>
      </c>
      <c r="E52" s="1" t="n">
        <v>46261</v>
      </c>
      <c r="F52" t="inlineStr">
        <is>
          <t>STOCKHOLMS LÄN</t>
        </is>
      </c>
      <c r="G52" t="inlineStr">
        <is>
          <t>ÖSTERÅKER</t>
        </is>
      </c>
      <c r="H52" t="inlineStr">
        <is>
          <t>Övriga Aktiebolag</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22528-2024</t>
        </is>
      </c>
      <c r="B53" t="inlineStr">
        <is>
          <t>avverkningsanmälan</t>
        </is>
      </c>
      <c r="C53" t="inlineStr">
        <is>
          <t>Föryngringsavverkning</t>
        </is>
      </c>
      <c r="D53" s="1" t="n">
        <v>45447</v>
      </c>
      <c r="E53" s="1" t="n">
        <v>46261</v>
      </c>
      <c r="F53" t="inlineStr">
        <is>
          <t>STOCKHOLMS LÄN</t>
        </is>
      </c>
      <c r="G53" t="inlineStr">
        <is>
          <t>ÖSTERÅKER</t>
        </is>
      </c>
      <c r="H53" t="inlineStr">
        <is>
          <t>Övriga Aktiebolag</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16803-2022</t>
        </is>
      </c>
      <c r="B54" t="inlineStr">
        <is>
          <t>avverkningsanmälan</t>
        </is>
      </c>
      <c r="C54" t="inlineStr">
        <is>
          <t>Föryngringsavverkning</t>
        </is>
      </c>
      <c r="D54" s="1" t="n">
        <v>44673</v>
      </c>
      <c r="E54" s="1" t="n">
        <v>46261</v>
      </c>
      <c r="F54" t="inlineStr">
        <is>
          <t>STOCKHOLMS LÄN</t>
        </is>
      </c>
      <c r="G54" t="inlineStr">
        <is>
          <t>ÖSTERÅKER</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21796-2025</t>
        </is>
      </c>
      <c r="B55" t="inlineStr">
        <is>
          <t>avverkningsanmälan</t>
        </is>
      </c>
      <c r="C55" t="inlineStr">
        <is>
          <t>Föryngringsavverkning</t>
        </is>
      </c>
      <c r="D55" s="1" t="n">
        <v>45783</v>
      </c>
      <c r="E55" s="1" t="n">
        <v>46261</v>
      </c>
      <c r="F55" t="inlineStr">
        <is>
          <t>STOCKHOLMS LÄN</t>
        </is>
      </c>
      <c r="G55" t="inlineStr">
        <is>
          <t>ÖSTERÅKER</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60482-2025</t>
        </is>
      </c>
      <c r="B56" t="inlineStr">
        <is>
          <t>avverkningsanmälan</t>
        </is>
      </c>
      <c r="C56" t="inlineStr">
        <is>
          <t>Föryngringsavverkning</t>
        </is>
      </c>
      <c r="D56" s="1" t="n">
        <v>45995</v>
      </c>
      <c r="E56" s="1" t="n">
        <v>46261</v>
      </c>
      <c r="F56" t="inlineStr">
        <is>
          <t>STOCKHOLMS LÄN</t>
        </is>
      </c>
      <c r="G56" t="inlineStr">
        <is>
          <t>ÖSTERÅKER</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18711-2023</t>
        </is>
      </c>
      <c r="B57" t="inlineStr">
        <is>
          <t>avverkningsanmälan</t>
        </is>
      </c>
      <c r="C57" t="inlineStr">
        <is>
          <t>Föryngringsavverkning</t>
        </is>
      </c>
      <c r="D57" s="1" t="n">
        <v>45043</v>
      </c>
      <c r="E57" s="1" t="n">
        <v>46261</v>
      </c>
      <c r="F57" t="inlineStr">
        <is>
          <t>STOCKHOLMS LÄN</t>
        </is>
      </c>
      <c r="G57" t="inlineStr">
        <is>
          <t>ÖSTERÅKER</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34713-2025</t>
        </is>
      </c>
      <c r="B58" t="inlineStr">
        <is>
          <t>avverkningsanmälan</t>
        </is>
      </c>
      <c r="C58" t="inlineStr">
        <is>
          <t>Föryngringsavverkning</t>
        </is>
      </c>
      <c r="D58" s="1" t="n">
        <v>45848</v>
      </c>
      <c r="E58" s="1" t="n">
        <v>46261</v>
      </c>
      <c r="F58" t="inlineStr">
        <is>
          <t>STOCKHOLMS LÄN</t>
        </is>
      </c>
      <c r="G58" t="inlineStr">
        <is>
          <t>ÖSTERÅKER</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61710-2022</t>
        </is>
      </c>
      <c r="B59" t="inlineStr">
        <is>
          <t>avverkningsanmälan</t>
        </is>
      </c>
      <c r="C59" t="inlineStr">
        <is>
          <t>Föryngringsavverkning</t>
        </is>
      </c>
      <c r="D59" s="1" t="n">
        <v>44917</v>
      </c>
      <c r="E59" s="1" t="n">
        <v>46261</v>
      </c>
      <c r="F59" t="inlineStr">
        <is>
          <t>STOCKHOLMS LÄN</t>
        </is>
      </c>
      <c r="G59" t="inlineStr">
        <is>
          <t>ÖSTERÅKER</t>
        </is>
      </c>
      <c r="I59" t="n">
        <v>6.2</v>
      </c>
      <c r="J59" t="n">
        <v>0</v>
      </c>
      <c r="K59" t="n">
        <v>0</v>
      </c>
      <c r="L59" t="n">
        <v>0</v>
      </c>
      <c r="M59" t="n">
        <v>0</v>
      </c>
      <c r="N59" t="n">
        <v>0</v>
      </c>
      <c r="O59" t="n">
        <v>0</v>
      </c>
      <c r="P59" t="n">
        <v>0</v>
      </c>
      <c r="Q59" t="n">
        <v>0</v>
      </c>
      <c r="R59" t="n">
        <v>0</v>
      </c>
      <c r="S59" t="n">
        <v>0</v>
      </c>
      <c r="T59" t="n">
        <v>0</v>
      </c>
      <c r="U59" t="n">
        <v>0</v>
      </c>
      <c r="V59" s="2" t="inlineStr"/>
    </row>
    <row r="60" ht="15" customHeight="1">
      <c r="A60" t="inlineStr">
        <is>
          <t>A 23144-2024</t>
        </is>
      </c>
      <c r="B60" t="inlineStr">
        <is>
          <t>avverkningsanmälan</t>
        </is>
      </c>
      <c r="C60" t="inlineStr">
        <is>
          <t>Föryngringsavverkning</t>
        </is>
      </c>
      <c r="D60" s="1" t="n">
        <v>45450</v>
      </c>
      <c r="E60" s="1" t="n">
        <v>46261</v>
      </c>
      <c r="F60" t="inlineStr">
        <is>
          <t>STOCKHOLMS LÄN</t>
        </is>
      </c>
      <c r="G60" t="inlineStr">
        <is>
          <t>ÖSTERÅKER</t>
        </is>
      </c>
      <c r="H60" t="inlineStr">
        <is>
          <t>Övriga Aktiebolag</t>
        </is>
      </c>
      <c r="I60" t="n">
        <v>4.7</v>
      </c>
      <c r="J60" t="n">
        <v>0</v>
      </c>
      <c r="K60" t="n">
        <v>0</v>
      </c>
      <c r="L60" t="n">
        <v>0</v>
      </c>
      <c r="M60" t="n">
        <v>0</v>
      </c>
      <c r="N60" t="n">
        <v>0</v>
      </c>
      <c r="O60" t="n">
        <v>0</v>
      </c>
      <c r="P60" t="n">
        <v>0</v>
      </c>
      <c r="Q60" t="n">
        <v>0</v>
      </c>
      <c r="R60" t="n">
        <v>0</v>
      </c>
      <c r="S60" t="n">
        <v>0</v>
      </c>
      <c r="T60" t="n">
        <v>0</v>
      </c>
      <c r="U60" t="n">
        <v>0</v>
      </c>
      <c r="V60" s="2" t="inlineStr"/>
    </row>
    <row r="61" ht="15" customHeight="1">
      <c r="A61" t="inlineStr">
        <is>
          <t>A 17353-2025</t>
        </is>
      </c>
      <c r="B61" t="inlineStr">
        <is>
          <t>avverkningsanmälan</t>
        </is>
      </c>
      <c r="C61" t="inlineStr">
        <is>
          <t>Föryngringsavverkning</t>
        </is>
      </c>
      <c r="D61" s="1" t="n">
        <v>45756</v>
      </c>
      <c r="E61" s="1" t="n">
        <v>46261</v>
      </c>
      <c r="F61" t="inlineStr">
        <is>
          <t>STOCKHOLMS LÄN</t>
        </is>
      </c>
      <c r="G61" t="inlineStr">
        <is>
          <t>ÖSTERÅKER</t>
        </is>
      </c>
      <c r="H61" t="inlineStr">
        <is>
          <t>Övriga Aktiebolag</t>
        </is>
      </c>
      <c r="I61" t="n">
        <v>5.5</v>
      </c>
      <c r="J61" t="n">
        <v>0</v>
      </c>
      <c r="K61" t="n">
        <v>0</v>
      </c>
      <c r="L61" t="n">
        <v>0</v>
      </c>
      <c r="M61" t="n">
        <v>0</v>
      </c>
      <c r="N61" t="n">
        <v>0</v>
      </c>
      <c r="O61" t="n">
        <v>0</v>
      </c>
      <c r="P61" t="n">
        <v>0</v>
      </c>
      <c r="Q61" t="n">
        <v>0</v>
      </c>
      <c r="R61" t="n">
        <v>0</v>
      </c>
      <c r="S61" t="n">
        <v>0</v>
      </c>
      <c r="T61" t="n">
        <v>0</v>
      </c>
      <c r="U61" t="n">
        <v>0</v>
      </c>
      <c r="V61" s="2" t="inlineStr"/>
    </row>
    <row r="62" ht="15" customHeight="1">
      <c r="A62" t="inlineStr">
        <is>
          <t>A 17263-2022</t>
        </is>
      </c>
      <c r="B62" t="inlineStr">
        <is>
          <t>avverkningsanmälan</t>
        </is>
      </c>
      <c r="C62" t="inlineStr">
        <is>
          <t>Föryngringsavverkning</t>
        </is>
      </c>
      <c r="D62" s="1" t="n">
        <v>44678</v>
      </c>
      <c r="E62" s="1" t="n">
        <v>46261</v>
      </c>
      <c r="F62" t="inlineStr">
        <is>
          <t>STOCKHOLMS LÄN</t>
        </is>
      </c>
      <c r="G62" t="inlineStr">
        <is>
          <t>ÖSTERÅKER</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34038-2025</t>
        </is>
      </c>
      <c r="B63" t="inlineStr">
        <is>
          <t>avverkningsanmälan</t>
        </is>
      </c>
      <c r="C63" t="inlineStr">
        <is>
          <t>Föryngringsavverkning</t>
        </is>
      </c>
      <c r="D63" s="1" t="n">
        <v>45842</v>
      </c>
      <c r="E63" s="1" t="n">
        <v>46261</v>
      </c>
      <c r="F63" t="inlineStr">
        <is>
          <t>STOCKHOLMS LÄN</t>
        </is>
      </c>
      <c r="G63" t="inlineStr">
        <is>
          <t>ÖSTERÅKER</t>
        </is>
      </c>
      <c r="H63" t="inlineStr">
        <is>
          <t>Övriga Aktiebolag</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3917-2023</t>
        </is>
      </c>
      <c r="B64" t="inlineStr">
        <is>
          <t>avverkningsanmälan</t>
        </is>
      </c>
      <c r="C64" t="inlineStr">
        <is>
          <t>Föryngringsavverkning</t>
        </is>
      </c>
      <c r="D64" s="1" t="n">
        <v>44952</v>
      </c>
      <c r="E64" s="1" t="n">
        <v>46261</v>
      </c>
      <c r="F64" t="inlineStr">
        <is>
          <t>STOCKHOLMS LÄN</t>
        </is>
      </c>
      <c r="G64" t="inlineStr">
        <is>
          <t>ÖSTERÅKER</t>
        </is>
      </c>
      <c r="H64" t="inlineStr">
        <is>
          <t>Kommuner</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23198-2026</t>
        </is>
      </c>
      <c r="B65" t="inlineStr">
        <is>
          <t>avverkningsanmälan</t>
        </is>
      </c>
      <c r="C65" t="inlineStr">
        <is>
          <t>Avverkning för annat ändamål</t>
        </is>
      </c>
      <c r="D65" s="1" t="n">
        <v>46161</v>
      </c>
      <c r="E65" s="1" t="n">
        <v>46261</v>
      </c>
      <c r="F65" t="inlineStr">
        <is>
          <t>STOCKHOLMS LÄN</t>
        </is>
      </c>
      <c r="G65" t="inlineStr">
        <is>
          <t>ÖSTERÅKER</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9865-2025</t>
        </is>
      </c>
      <c r="B66" t="inlineStr">
        <is>
          <t>avverkningsanmälan</t>
        </is>
      </c>
      <c r="C66" t="inlineStr">
        <is>
          <t>Föryngringsavverkning</t>
        </is>
      </c>
      <c r="D66" s="1" t="n">
        <v>45716</v>
      </c>
      <c r="E66" s="1" t="n">
        <v>46261</v>
      </c>
      <c r="F66" t="inlineStr">
        <is>
          <t>STOCKHOLMS LÄN</t>
        </is>
      </c>
      <c r="G66" t="inlineStr">
        <is>
          <t>ÖSTERÅKER</t>
        </is>
      </c>
      <c r="I66" t="n">
        <v>7</v>
      </c>
      <c r="J66" t="n">
        <v>0</v>
      </c>
      <c r="K66" t="n">
        <v>0</v>
      </c>
      <c r="L66" t="n">
        <v>0</v>
      </c>
      <c r="M66" t="n">
        <v>0</v>
      </c>
      <c r="N66" t="n">
        <v>0</v>
      </c>
      <c r="O66" t="n">
        <v>0</v>
      </c>
      <c r="P66" t="n">
        <v>0</v>
      </c>
      <c r="Q66" t="n">
        <v>0</v>
      </c>
      <c r="R66" t="n">
        <v>0</v>
      </c>
      <c r="S66" t="n">
        <v>0</v>
      </c>
      <c r="T66" t="n">
        <v>0</v>
      </c>
      <c r="U66" t="n">
        <v>0</v>
      </c>
      <c r="V66" s="2" t="inlineStr"/>
    </row>
    <row r="67" ht="15" customHeight="1">
      <c r="A67" t="inlineStr">
        <is>
          <t>A 544-2023</t>
        </is>
      </c>
      <c r="B67" t="inlineStr">
        <is>
          <t>avverkningsanmälan</t>
        </is>
      </c>
      <c r="C67" t="inlineStr">
        <is>
          <t>Avverkning för annat ändamål</t>
        </is>
      </c>
      <c r="D67" s="1" t="n">
        <v>44924</v>
      </c>
      <c r="E67" s="1" t="n">
        <v>46261</v>
      </c>
      <c r="F67" t="inlineStr">
        <is>
          <t>STOCKHOLMS LÄN</t>
        </is>
      </c>
      <c r="G67" t="inlineStr">
        <is>
          <t>ÖSTERÅKER</t>
        </is>
      </c>
      <c r="H67" t="inlineStr">
        <is>
          <t>Övriga Aktiebolag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26249-2026</t>
        </is>
      </c>
      <c r="B68" t="inlineStr">
        <is>
          <t>avverkningsanmälan</t>
        </is>
      </c>
      <c r="C68" t="inlineStr">
        <is>
          <t>Avverkning för annat ändamål</t>
        </is>
      </c>
      <c r="D68" s="1" t="n">
        <v>46182</v>
      </c>
      <c r="E68" s="1" t="n">
        <v>46261</v>
      </c>
      <c r="F68" t="inlineStr">
        <is>
          <t>STOCKHOLMS LÄN</t>
        </is>
      </c>
      <c r="G68" t="inlineStr">
        <is>
          <t>ÖSTERÅKER</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470-2022</t>
        </is>
      </c>
      <c r="B69" t="inlineStr">
        <is>
          <t>avverkningsanmälan</t>
        </is>
      </c>
      <c r="C69" t="inlineStr">
        <is>
          <t>Föryngringsavverkning</t>
        </is>
      </c>
      <c r="D69" s="1" t="n">
        <v>44565</v>
      </c>
      <c r="E69" s="1" t="n">
        <v>46261</v>
      </c>
      <c r="F69" t="inlineStr">
        <is>
          <t>STOCKHOLMS LÄN</t>
        </is>
      </c>
      <c r="G69" t="inlineStr">
        <is>
          <t>ÖSTERÅKER</t>
        </is>
      </c>
      <c r="H69" t="inlineStr">
        <is>
          <t>Övriga Aktiebolag</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33158-2024</t>
        </is>
      </c>
      <c r="B70" t="inlineStr">
        <is>
          <t>avverkningsanmälan</t>
        </is>
      </c>
      <c r="C70" t="inlineStr">
        <is>
          <t>Avverkning för annat ändamål</t>
        </is>
      </c>
      <c r="D70" s="1" t="n">
        <v>45518</v>
      </c>
      <c r="E70" s="1" t="n">
        <v>46261</v>
      </c>
      <c r="F70" t="inlineStr">
        <is>
          <t>STOCKHOLMS LÄN</t>
        </is>
      </c>
      <c r="G70" t="inlineStr">
        <is>
          <t>ÖSTERÅKER</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29443-2026</t>
        </is>
      </c>
      <c r="B71" t="inlineStr">
        <is>
          <t>avverkningsanmälan</t>
        </is>
      </c>
      <c r="C71" t="inlineStr">
        <is>
          <t>Föryngringsavverkning</t>
        </is>
      </c>
      <c r="D71" s="1" t="n">
        <v>46203</v>
      </c>
      <c r="E71" s="1" t="n">
        <v>46261</v>
      </c>
      <c r="F71" t="inlineStr">
        <is>
          <t>STOCKHOLMS LÄN</t>
        </is>
      </c>
      <c r="G71" t="inlineStr">
        <is>
          <t>ÖSTERÅKER</t>
        </is>
      </c>
      <c r="I71" t="n">
        <v>13.8</v>
      </c>
      <c r="J71" t="n">
        <v>0</v>
      </c>
      <c r="K71" t="n">
        <v>0</v>
      </c>
      <c r="L71" t="n">
        <v>0</v>
      </c>
      <c r="M71" t="n">
        <v>0</v>
      </c>
      <c r="N71" t="n">
        <v>0</v>
      </c>
      <c r="O71" t="n">
        <v>0</v>
      </c>
      <c r="P71" t="n">
        <v>0</v>
      </c>
      <c r="Q71" t="n">
        <v>0</v>
      </c>
      <c r="R71" t="n">
        <v>0</v>
      </c>
      <c r="S71" t="n">
        <v>0</v>
      </c>
      <c r="T71" t="n">
        <v>0</v>
      </c>
      <c r="U71" t="n">
        <v>0</v>
      </c>
      <c r="V71" s="2" t="inlineStr"/>
    </row>
    <row r="72" ht="15" customHeight="1">
      <c r="A72" t="inlineStr">
        <is>
          <t>A 13366-2024</t>
        </is>
      </c>
      <c r="B72" t="inlineStr">
        <is>
          <t>avverkningsanmälan</t>
        </is>
      </c>
      <c r="C72" t="inlineStr">
        <is>
          <t>Föryngringsavverkning</t>
        </is>
      </c>
      <c r="D72" s="1" t="n">
        <v>45387</v>
      </c>
      <c r="E72" s="1" t="n">
        <v>46261</v>
      </c>
      <c r="F72" t="inlineStr">
        <is>
          <t>STOCKHOLMS LÄN</t>
        </is>
      </c>
      <c r="G72" t="inlineStr">
        <is>
          <t>ÖSTERÅKER</t>
        </is>
      </c>
      <c r="I72" t="n">
        <v>13.7</v>
      </c>
      <c r="J72" t="n">
        <v>0</v>
      </c>
      <c r="K72" t="n">
        <v>0</v>
      </c>
      <c r="L72" t="n">
        <v>0</v>
      </c>
      <c r="M72" t="n">
        <v>0</v>
      </c>
      <c r="N72" t="n">
        <v>0</v>
      </c>
      <c r="O72" t="n">
        <v>0</v>
      </c>
      <c r="P72" t="n">
        <v>0</v>
      </c>
      <c r="Q72" t="n">
        <v>0</v>
      </c>
      <c r="R72" t="n">
        <v>0</v>
      </c>
      <c r="S72" t="n">
        <v>0</v>
      </c>
      <c r="T72" t="n">
        <v>0</v>
      </c>
      <c r="U72" t="n">
        <v>0</v>
      </c>
      <c r="V72" s="2" t="inlineStr"/>
    </row>
    <row r="73" ht="15" customHeight="1">
      <c r="A73" t="inlineStr">
        <is>
          <t>A 61360-2022</t>
        </is>
      </c>
      <c r="B73" t="inlineStr">
        <is>
          <t>avverkningsanmälan</t>
        </is>
      </c>
      <c r="C73" t="inlineStr">
        <is>
          <t>Föryngringsavverkning</t>
        </is>
      </c>
      <c r="D73" s="1" t="n">
        <v>44915</v>
      </c>
      <c r="E73" s="1" t="n">
        <v>46261</v>
      </c>
      <c r="F73" t="inlineStr">
        <is>
          <t>STOCKHOLMS LÄN</t>
        </is>
      </c>
      <c r="G73" t="inlineStr">
        <is>
          <t>ÖSTERÅKER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62108-2022</t>
        </is>
      </c>
      <c r="B74" t="inlineStr">
        <is>
          <t>avverkningsanmälan</t>
        </is>
      </c>
      <c r="C74" t="inlineStr">
        <is>
          <t>Föryngringsavverkning</t>
        </is>
      </c>
      <c r="D74" s="1" t="n">
        <v>44920</v>
      </c>
      <c r="E74" s="1" t="n">
        <v>46261</v>
      </c>
      <c r="F74" t="inlineStr">
        <is>
          <t>STOCKHOLMS LÄN</t>
        </is>
      </c>
      <c r="G74" t="inlineStr">
        <is>
          <t>ÖSTERÅKER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30599-2026</t>
        </is>
      </c>
      <c r="B75" t="inlineStr">
        <is>
          <t>avverkningsanmälan</t>
        </is>
      </c>
      <c r="C75" t="inlineStr">
        <is>
          <t>Föryngringsavverkning</t>
        </is>
      </c>
      <c r="D75" s="1" t="n">
        <v>46210</v>
      </c>
      <c r="E75" s="1" t="n">
        <v>46261</v>
      </c>
      <c r="F75" t="inlineStr">
        <is>
          <t>STOCKHOLMS LÄN</t>
        </is>
      </c>
      <c r="G75" t="inlineStr">
        <is>
          <t>ÖSTERÅKER</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6655-2023</t>
        </is>
      </c>
      <c r="B76" t="inlineStr">
        <is>
          <t>avverkningsanmälan</t>
        </is>
      </c>
      <c r="C76" t="inlineStr">
        <is>
          <t>Föryngringsavverkning</t>
        </is>
      </c>
      <c r="D76" s="1" t="n">
        <v>44966</v>
      </c>
      <c r="E76" s="1" t="n">
        <v>46261</v>
      </c>
      <c r="F76" t="inlineStr">
        <is>
          <t>STOCKHOLMS LÄN</t>
        </is>
      </c>
      <c r="G76" t="inlineStr">
        <is>
          <t>ÖSTERÅKER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31149-2026</t>
        </is>
      </c>
      <c r="B77" t="inlineStr">
        <is>
          <t>avverkningsanmälan</t>
        </is>
      </c>
      <c r="C77" t="inlineStr">
        <is>
          <t>Föryngringsavverkning</t>
        </is>
      </c>
      <c r="D77" s="1" t="n">
        <v>46216</v>
      </c>
      <c r="E77" s="1" t="n">
        <v>46261</v>
      </c>
      <c r="F77" t="inlineStr">
        <is>
          <t>STOCKHOLMS LÄN</t>
        </is>
      </c>
      <c r="G77" t="inlineStr">
        <is>
          <t>ÖSTERÅKER</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31156-2026</t>
        </is>
      </c>
      <c r="B78" t="inlineStr">
        <is>
          <t>avverkningsanmälan</t>
        </is>
      </c>
      <c r="C78" t="inlineStr">
        <is>
          <t>Föryngringsavverkning</t>
        </is>
      </c>
      <c r="D78" s="1" t="n">
        <v>46216</v>
      </c>
      <c r="E78" s="1" t="n">
        <v>46261</v>
      </c>
      <c r="F78" t="inlineStr">
        <is>
          <t>STOCKHOLMS LÄN</t>
        </is>
      </c>
      <c r="G78" t="inlineStr">
        <is>
          <t>ÖSTERÅKER</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31146-2026</t>
        </is>
      </c>
      <c r="B79" t="inlineStr">
        <is>
          <t>avverkningsanmälan</t>
        </is>
      </c>
      <c r="C79" t="inlineStr">
        <is>
          <t>Föryngringsavverkning</t>
        </is>
      </c>
      <c r="D79" s="1" t="n">
        <v>46216</v>
      </c>
      <c r="E79" s="1" t="n">
        <v>46261</v>
      </c>
      <c r="F79" t="inlineStr">
        <is>
          <t>STOCKHOLMS LÄN</t>
        </is>
      </c>
      <c r="G79" t="inlineStr">
        <is>
          <t>ÖSTERÅKER</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31154-2026</t>
        </is>
      </c>
      <c r="B80" t="inlineStr">
        <is>
          <t>avverkningsanmälan</t>
        </is>
      </c>
      <c r="C80" t="inlineStr">
        <is>
          <t>Föryngringsavverkning</t>
        </is>
      </c>
      <c r="D80" s="1" t="n">
        <v>46216</v>
      </c>
      <c r="E80" s="1" t="n">
        <v>46261</v>
      </c>
      <c r="F80" t="inlineStr">
        <is>
          <t>STOCKHOLMS LÄN</t>
        </is>
      </c>
      <c r="G80" t="inlineStr">
        <is>
          <t>ÖSTERÅKER</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31134-2023</t>
        </is>
      </c>
      <c r="B81" t="inlineStr">
        <is>
          <t>avverkningsanmälan</t>
        </is>
      </c>
      <c r="C81" t="inlineStr">
        <is>
          <t>Föryngringsavverkning</t>
        </is>
      </c>
      <c r="D81" s="1" t="n">
        <v>45113</v>
      </c>
      <c r="E81" s="1" t="n">
        <v>46261</v>
      </c>
      <c r="F81" t="inlineStr">
        <is>
          <t>STOCKHOLMS LÄN</t>
        </is>
      </c>
      <c r="G81" t="inlineStr">
        <is>
          <t>ÖSTERÅKER</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57048-2024</t>
        </is>
      </c>
      <c r="B82" t="inlineStr">
        <is>
          <t>avverkningsanmälan</t>
        </is>
      </c>
      <c r="C82" t="inlineStr">
        <is>
          <t>Föryngringsavverkning</t>
        </is>
      </c>
      <c r="D82" s="1" t="n">
        <v>45629</v>
      </c>
      <c r="E82" s="1" t="n">
        <v>46261</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57055-2024</t>
        </is>
      </c>
      <c r="B83" t="inlineStr">
        <is>
          <t>avverkningsanmälan</t>
        </is>
      </c>
      <c r="C83" t="inlineStr">
        <is>
          <t>Föryngringsavverkning</t>
        </is>
      </c>
      <c r="D83" s="1" t="n">
        <v>45629</v>
      </c>
      <c r="E83" s="1" t="n">
        <v>46261</v>
      </c>
      <c r="F83" t="inlineStr">
        <is>
          <t>STOCKHOLMS LÄN</t>
        </is>
      </c>
      <c r="G83" t="inlineStr">
        <is>
          <t>ÖSTERÅKER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3326-2022</t>
        </is>
      </c>
      <c r="B84" t="inlineStr">
        <is>
          <t>avverkningsanmälan</t>
        </is>
      </c>
      <c r="C84" t="inlineStr">
        <is>
          <t>Föryngringsavverkning</t>
        </is>
      </c>
      <c r="D84" s="1" t="n">
        <v>44583</v>
      </c>
      <c r="E84" s="1" t="n">
        <v>46261</v>
      </c>
      <c r="F84" t="inlineStr">
        <is>
          <t>STOCKHOLMS LÄN</t>
        </is>
      </c>
      <c r="G84" t="inlineStr">
        <is>
          <t>ÖSTERÅKER</t>
        </is>
      </c>
      <c r="H84" t="inlineStr">
        <is>
          <t>Övriga Aktiebolag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56909-2024</t>
        </is>
      </c>
      <c r="B85" t="inlineStr">
        <is>
          <t>avverkningsanmälan</t>
        </is>
      </c>
      <c r="C85" t="inlineStr">
        <is>
          <t>Avverkning för att bevara och utveckla /försöksver</t>
        </is>
      </c>
      <c r="D85" s="1" t="n">
        <v>45628</v>
      </c>
      <c r="E85" s="1" t="n">
        <v>46261</v>
      </c>
      <c r="F85" t="inlineStr">
        <is>
          <t>STOCKHOLMS LÄN</t>
        </is>
      </c>
      <c r="G85" t="inlineStr">
        <is>
          <t>ÖSTERÅKER</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16738-2022</t>
        </is>
      </c>
      <c r="B86" t="inlineStr">
        <is>
          <t>avverkningsanmälan</t>
        </is>
      </c>
      <c r="C86" t="inlineStr">
        <is>
          <t>Avverkning för annat ändamål</t>
        </is>
      </c>
      <c r="D86" s="1" t="n">
        <v>44673</v>
      </c>
      <c r="E86" s="1" t="n">
        <v>46261</v>
      </c>
      <c r="F86" t="inlineStr">
        <is>
          <t>STOCKHOLMS LÄN</t>
        </is>
      </c>
      <c r="G86" t="inlineStr">
        <is>
          <t>ÖSTERÅKER</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59379-2022</t>
        </is>
      </c>
      <c r="B87" t="inlineStr">
        <is>
          <t>avverkningsanmälan</t>
        </is>
      </c>
      <c r="C87" t="inlineStr">
        <is>
          <t>Föryngringsavverkning</t>
        </is>
      </c>
      <c r="D87" s="1" t="n">
        <v>44905</v>
      </c>
      <c r="E87" s="1" t="n">
        <v>46261</v>
      </c>
      <c r="F87" t="inlineStr">
        <is>
          <t>STOCKHOLMS LÄN</t>
        </is>
      </c>
      <c r="G87" t="inlineStr">
        <is>
          <t>ÖSTERÅKER</t>
        </is>
      </c>
      <c r="H87" t="inlineStr">
        <is>
          <t>Kommuner</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10185-2025</t>
        </is>
      </c>
      <c r="B88" t="inlineStr">
        <is>
          <t>avverkningsanmälan</t>
        </is>
      </c>
      <c r="C88" t="inlineStr">
        <is>
          <t>Föryngringsavverkning</t>
        </is>
      </c>
      <c r="D88" s="1" t="n">
        <v>45719</v>
      </c>
      <c r="E88" s="1" t="n">
        <v>46261</v>
      </c>
      <c r="F88" t="inlineStr">
        <is>
          <t>STOCKHOLMS LÄN</t>
        </is>
      </c>
      <c r="G88" t="inlineStr">
        <is>
          <t>ÖSTERÅKER</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16728-2022</t>
        </is>
      </c>
      <c r="B89" t="inlineStr">
        <is>
          <t>avverkningsanmälan</t>
        </is>
      </c>
      <c r="C89" t="inlineStr">
        <is>
          <t>Föryngringsavverkning</t>
        </is>
      </c>
      <c r="D89" s="1" t="n">
        <v>44673</v>
      </c>
      <c r="E89" s="1" t="n">
        <v>46261</v>
      </c>
      <c r="F89" t="inlineStr">
        <is>
          <t>STOCKHOLMS LÄN</t>
        </is>
      </c>
      <c r="G89" t="inlineStr">
        <is>
          <t>ÖSTERÅKER</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14776-2024</t>
        </is>
      </c>
      <c r="B90" t="inlineStr">
        <is>
          <t>avverkningsanmälan</t>
        </is>
      </c>
      <c r="C90" t="inlineStr">
        <is>
          <t>Föryngringsavverkning</t>
        </is>
      </c>
      <c r="D90" s="1" t="n">
        <v>45397</v>
      </c>
      <c r="E90" s="1" t="n">
        <v>46261</v>
      </c>
      <c r="F90" t="inlineStr">
        <is>
          <t>STOCKHOLMS LÄN</t>
        </is>
      </c>
      <c r="G90" t="inlineStr">
        <is>
          <t>ÖSTERÅKER</t>
        </is>
      </c>
      <c r="I90" t="n">
        <v>13.6</v>
      </c>
      <c r="J90" t="n">
        <v>0</v>
      </c>
      <c r="K90" t="n">
        <v>0</v>
      </c>
      <c r="L90" t="n">
        <v>0</v>
      </c>
      <c r="M90" t="n">
        <v>0</v>
      </c>
      <c r="N90" t="n">
        <v>0</v>
      </c>
      <c r="O90" t="n">
        <v>0</v>
      </c>
      <c r="P90" t="n">
        <v>0</v>
      </c>
      <c r="Q90" t="n">
        <v>0</v>
      </c>
      <c r="R90" t="n">
        <v>0</v>
      </c>
      <c r="S90" t="n">
        <v>0</v>
      </c>
      <c r="T90" t="n">
        <v>0</v>
      </c>
      <c r="U90" t="n">
        <v>0</v>
      </c>
      <c r="V90" s="2" t="inlineStr"/>
    </row>
    <row r="91" ht="15" customHeight="1">
      <c r="A91" t="inlineStr">
        <is>
          <t>A 61370-2022</t>
        </is>
      </c>
      <c r="B91" t="inlineStr">
        <is>
          <t>avverkningsanmälan</t>
        </is>
      </c>
      <c r="C91" t="inlineStr">
        <is>
          <t>Föryngringsavverkning</t>
        </is>
      </c>
      <c r="D91" s="1" t="n">
        <v>44915</v>
      </c>
      <c r="E91" s="1" t="n">
        <v>46261</v>
      </c>
      <c r="F91" t="inlineStr">
        <is>
          <t>STOCKHOLMS LÄN</t>
        </is>
      </c>
      <c r="G91" t="inlineStr">
        <is>
          <t>ÖSTERÅKER</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3817-2023</t>
        </is>
      </c>
      <c r="B92" t="inlineStr">
        <is>
          <t>avverkningsanmälan</t>
        </is>
      </c>
      <c r="C92" t="inlineStr">
        <is>
          <t>Föryngringsavverkning</t>
        </is>
      </c>
      <c r="D92" s="1" t="n">
        <v>44951</v>
      </c>
      <c r="E92" s="1" t="n">
        <v>46261</v>
      </c>
      <c r="F92" t="inlineStr">
        <is>
          <t>STOCKHOLMS LÄN</t>
        </is>
      </c>
      <c r="G92" t="inlineStr">
        <is>
          <t>ÖSTERÅKER</t>
        </is>
      </c>
      <c r="H92" t="inlineStr">
        <is>
          <t>Kommuner</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3828-2023</t>
        </is>
      </c>
      <c r="B93" t="inlineStr">
        <is>
          <t>avverkningsanmälan</t>
        </is>
      </c>
      <c r="C93" t="inlineStr">
        <is>
          <t>Föryngringsavverkning</t>
        </is>
      </c>
      <c r="D93" s="1" t="n">
        <v>44951</v>
      </c>
      <c r="E93" s="1" t="n">
        <v>46261</v>
      </c>
      <c r="F93" t="inlineStr">
        <is>
          <t>STOCKHOLMS LÄN</t>
        </is>
      </c>
      <c r="G93" t="inlineStr">
        <is>
          <t>ÖSTERÅKER</t>
        </is>
      </c>
      <c r="H93" t="inlineStr">
        <is>
          <t>Kommuner</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24499-2023</t>
        </is>
      </c>
      <c r="B94" t="inlineStr">
        <is>
          <t>avverkningsanmälan</t>
        </is>
      </c>
      <c r="C94" t="inlineStr">
        <is>
          <t>Föryngringsavverkning</t>
        </is>
      </c>
      <c r="D94" s="1" t="n">
        <v>45082</v>
      </c>
      <c r="E94" s="1" t="n">
        <v>46261</v>
      </c>
      <c r="F94" t="inlineStr">
        <is>
          <t>STOCKHOLMS LÄN</t>
        </is>
      </c>
      <c r="G94" t="inlineStr">
        <is>
          <t>ÖSTERÅKER</t>
        </is>
      </c>
      <c r="I94" t="n">
        <v>0.1</v>
      </c>
      <c r="J94" t="n">
        <v>0</v>
      </c>
      <c r="K94" t="n">
        <v>0</v>
      </c>
      <c r="L94" t="n">
        <v>0</v>
      </c>
      <c r="M94" t="n">
        <v>0</v>
      </c>
      <c r="N94" t="n">
        <v>0</v>
      </c>
      <c r="O94" t="n">
        <v>0</v>
      </c>
      <c r="P94" t="n">
        <v>0</v>
      </c>
      <c r="Q94" t="n">
        <v>0</v>
      </c>
      <c r="R94" t="n">
        <v>0</v>
      </c>
      <c r="S94" t="n">
        <v>0</v>
      </c>
      <c r="T94" t="n">
        <v>0</v>
      </c>
      <c r="U94" t="n">
        <v>0</v>
      </c>
      <c r="V94" s="2" t="inlineStr"/>
    </row>
    <row r="95" ht="15" customHeight="1">
      <c r="A95" t="inlineStr">
        <is>
          <t>A 17196-2022</t>
        </is>
      </c>
      <c r="B95" t="inlineStr">
        <is>
          <t>avverkningsanmälan</t>
        </is>
      </c>
      <c r="C95" t="inlineStr">
        <is>
          <t>Föryngringsavverkning</t>
        </is>
      </c>
      <c r="D95" s="1" t="n">
        <v>44677</v>
      </c>
      <c r="E95" s="1" t="n">
        <v>46261</v>
      </c>
      <c r="F95" t="inlineStr">
        <is>
          <t>STOCKHOLMS LÄN</t>
        </is>
      </c>
      <c r="G95" t="inlineStr">
        <is>
          <t>ÖSTERÅKER</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1603-2023</t>
        </is>
      </c>
      <c r="B96" t="inlineStr">
        <is>
          <t>avverkningsanmälan</t>
        </is>
      </c>
      <c r="C96" t="inlineStr">
        <is>
          <t>Föryngringsavverkning</t>
        </is>
      </c>
      <c r="D96" s="1" t="n">
        <v>44937</v>
      </c>
      <c r="E96" s="1" t="n">
        <v>46261</v>
      </c>
      <c r="F96" t="inlineStr">
        <is>
          <t>STOCKHOLMS LÄN</t>
        </is>
      </c>
      <c r="G96" t="inlineStr">
        <is>
          <t>ÖSTERÅKER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1605-2023</t>
        </is>
      </c>
      <c r="B97" t="inlineStr">
        <is>
          <t>avverkningsanmälan</t>
        </is>
      </c>
      <c r="C97" t="inlineStr">
        <is>
          <t>Föryngringsavverkning</t>
        </is>
      </c>
      <c r="D97" s="1" t="n">
        <v>44937</v>
      </c>
      <c r="E97" s="1" t="n">
        <v>46261</v>
      </c>
      <c r="F97" t="inlineStr">
        <is>
          <t>STOCKHOLMS LÄN</t>
        </is>
      </c>
      <c r="G97" t="inlineStr">
        <is>
          <t>ÖSTERÅKER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5286-2025</t>
        </is>
      </c>
      <c r="B98" t="inlineStr">
        <is>
          <t>avverkningsanmälan</t>
        </is>
      </c>
      <c r="C98" t="inlineStr">
        <is>
          <t>Föryngringsavverkning</t>
        </is>
      </c>
      <c r="D98" s="1" t="n">
        <v>45692</v>
      </c>
      <c r="E98" s="1" t="n">
        <v>46261</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1136-2023</t>
        </is>
      </c>
      <c r="B99" t="inlineStr">
        <is>
          <t>avverkningsanmälan</t>
        </is>
      </c>
      <c r="C99" t="inlineStr">
        <is>
          <t>Avverkning för annat ändamål</t>
        </is>
      </c>
      <c r="D99" s="1" t="n">
        <v>44935</v>
      </c>
      <c r="E99" s="1" t="n">
        <v>46261</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46261</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46261</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46261</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46261</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46261</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46261</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2026-08-27T01:49:46Z</dcterms:created>
  <dcterms:modified xmlns:dcterms="http://purl.org/dc/terms/" xmlns:xsi="http://www.w3.org/2001/XMLSchema-instance" xsi:type="dcterms:W3CDTF">2026-08-27T01:49:46Z</dcterms:modified>
</cp:coreProperties>
</file>