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46082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46082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46082</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46082</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46082</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46082</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46082</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34717-2025</t>
        </is>
      </c>
      <c r="B9" s="1" t="n">
        <v>45848</v>
      </c>
      <c r="C9" s="1" t="n">
        <v>46082</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12620-2022</t>
        </is>
      </c>
      <c r="B10" s="1" t="n">
        <v>44638</v>
      </c>
      <c r="C10" s="1" t="n">
        <v>46082</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17244-2022</t>
        </is>
      </c>
      <c r="B11" s="1" t="n">
        <v>44678</v>
      </c>
      <c r="C11" s="1" t="n">
        <v>46082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46082</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46082</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31523-2022</t>
        </is>
      </c>
      <c r="B14" s="1" t="n">
        <v>44775.22490740741</v>
      </c>
      <c r="C14" s="1" t="n">
        <v>46082</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36366-2025</t>
        </is>
      </c>
      <c r="B15" s="1" t="n">
        <v>45868</v>
      </c>
      <c r="C15" s="1" t="n">
        <v>46082</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43308-2024</t>
        </is>
      </c>
      <c r="B16" s="1" t="n">
        <v>45568</v>
      </c>
      <c r="C16" s="1" t="n">
        <v>46082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62578-2025</t>
        </is>
      </c>
      <c r="B17" s="1" t="n">
        <v>46007</v>
      </c>
      <c r="C17" s="1" t="n">
        <v>46082</v>
      </c>
      <c r="D17" t="inlineStr">
        <is>
          <t>STOCKHOLMS LÄN</t>
        </is>
      </c>
      <c r="E17" t="inlineStr">
        <is>
          <t>ÖSTERÅKER</t>
        </is>
      </c>
      <c r="G17" t="n">
        <v>3.4</v>
      </c>
      <c r="H17" t="n">
        <v>0</v>
      </c>
      <c r="I17" t="n">
        <v>2</v>
      </c>
      <c r="J17" t="n">
        <v>0</v>
      </c>
      <c r="K17" t="n">
        <v>0</v>
      </c>
      <c r="L17" t="n">
        <v>0</v>
      </c>
      <c r="M17" t="n">
        <v>0</v>
      </c>
      <c r="N17" t="n">
        <v>0</v>
      </c>
      <c r="O17" t="n">
        <v>0</v>
      </c>
      <c r="P17" t="n">
        <v>0</v>
      </c>
      <c r="Q17" t="n">
        <v>2</v>
      </c>
      <c r="R17" s="2" t="inlineStr">
        <is>
          <t>Fällmossa
Mindre märgborre</t>
        </is>
      </c>
      <c r="S17">
        <f>HYPERLINK("https://klasma.github.io/Logging_0117/artfynd/A 62578-2025 artfynd.xlsx", "A 62578-2025")</f>
        <v/>
      </c>
      <c r="T17">
        <f>HYPERLINK("https://klasma.github.io/Logging_0117/kartor/A 62578-2025 karta.png", "A 62578-2025")</f>
        <v/>
      </c>
      <c r="V17">
        <f>HYPERLINK("https://klasma.github.io/Logging_0117/klagomål/A 62578-2025 FSC-klagomål.docx", "A 62578-2025")</f>
        <v/>
      </c>
      <c r="W17">
        <f>HYPERLINK("https://klasma.github.io/Logging_0117/klagomålsmail/A 62578-2025 FSC-klagomål mail.docx", "A 62578-2025")</f>
        <v/>
      </c>
      <c r="X17">
        <f>HYPERLINK("https://klasma.github.io/Logging_0117/tillsyn/A 62578-2025 tillsynsbegäran.docx", "A 62578-2025")</f>
        <v/>
      </c>
      <c r="Y17">
        <f>HYPERLINK("https://klasma.github.io/Logging_0117/tillsynsmail/A 62578-2025 tillsynsbegäran mail.docx", "A 62578-2025")</f>
        <v/>
      </c>
    </row>
    <row r="18" ht="15" customHeight="1">
      <c r="A18" t="inlineStr">
        <is>
          <t>A 54703-2024</t>
        </is>
      </c>
      <c r="B18" s="1" t="n">
        <v>45618</v>
      </c>
      <c r="C18" s="1" t="n">
        <v>46082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61363-2022</t>
        </is>
      </c>
      <c r="B19" s="1" t="n">
        <v>44915</v>
      </c>
      <c r="C19" s="1" t="n">
        <v>46082</v>
      </c>
      <c r="D19" t="inlineStr">
        <is>
          <t>STOCKHOLMS LÄN</t>
        </is>
      </c>
      <c r="E19" t="inlineStr">
        <is>
          <t>ÖSTERÅKER</t>
        </is>
      </c>
      <c r="G19" t="n">
        <v>5.3</v>
      </c>
      <c r="H19" t="n">
        <v>0</v>
      </c>
      <c r="I19" t="n">
        <v>1</v>
      </c>
      <c r="J19" t="n">
        <v>1</v>
      </c>
      <c r="K19" t="n">
        <v>0</v>
      </c>
      <c r="L19" t="n">
        <v>0</v>
      </c>
      <c r="M19" t="n">
        <v>0</v>
      </c>
      <c r="N19" t="n">
        <v>0</v>
      </c>
      <c r="O19" t="n">
        <v>1</v>
      </c>
      <c r="P19" t="n">
        <v>0</v>
      </c>
      <c r="Q19" t="n">
        <v>2</v>
      </c>
      <c r="R19" s="2" t="inlineStr">
        <is>
          <t>Motaggsvamp
Skuggblåslav</t>
        </is>
      </c>
      <c r="S19">
        <f>HYPERLINK("https://klasma.github.io/Logging_0117/artfynd/A 61363-2022 artfynd.xlsx", "A 61363-2022")</f>
        <v/>
      </c>
      <c r="T19">
        <f>HYPERLINK("https://klasma.github.io/Logging_0117/kartor/A 61363-2022 karta.png", "A 61363-2022")</f>
        <v/>
      </c>
      <c r="V19">
        <f>HYPERLINK("https://klasma.github.io/Logging_0117/klagomål/A 61363-2022 FSC-klagomål.docx", "A 61363-2022")</f>
        <v/>
      </c>
      <c r="W19">
        <f>HYPERLINK("https://klasma.github.io/Logging_0117/klagomålsmail/A 61363-2022 FSC-klagomål mail.docx", "A 61363-2022")</f>
        <v/>
      </c>
      <c r="X19">
        <f>HYPERLINK("https://klasma.github.io/Logging_0117/tillsyn/A 61363-2022 tillsynsbegäran.docx", "A 61363-2022")</f>
        <v/>
      </c>
      <c r="Y19">
        <f>HYPERLINK("https://klasma.github.io/Logging_0117/tillsynsmail/A 61363-2022 tillsynsbegäran mail.docx", "A 61363-2022")</f>
        <v/>
      </c>
    </row>
    <row r="20" ht="15" customHeight="1">
      <c r="A20" t="inlineStr">
        <is>
          <t>A 22172-2022</t>
        </is>
      </c>
      <c r="B20" s="1" t="n">
        <v>44712</v>
      </c>
      <c r="C20" s="1" t="n">
        <v>46082</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38968-2025</t>
        </is>
      </c>
      <c r="B21" s="1" t="n">
        <v>45887.70863425926</v>
      </c>
      <c r="C21" s="1" t="n">
        <v>46082</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27921-2025</t>
        </is>
      </c>
      <c r="B22" s="1" t="n">
        <v>45817.4846875</v>
      </c>
      <c r="C22" s="1" t="n">
        <v>46082</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46082</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13942-2021</t>
        </is>
      </c>
      <c r="B24" s="1" t="n">
        <v>44277</v>
      </c>
      <c r="C24" s="1" t="n">
        <v>46082</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46082</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46082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46082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46082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46082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46082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46082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46082</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46082</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46082</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46082</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46082</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46082</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46082</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46082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46082</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46082</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46082</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46082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46082</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46082</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46082</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46082</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46082</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46082</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46082</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46082</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46082</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22528-2024</t>
        </is>
      </c>
      <c r="B53" s="1" t="n">
        <v>45447.44967592593</v>
      </c>
      <c r="C53" s="1" t="n">
        <v>46082</v>
      </c>
      <c r="D53" t="inlineStr">
        <is>
          <t>STOCKHOLMS LÄN</t>
        </is>
      </c>
      <c r="E53" t="inlineStr">
        <is>
          <t>ÖSTERÅKER</t>
        </is>
      </c>
      <c r="F53" t="inlineStr">
        <is>
          <t>Övriga Aktiebolag</t>
        </is>
      </c>
      <c r="G53" t="n">
        <v>1.4</v>
      </c>
      <c r="H53" t="n">
        <v>0</v>
      </c>
      <c r="I53" t="n">
        <v>0</v>
      </c>
      <c r="J53" t="n">
        <v>0</v>
      </c>
      <c r="K53" t="n">
        <v>0</v>
      </c>
      <c r="L53" t="n">
        <v>0</v>
      </c>
      <c r="M53" t="n">
        <v>0</v>
      </c>
      <c r="N53" t="n">
        <v>0</v>
      </c>
      <c r="O53" t="n">
        <v>0</v>
      </c>
      <c r="P53" t="n">
        <v>0</v>
      </c>
      <c r="Q53" t="n">
        <v>0</v>
      </c>
      <c r="R53" s="2" t="inlineStr"/>
    </row>
    <row r="54" ht="15" customHeight="1">
      <c r="A54" t="inlineStr">
        <is>
          <t>A 16803-2022</t>
        </is>
      </c>
      <c r="B54" s="1" t="n">
        <v>44673</v>
      </c>
      <c r="C54" s="1" t="n">
        <v>46082</v>
      </c>
      <c r="D54" t="inlineStr">
        <is>
          <t>STOCKHOLMS LÄN</t>
        </is>
      </c>
      <c r="E54" t="inlineStr">
        <is>
          <t>ÖSTERÅKER</t>
        </is>
      </c>
      <c r="G54" t="n">
        <v>1.9</v>
      </c>
      <c r="H54" t="n">
        <v>0</v>
      </c>
      <c r="I54" t="n">
        <v>0</v>
      </c>
      <c r="J54" t="n">
        <v>0</v>
      </c>
      <c r="K54" t="n">
        <v>0</v>
      </c>
      <c r="L54" t="n">
        <v>0</v>
      </c>
      <c r="M54" t="n">
        <v>0</v>
      </c>
      <c r="N54" t="n">
        <v>0</v>
      </c>
      <c r="O54" t="n">
        <v>0</v>
      </c>
      <c r="P54" t="n">
        <v>0</v>
      </c>
      <c r="Q54" t="n">
        <v>0</v>
      </c>
      <c r="R54" s="2" t="inlineStr"/>
    </row>
    <row r="55" ht="15" customHeight="1">
      <c r="A55" t="inlineStr">
        <is>
          <t>A 27137-2025</t>
        </is>
      </c>
      <c r="B55" s="1" t="n">
        <v>45811.95890046296</v>
      </c>
      <c r="C55" s="1" t="n">
        <v>46082</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46082</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46082</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61710-2022</t>
        </is>
      </c>
      <c r="B58" s="1" t="n">
        <v>44917</v>
      </c>
      <c r="C58" s="1" t="n">
        <v>46082</v>
      </c>
      <c r="D58" t="inlineStr">
        <is>
          <t>STOCKHOLMS LÄN</t>
        </is>
      </c>
      <c r="E58" t="inlineStr">
        <is>
          <t>ÖSTERÅKER</t>
        </is>
      </c>
      <c r="G58" t="n">
        <v>6.2</v>
      </c>
      <c r="H58" t="n">
        <v>0</v>
      </c>
      <c r="I58" t="n">
        <v>0</v>
      </c>
      <c r="J58" t="n">
        <v>0</v>
      </c>
      <c r="K58" t="n">
        <v>0</v>
      </c>
      <c r="L58" t="n">
        <v>0</v>
      </c>
      <c r="M58" t="n">
        <v>0</v>
      </c>
      <c r="N58" t="n">
        <v>0</v>
      </c>
      <c r="O58" t="n">
        <v>0</v>
      </c>
      <c r="P58" t="n">
        <v>0</v>
      </c>
      <c r="Q58" t="n">
        <v>0</v>
      </c>
      <c r="R58" s="2" t="inlineStr"/>
    </row>
    <row r="59" ht="15" customHeight="1">
      <c r="A59" t="inlineStr">
        <is>
          <t>A 17353-2025</t>
        </is>
      </c>
      <c r="B59" s="1" t="n">
        <v>45756</v>
      </c>
      <c r="C59" s="1" t="n">
        <v>46082</v>
      </c>
      <c r="D59" t="inlineStr">
        <is>
          <t>STOCKHOLMS LÄN</t>
        </is>
      </c>
      <c r="E59" t="inlineStr">
        <is>
          <t>ÖSTERÅKER</t>
        </is>
      </c>
      <c r="F59" t="inlineStr">
        <is>
          <t>Övriga Aktiebolag</t>
        </is>
      </c>
      <c r="G59" t="n">
        <v>5.5</v>
      </c>
      <c r="H59" t="n">
        <v>0</v>
      </c>
      <c r="I59" t="n">
        <v>0</v>
      </c>
      <c r="J59" t="n">
        <v>0</v>
      </c>
      <c r="K59" t="n">
        <v>0</v>
      </c>
      <c r="L59" t="n">
        <v>0</v>
      </c>
      <c r="M59" t="n">
        <v>0</v>
      </c>
      <c r="N59" t="n">
        <v>0</v>
      </c>
      <c r="O59" t="n">
        <v>0</v>
      </c>
      <c r="P59" t="n">
        <v>0</v>
      </c>
      <c r="Q59" t="n">
        <v>0</v>
      </c>
      <c r="R59" s="2" t="inlineStr"/>
    </row>
    <row r="60" ht="15" customHeight="1">
      <c r="A60" t="inlineStr">
        <is>
          <t>A 31456-2025</t>
        </is>
      </c>
      <c r="B60" s="1" t="n">
        <v>45833.5402662037</v>
      </c>
      <c r="C60" s="1" t="n">
        <v>46082</v>
      </c>
      <c r="D60" t="inlineStr">
        <is>
          <t>STOCKHOLMS LÄN</t>
        </is>
      </c>
      <c r="E60" t="inlineStr">
        <is>
          <t>ÖSTERÅKER</t>
        </is>
      </c>
      <c r="G60" t="n">
        <v>4.3</v>
      </c>
      <c r="H60" t="n">
        <v>0</v>
      </c>
      <c r="I60" t="n">
        <v>0</v>
      </c>
      <c r="J60" t="n">
        <v>0</v>
      </c>
      <c r="K60" t="n">
        <v>0</v>
      </c>
      <c r="L60" t="n">
        <v>0</v>
      </c>
      <c r="M60" t="n">
        <v>0</v>
      </c>
      <c r="N60" t="n">
        <v>0</v>
      </c>
      <c r="O60" t="n">
        <v>0</v>
      </c>
      <c r="P60" t="n">
        <v>0</v>
      </c>
      <c r="Q60" t="n">
        <v>0</v>
      </c>
      <c r="R60" s="2" t="inlineStr"/>
    </row>
    <row r="61" ht="15" customHeight="1">
      <c r="A61" t="inlineStr">
        <is>
          <t>A 3917-2023</t>
        </is>
      </c>
      <c r="B61" s="1" t="n">
        <v>44952</v>
      </c>
      <c r="C61" s="1" t="n">
        <v>46082</v>
      </c>
      <c r="D61" t="inlineStr">
        <is>
          <t>STOCKHOLMS LÄN</t>
        </is>
      </c>
      <c r="E61" t="inlineStr">
        <is>
          <t>ÖSTERÅKER</t>
        </is>
      </c>
      <c r="F61" t="inlineStr">
        <is>
          <t>Kommuner</t>
        </is>
      </c>
      <c r="G61" t="n">
        <v>2.8</v>
      </c>
      <c r="H61" t="n">
        <v>0</v>
      </c>
      <c r="I61" t="n">
        <v>0</v>
      </c>
      <c r="J61" t="n">
        <v>0</v>
      </c>
      <c r="K61" t="n">
        <v>0</v>
      </c>
      <c r="L61" t="n">
        <v>0</v>
      </c>
      <c r="M61" t="n">
        <v>0</v>
      </c>
      <c r="N61" t="n">
        <v>0</v>
      </c>
      <c r="O61" t="n">
        <v>0</v>
      </c>
      <c r="P61" t="n">
        <v>0</v>
      </c>
      <c r="Q61" t="n">
        <v>0</v>
      </c>
      <c r="R61" s="2" t="inlineStr"/>
    </row>
    <row r="62" ht="15" customHeight="1">
      <c r="A62" t="inlineStr">
        <is>
          <t>A 34034-2025</t>
        </is>
      </c>
      <c r="B62" s="1" t="n">
        <v>45842</v>
      </c>
      <c r="C62" s="1" t="n">
        <v>46082</v>
      </c>
      <c r="D62" t="inlineStr">
        <is>
          <t>STOCKHOLMS LÄN</t>
        </is>
      </c>
      <c r="E62" t="inlineStr">
        <is>
          <t>ÖSTERÅKER</t>
        </is>
      </c>
      <c r="F62" t="inlineStr">
        <is>
          <t>Övriga Aktiebolag</t>
        </is>
      </c>
      <c r="G62" t="n">
        <v>3.9</v>
      </c>
      <c r="H62" t="n">
        <v>0</v>
      </c>
      <c r="I62" t="n">
        <v>0</v>
      </c>
      <c r="J62" t="n">
        <v>0</v>
      </c>
      <c r="K62" t="n">
        <v>0</v>
      </c>
      <c r="L62" t="n">
        <v>0</v>
      </c>
      <c r="M62" t="n">
        <v>0</v>
      </c>
      <c r="N62" t="n">
        <v>0</v>
      </c>
      <c r="O62" t="n">
        <v>0</v>
      </c>
      <c r="P62" t="n">
        <v>0</v>
      </c>
      <c r="Q62" t="n">
        <v>0</v>
      </c>
      <c r="R62" s="2" t="inlineStr"/>
    </row>
    <row r="63" ht="15" customHeight="1">
      <c r="A63" t="inlineStr">
        <is>
          <t>A 34038-2025</t>
        </is>
      </c>
      <c r="B63" s="1" t="n">
        <v>45842</v>
      </c>
      <c r="C63" s="1" t="n">
        <v>46082</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46082</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34713-2025</t>
        </is>
      </c>
      <c r="B65" s="1" t="n">
        <v>45848</v>
      </c>
      <c r="C65" s="1" t="n">
        <v>46082</v>
      </c>
      <c r="D65" t="inlineStr">
        <is>
          <t>STOCKHOLMS LÄN</t>
        </is>
      </c>
      <c r="E65" t="inlineStr">
        <is>
          <t>ÖSTERÅKER</t>
        </is>
      </c>
      <c r="G65" t="n">
        <v>0.9</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46082</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46082</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46082</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46082</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46082</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46082</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470-2022</t>
        </is>
      </c>
      <c r="B72" s="1" t="n">
        <v>44565</v>
      </c>
      <c r="C72" s="1" t="n">
        <v>46082</v>
      </c>
      <c r="D72" t="inlineStr">
        <is>
          <t>STOCKHOLMS LÄN</t>
        </is>
      </c>
      <c r="E72" t="inlineStr">
        <is>
          <t>ÖSTERÅKER</t>
        </is>
      </c>
      <c r="F72" t="inlineStr">
        <is>
          <t>Övriga Aktiebolag</t>
        </is>
      </c>
      <c r="G72" t="n">
        <v>4.6</v>
      </c>
      <c r="H72" t="n">
        <v>0</v>
      </c>
      <c r="I72" t="n">
        <v>0</v>
      </c>
      <c r="J72" t="n">
        <v>0</v>
      </c>
      <c r="K72" t="n">
        <v>0</v>
      </c>
      <c r="L72" t="n">
        <v>0</v>
      </c>
      <c r="M72" t="n">
        <v>0</v>
      </c>
      <c r="N72" t="n">
        <v>0</v>
      </c>
      <c r="O72" t="n">
        <v>0</v>
      </c>
      <c r="P72" t="n">
        <v>0</v>
      </c>
      <c r="Q72" t="n">
        <v>0</v>
      </c>
      <c r="R72" s="2" t="inlineStr"/>
    </row>
    <row r="73" ht="15" customHeight="1">
      <c r="A73" t="inlineStr">
        <is>
          <t>A 31575-2022</t>
        </is>
      </c>
      <c r="B73" s="1" t="n">
        <v>44775.45063657407</v>
      </c>
      <c r="C73" s="1" t="n">
        <v>46082</v>
      </c>
      <c r="D73" t="inlineStr">
        <is>
          <t>STOCKHOLMS LÄN</t>
        </is>
      </c>
      <c r="E73" t="inlineStr">
        <is>
          <t>ÖSTERÅKER</t>
        </is>
      </c>
      <c r="G73" t="n">
        <v>5</v>
      </c>
      <c r="H73" t="n">
        <v>0</v>
      </c>
      <c r="I73" t="n">
        <v>0</v>
      </c>
      <c r="J73" t="n">
        <v>0</v>
      </c>
      <c r="K73" t="n">
        <v>0</v>
      </c>
      <c r="L73" t="n">
        <v>0</v>
      </c>
      <c r="M73" t="n">
        <v>0</v>
      </c>
      <c r="N73" t="n">
        <v>0</v>
      </c>
      <c r="O73" t="n">
        <v>0</v>
      </c>
      <c r="P73" t="n">
        <v>0</v>
      </c>
      <c r="Q73" t="n">
        <v>0</v>
      </c>
      <c r="R73" s="2" t="inlineStr"/>
    </row>
    <row r="74" ht="15" customHeight="1">
      <c r="A74" t="inlineStr">
        <is>
          <t>A 52220-2025</t>
        </is>
      </c>
      <c r="B74" s="1" t="n">
        <v>45953</v>
      </c>
      <c r="C74" s="1" t="n">
        <v>46082</v>
      </c>
      <c r="D74" t="inlineStr">
        <is>
          <t>STOCKHOLMS LÄN</t>
        </is>
      </c>
      <c r="E74" t="inlineStr">
        <is>
          <t>ÖSTERÅKER</t>
        </is>
      </c>
      <c r="G74" t="n">
        <v>0.8</v>
      </c>
      <c r="H74" t="n">
        <v>0</v>
      </c>
      <c r="I74" t="n">
        <v>0</v>
      </c>
      <c r="J74" t="n">
        <v>0</v>
      </c>
      <c r="K74" t="n">
        <v>0</v>
      </c>
      <c r="L74" t="n">
        <v>0</v>
      </c>
      <c r="M74" t="n">
        <v>0</v>
      </c>
      <c r="N74" t="n">
        <v>0</v>
      </c>
      <c r="O74" t="n">
        <v>0</v>
      </c>
      <c r="P74" t="n">
        <v>0</v>
      </c>
      <c r="Q74" t="n">
        <v>0</v>
      </c>
      <c r="R74" s="2" t="inlineStr"/>
    </row>
    <row r="75" ht="15" customHeight="1">
      <c r="A75" t="inlineStr">
        <is>
          <t>A 33158-2024</t>
        </is>
      </c>
      <c r="B75" s="1" t="n">
        <v>45518</v>
      </c>
      <c r="C75" s="1" t="n">
        <v>46082</v>
      </c>
      <c r="D75" t="inlineStr">
        <is>
          <t>STOCKHOLMS LÄN</t>
        </is>
      </c>
      <c r="E75" t="inlineStr">
        <is>
          <t>ÖSTERÅKER</t>
        </is>
      </c>
      <c r="G75" t="n">
        <v>1.6</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46082</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61360-2022</t>
        </is>
      </c>
      <c r="B77" s="1" t="n">
        <v>44915</v>
      </c>
      <c r="C77" s="1" t="n">
        <v>46082</v>
      </c>
      <c r="D77" t="inlineStr">
        <is>
          <t>STOCKHOLMS LÄN</t>
        </is>
      </c>
      <c r="E77" t="inlineStr">
        <is>
          <t>ÖSTERÅKER</t>
        </is>
      </c>
      <c r="G77" t="n">
        <v>2.3</v>
      </c>
      <c r="H77" t="n">
        <v>0</v>
      </c>
      <c r="I77" t="n">
        <v>0</v>
      </c>
      <c r="J77" t="n">
        <v>0</v>
      </c>
      <c r="K77" t="n">
        <v>0</v>
      </c>
      <c r="L77" t="n">
        <v>0</v>
      </c>
      <c r="M77" t="n">
        <v>0</v>
      </c>
      <c r="N77" t="n">
        <v>0</v>
      </c>
      <c r="O77" t="n">
        <v>0</v>
      </c>
      <c r="P77" t="n">
        <v>0</v>
      </c>
      <c r="Q77" t="n">
        <v>0</v>
      </c>
      <c r="R77" s="2" t="inlineStr"/>
    </row>
    <row r="78" ht="15" customHeight="1">
      <c r="A78" t="inlineStr">
        <is>
          <t>A 62108-2022</t>
        </is>
      </c>
      <c r="B78" s="1" t="n">
        <v>44920</v>
      </c>
      <c r="C78" s="1" t="n">
        <v>46082</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6655-2023</t>
        </is>
      </c>
      <c r="B79" s="1" t="n">
        <v>44966.60668981481</v>
      </c>
      <c r="C79" s="1" t="n">
        <v>46082</v>
      </c>
      <c r="D79" t="inlineStr">
        <is>
          <t>STOCKHOLMS LÄN</t>
        </is>
      </c>
      <c r="E79" t="inlineStr">
        <is>
          <t>ÖSTERÅKER</t>
        </is>
      </c>
      <c r="G79" t="n">
        <v>0.8</v>
      </c>
      <c r="H79" t="n">
        <v>0</v>
      </c>
      <c r="I79" t="n">
        <v>0</v>
      </c>
      <c r="J79" t="n">
        <v>0</v>
      </c>
      <c r="K79" t="n">
        <v>0</v>
      </c>
      <c r="L79" t="n">
        <v>0</v>
      </c>
      <c r="M79" t="n">
        <v>0</v>
      </c>
      <c r="N79" t="n">
        <v>0</v>
      </c>
      <c r="O79" t="n">
        <v>0</v>
      </c>
      <c r="P79" t="n">
        <v>0</v>
      </c>
      <c r="Q79" t="n">
        <v>0</v>
      </c>
      <c r="R79" s="2" t="inlineStr"/>
    </row>
    <row r="80" ht="15" customHeight="1">
      <c r="A80" t="inlineStr">
        <is>
          <t>A 31134-2023</t>
        </is>
      </c>
      <c r="B80" s="1" t="n">
        <v>45113</v>
      </c>
      <c r="C80" s="1" t="n">
        <v>46082</v>
      </c>
      <c r="D80" t="inlineStr">
        <is>
          <t>STOCKHOLMS LÄN</t>
        </is>
      </c>
      <c r="E80" t="inlineStr">
        <is>
          <t>ÖSTERÅKER</t>
        </is>
      </c>
      <c r="G80" t="n">
        <v>2.1</v>
      </c>
      <c r="H80" t="n">
        <v>0</v>
      </c>
      <c r="I80" t="n">
        <v>0</v>
      </c>
      <c r="J80" t="n">
        <v>0</v>
      </c>
      <c r="K80" t="n">
        <v>0</v>
      </c>
      <c r="L80" t="n">
        <v>0</v>
      </c>
      <c r="M80" t="n">
        <v>0</v>
      </c>
      <c r="N80" t="n">
        <v>0</v>
      </c>
      <c r="O80" t="n">
        <v>0</v>
      </c>
      <c r="P80" t="n">
        <v>0</v>
      </c>
      <c r="Q80" t="n">
        <v>0</v>
      </c>
      <c r="R80" s="2" t="inlineStr"/>
    </row>
    <row r="81" ht="15" customHeight="1">
      <c r="A81" t="inlineStr">
        <is>
          <t>A 57048-2024</t>
        </is>
      </c>
      <c r="B81" s="1" t="n">
        <v>45629.33938657407</v>
      </c>
      <c r="C81" s="1" t="n">
        <v>46082</v>
      </c>
      <c r="D81" t="inlineStr">
        <is>
          <t>STOCKHOLMS LÄN</t>
        </is>
      </c>
      <c r="E81" t="inlineStr">
        <is>
          <t>ÖSTERÅKER</t>
        </is>
      </c>
      <c r="G81" t="n">
        <v>3</v>
      </c>
      <c r="H81" t="n">
        <v>0</v>
      </c>
      <c r="I81" t="n">
        <v>0</v>
      </c>
      <c r="J81" t="n">
        <v>0</v>
      </c>
      <c r="K81" t="n">
        <v>0</v>
      </c>
      <c r="L81" t="n">
        <v>0</v>
      </c>
      <c r="M81" t="n">
        <v>0</v>
      </c>
      <c r="N81" t="n">
        <v>0</v>
      </c>
      <c r="O81" t="n">
        <v>0</v>
      </c>
      <c r="P81" t="n">
        <v>0</v>
      </c>
      <c r="Q81" t="n">
        <v>0</v>
      </c>
      <c r="R81" s="2" t="inlineStr"/>
    </row>
    <row r="82" ht="15" customHeight="1">
      <c r="A82" t="inlineStr">
        <is>
          <t>A 57055-2024</t>
        </is>
      </c>
      <c r="B82" s="1" t="n">
        <v>45629.34627314815</v>
      </c>
      <c r="C82" s="1" t="n">
        <v>46082</v>
      </c>
      <c r="D82" t="inlineStr">
        <is>
          <t>STOCKHOLMS LÄN</t>
        </is>
      </c>
      <c r="E82" t="inlineStr">
        <is>
          <t>ÖSTERÅKER</t>
        </is>
      </c>
      <c r="G82" t="n">
        <v>0.5</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46082</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60482-2025</t>
        </is>
      </c>
      <c r="B84" s="1" t="n">
        <v>45995.59832175926</v>
      </c>
      <c r="C84" s="1" t="n">
        <v>46082</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3326-2022</t>
        </is>
      </c>
      <c r="B85" s="1" t="n">
        <v>44583</v>
      </c>
      <c r="C85" s="1" t="n">
        <v>46082</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9842-2025</t>
        </is>
      </c>
      <c r="B86" s="1" t="n">
        <v>45716</v>
      </c>
      <c r="C86" s="1" t="n">
        <v>46082</v>
      </c>
      <c r="D86" t="inlineStr">
        <is>
          <t>STOCKHOLMS LÄN</t>
        </is>
      </c>
      <c r="E86" t="inlineStr">
        <is>
          <t>ÖSTERÅKER</t>
        </is>
      </c>
      <c r="G86" t="n">
        <v>4.8</v>
      </c>
      <c r="H86" t="n">
        <v>0</v>
      </c>
      <c r="I86" t="n">
        <v>0</v>
      </c>
      <c r="J86" t="n">
        <v>0</v>
      </c>
      <c r="K86" t="n">
        <v>0</v>
      </c>
      <c r="L86" t="n">
        <v>0</v>
      </c>
      <c r="M86" t="n">
        <v>0</v>
      </c>
      <c r="N86" t="n">
        <v>0</v>
      </c>
      <c r="O86" t="n">
        <v>0</v>
      </c>
      <c r="P86" t="n">
        <v>0</v>
      </c>
      <c r="Q86" t="n">
        <v>0</v>
      </c>
      <c r="R86" s="2" t="inlineStr"/>
    </row>
    <row r="87" ht="15" customHeight="1">
      <c r="A87" t="inlineStr">
        <is>
          <t>A 56909-2024</t>
        </is>
      </c>
      <c r="B87" s="1" t="n">
        <v>45628.59060185185</v>
      </c>
      <c r="C87" s="1" t="n">
        <v>46082</v>
      </c>
      <c r="D87" t="inlineStr">
        <is>
          <t>STOCKHOLMS LÄN</t>
        </is>
      </c>
      <c r="E87" t="inlineStr">
        <is>
          <t>ÖSTERÅKER</t>
        </is>
      </c>
      <c r="G87" t="n">
        <v>1</v>
      </c>
      <c r="H87" t="n">
        <v>0</v>
      </c>
      <c r="I87" t="n">
        <v>0</v>
      </c>
      <c r="J87" t="n">
        <v>0</v>
      </c>
      <c r="K87" t="n">
        <v>0</v>
      </c>
      <c r="L87" t="n">
        <v>0</v>
      </c>
      <c r="M87" t="n">
        <v>0</v>
      </c>
      <c r="N87" t="n">
        <v>0</v>
      </c>
      <c r="O87" t="n">
        <v>0</v>
      </c>
      <c r="P87" t="n">
        <v>0</v>
      </c>
      <c r="Q87" t="n">
        <v>0</v>
      </c>
      <c r="R87" s="2" t="inlineStr"/>
    </row>
    <row r="88" ht="15" customHeight="1">
      <c r="A88" t="inlineStr">
        <is>
          <t>A 61781-2025</t>
        </is>
      </c>
      <c r="B88" s="1" t="n">
        <v>46002</v>
      </c>
      <c r="C88" s="1" t="n">
        <v>46082</v>
      </c>
      <c r="D88" t="inlineStr">
        <is>
          <t>STOCKHOLMS LÄN</t>
        </is>
      </c>
      <c r="E88" t="inlineStr">
        <is>
          <t>ÖSTERÅKER</t>
        </is>
      </c>
      <c r="G88" t="n">
        <v>4.9</v>
      </c>
      <c r="H88" t="n">
        <v>0</v>
      </c>
      <c r="I88" t="n">
        <v>0</v>
      </c>
      <c r="J88" t="n">
        <v>0</v>
      </c>
      <c r="K88" t="n">
        <v>0</v>
      </c>
      <c r="L88" t="n">
        <v>0</v>
      </c>
      <c r="M88" t="n">
        <v>0</v>
      </c>
      <c r="N88" t="n">
        <v>0</v>
      </c>
      <c r="O88" t="n">
        <v>0</v>
      </c>
      <c r="P88" t="n">
        <v>0</v>
      </c>
      <c r="Q88" t="n">
        <v>0</v>
      </c>
      <c r="R88" s="2" t="inlineStr"/>
    </row>
    <row r="89" ht="15" customHeight="1">
      <c r="A89" t="inlineStr">
        <is>
          <t>A 16738-2022</t>
        </is>
      </c>
      <c r="B89" s="1" t="n">
        <v>44673</v>
      </c>
      <c r="C89" s="1" t="n">
        <v>46082</v>
      </c>
      <c r="D89" t="inlineStr">
        <is>
          <t>STOCKHOLMS LÄN</t>
        </is>
      </c>
      <c r="E89" t="inlineStr">
        <is>
          <t>ÖSTERÅKER</t>
        </is>
      </c>
      <c r="G89" t="n">
        <v>1.1</v>
      </c>
      <c r="H89" t="n">
        <v>0</v>
      </c>
      <c r="I89" t="n">
        <v>0</v>
      </c>
      <c r="J89" t="n">
        <v>0</v>
      </c>
      <c r="K89" t="n">
        <v>0</v>
      </c>
      <c r="L89" t="n">
        <v>0</v>
      </c>
      <c r="M89" t="n">
        <v>0</v>
      </c>
      <c r="N89" t="n">
        <v>0</v>
      </c>
      <c r="O89" t="n">
        <v>0</v>
      </c>
      <c r="P89" t="n">
        <v>0</v>
      </c>
      <c r="Q89" t="n">
        <v>0</v>
      </c>
      <c r="R89" s="2" t="inlineStr"/>
    </row>
    <row r="90" ht="15" customHeight="1">
      <c r="A90" t="inlineStr">
        <is>
          <t>A 5038-2026</t>
        </is>
      </c>
      <c r="B90" s="1" t="n">
        <v>46049.46427083333</v>
      </c>
      <c r="C90" s="1" t="n">
        <v>46082</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46082</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62831-2025</t>
        </is>
      </c>
      <c r="B92" s="1" t="n">
        <v>46008</v>
      </c>
      <c r="C92" s="1" t="n">
        <v>46082</v>
      </c>
      <c r="D92" t="inlineStr">
        <is>
          <t>STOCKHOLMS LÄN</t>
        </is>
      </c>
      <c r="E92" t="inlineStr">
        <is>
          <t>ÖSTERÅKER</t>
        </is>
      </c>
      <c r="G92" t="n">
        <v>1.2</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46082</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62839-2025</t>
        </is>
      </c>
      <c r="B94" s="1" t="n">
        <v>46008</v>
      </c>
      <c r="C94" s="1" t="n">
        <v>46082</v>
      </c>
      <c r="D94" t="inlineStr">
        <is>
          <t>STOCKHOLMS LÄN</t>
        </is>
      </c>
      <c r="E94" t="inlineStr">
        <is>
          <t>ÖSTERÅKER</t>
        </is>
      </c>
      <c r="G94" t="n">
        <v>1.4</v>
      </c>
      <c r="H94" t="n">
        <v>0</v>
      </c>
      <c r="I94" t="n">
        <v>0</v>
      </c>
      <c r="J94" t="n">
        <v>0</v>
      </c>
      <c r="K94" t="n">
        <v>0</v>
      </c>
      <c r="L94" t="n">
        <v>0</v>
      </c>
      <c r="M94" t="n">
        <v>0</v>
      </c>
      <c r="N94" t="n">
        <v>0</v>
      </c>
      <c r="O94" t="n">
        <v>0</v>
      </c>
      <c r="P94" t="n">
        <v>0</v>
      </c>
      <c r="Q94" t="n">
        <v>0</v>
      </c>
      <c r="R94" s="2" t="inlineStr"/>
    </row>
    <row r="95" ht="15" customHeight="1">
      <c r="A95" t="inlineStr">
        <is>
          <t>A 16728-2022</t>
        </is>
      </c>
      <c r="B95" s="1" t="n">
        <v>44673</v>
      </c>
      <c r="C95" s="1" t="n">
        <v>46082</v>
      </c>
      <c r="D95" t="inlineStr">
        <is>
          <t>STOCKHOLMS LÄN</t>
        </is>
      </c>
      <c r="E95" t="inlineStr">
        <is>
          <t>ÖSTERÅKER</t>
        </is>
      </c>
      <c r="G95" t="n">
        <v>0.9</v>
      </c>
      <c r="H95" t="n">
        <v>0</v>
      </c>
      <c r="I95" t="n">
        <v>0</v>
      </c>
      <c r="J95" t="n">
        <v>0</v>
      </c>
      <c r="K95" t="n">
        <v>0</v>
      </c>
      <c r="L95" t="n">
        <v>0</v>
      </c>
      <c r="M95" t="n">
        <v>0</v>
      </c>
      <c r="N95" t="n">
        <v>0</v>
      </c>
      <c r="O95" t="n">
        <v>0</v>
      </c>
      <c r="P95" t="n">
        <v>0</v>
      </c>
      <c r="Q95" t="n">
        <v>0</v>
      </c>
      <c r="R95" s="2" t="inlineStr"/>
    </row>
    <row r="96" ht="15" customHeight="1">
      <c r="A96" t="inlineStr">
        <is>
          <t>A 14776-2024</t>
        </is>
      </c>
      <c r="B96" s="1" t="n">
        <v>45397</v>
      </c>
      <c r="C96" s="1" t="n">
        <v>46082</v>
      </c>
      <c r="D96" t="inlineStr">
        <is>
          <t>STOCKHOLMS LÄN</t>
        </is>
      </c>
      <c r="E96" t="inlineStr">
        <is>
          <t>ÖSTERÅKER</t>
        </is>
      </c>
      <c r="G96" t="n">
        <v>13.6</v>
      </c>
      <c r="H96" t="n">
        <v>0</v>
      </c>
      <c r="I96" t="n">
        <v>0</v>
      </c>
      <c r="J96" t="n">
        <v>0</v>
      </c>
      <c r="K96" t="n">
        <v>0</v>
      </c>
      <c r="L96" t="n">
        <v>0</v>
      </c>
      <c r="M96" t="n">
        <v>0</v>
      </c>
      <c r="N96" t="n">
        <v>0</v>
      </c>
      <c r="O96" t="n">
        <v>0</v>
      </c>
      <c r="P96" t="n">
        <v>0</v>
      </c>
      <c r="Q96" t="n">
        <v>0</v>
      </c>
      <c r="R96" s="2" t="inlineStr"/>
    </row>
    <row r="97" ht="15" customHeight="1">
      <c r="A97" t="inlineStr">
        <is>
          <t>A 61370-2022</t>
        </is>
      </c>
      <c r="B97" s="1" t="n">
        <v>44915</v>
      </c>
      <c r="C97" s="1" t="n">
        <v>46082</v>
      </c>
      <c r="D97" t="inlineStr">
        <is>
          <t>STOCKHOLMS LÄN</t>
        </is>
      </c>
      <c r="E97" t="inlineStr">
        <is>
          <t>ÖSTERÅKER</t>
        </is>
      </c>
      <c r="G97" t="n">
        <v>3.2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46082</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3828-2023</t>
        </is>
      </c>
      <c r="B99" s="1" t="n">
        <v>44951</v>
      </c>
      <c r="C99" s="1" t="n">
        <v>46082</v>
      </c>
      <c r="D99" t="inlineStr">
        <is>
          <t>STOCKHOLMS LÄN</t>
        </is>
      </c>
      <c r="E99" t="inlineStr">
        <is>
          <t>ÖSTERÅKER</t>
        </is>
      </c>
      <c r="F99" t="inlineStr">
        <is>
          <t>Kommuner</t>
        </is>
      </c>
      <c r="G99" t="n">
        <v>3.2</v>
      </c>
      <c r="H99" t="n">
        <v>0</v>
      </c>
      <c r="I99" t="n">
        <v>0</v>
      </c>
      <c r="J99" t="n">
        <v>0</v>
      </c>
      <c r="K99" t="n">
        <v>0</v>
      </c>
      <c r="L99" t="n">
        <v>0</v>
      </c>
      <c r="M99" t="n">
        <v>0</v>
      </c>
      <c r="N99" t="n">
        <v>0</v>
      </c>
      <c r="O99" t="n">
        <v>0</v>
      </c>
      <c r="P99" t="n">
        <v>0</v>
      </c>
      <c r="Q99" t="n">
        <v>0</v>
      </c>
      <c r="R99" s="2" t="inlineStr"/>
    </row>
    <row r="100" ht="15" customHeight="1">
      <c r="A100" t="inlineStr">
        <is>
          <t>A 24499-2023</t>
        </is>
      </c>
      <c r="B100" s="1" t="n">
        <v>45082</v>
      </c>
      <c r="C100" s="1" t="n">
        <v>46082</v>
      </c>
      <c r="D100" t="inlineStr">
        <is>
          <t>STOCKHOLMS LÄN</t>
        </is>
      </c>
      <c r="E100" t="inlineStr">
        <is>
          <t>ÖSTERÅKER</t>
        </is>
      </c>
      <c r="G100" t="n">
        <v>0.1</v>
      </c>
      <c r="H100" t="n">
        <v>0</v>
      </c>
      <c r="I100" t="n">
        <v>0</v>
      </c>
      <c r="J100" t="n">
        <v>0</v>
      </c>
      <c r="K100" t="n">
        <v>0</v>
      </c>
      <c r="L100" t="n">
        <v>0</v>
      </c>
      <c r="M100" t="n">
        <v>0</v>
      </c>
      <c r="N100" t="n">
        <v>0</v>
      </c>
      <c r="O100" t="n">
        <v>0</v>
      </c>
      <c r="P100" t="n">
        <v>0</v>
      </c>
      <c r="Q100" t="n">
        <v>0</v>
      </c>
      <c r="R100" s="2" t="inlineStr"/>
    </row>
    <row r="101" ht="15" customHeight="1">
      <c r="A101" t="inlineStr">
        <is>
          <t>A 17196-2022</t>
        </is>
      </c>
      <c r="B101" s="1" t="n">
        <v>44677</v>
      </c>
      <c r="C101" s="1" t="n">
        <v>46082</v>
      </c>
      <c r="D101" t="inlineStr">
        <is>
          <t>STOCKHOLMS LÄN</t>
        </is>
      </c>
      <c r="E101" t="inlineStr">
        <is>
          <t>ÖSTERÅKER</t>
        </is>
      </c>
      <c r="G101" t="n">
        <v>5.9</v>
      </c>
      <c r="H101" t="n">
        <v>0</v>
      </c>
      <c r="I101" t="n">
        <v>0</v>
      </c>
      <c r="J101" t="n">
        <v>0</v>
      </c>
      <c r="K101" t="n">
        <v>0</v>
      </c>
      <c r="L101" t="n">
        <v>0</v>
      </c>
      <c r="M101" t="n">
        <v>0</v>
      </c>
      <c r="N101" t="n">
        <v>0</v>
      </c>
      <c r="O101" t="n">
        <v>0</v>
      </c>
      <c r="P101" t="n">
        <v>0</v>
      </c>
      <c r="Q101" t="n">
        <v>0</v>
      </c>
      <c r="R101" s="2" t="inlineStr"/>
    </row>
    <row r="102" ht="15" customHeight="1">
      <c r="A102" t="inlineStr">
        <is>
          <t>A 1603-2023</t>
        </is>
      </c>
      <c r="B102" s="1" t="n">
        <v>44937.68086805556</v>
      </c>
      <c r="C102" s="1" t="n">
        <v>46082</v>
      </c>
      <c r="D102" t="inlineStr">
        <is>
          <t>STOCKHOLMS LÄN</t>
        </is>
      </c>
      <c r="E102" t="inlineStr">
        <is>
          <t>ÖSTERÅKER</t>
        </is>
      </c>
      <c r="G102" t="n">
        <v>1.7</v>
      </c>
      <c r="H102" t="n">
        <v>0</v>
      </c>
      <c r="I102" t="n">
        <v>0</v>
      </c>
      <c r="J102" t="n">
        <v>0</v>
      </c>
      <c r="K102" t="n">
        <v>0</v>
      </c>
      <c r="L102" t="n">
        <v>0</v>
      </c>
      <c r="M102" t="n">
        <v>0</v>
      </c>
      <c r="N102" t="n">
        <v>0</v>
      </c>
      <c r="O102" t="n">
        <v>0</v>
      </c>
      <c r="P102" t="n">
        <v>0</v>
      </c>
      <c r="Q102" t="n">
        <v>0</v>
      </c>
      <c r="R102" s="2" t="inlineStr"/>
    </row>
    <row r="103" ht="15" customHeight="1">
      <c r="A103" t="inlineStr">
        <is>
          <t>A 1605-2023</t>
        </is>
      </c>
      <c r="B103" s="1" t="n">
        <v>44937.68299768519</v>
      </c>
      <c r="C103" s="1" t="n">
        <v>46082</v>
      </c>
      <c r="D103" t="inlineStr">
        <is>
          <t>STOCKHOLMS LÄN</t>
        </is>
      </c>
      <c r="E103" t="inlineStr">
        <is>
          <t>ÖSTERÅKER</t>
        </is>
      </c>
      <c r="G103" t="n">
        <v>2.9</v>
      </c>
      <c r="H103" t="n">
        <v>0</v>
      </c>
      <c r="I103" t="n">
        <v>0</v>
      </c>
      <c r="J103" t="n">
        <v>0</v>
      </c>
      <c r="K103" t="n">
        <v>0</v>
      </c>
      <c r="L103" t="n">
        <v>0</v>
      </c>
      <c r="M103" t="n">
        <v>0</v>
      </c>
      <c r="N103" t="n">
        <v>0</v>
      </c>
      <c r="O103" t="n">
        <v>0</v>
      </c>
      <c r="P103" t="n">
        <v>0</v>
      </c>
      <c r="Q103" t="n">
        <v>0</v>
      </c>
      <c r="R103" s="2" t="inlineStr"/>
    </row>
    <row r="104" ht="15" customHeight="1">
      <c r="A104" t="inlineStr">
        <is>
          <t>A 67265-2021</t>
        </is>
      </c>
      <c r="B104" s="1" t="n">
        <v>44523.59277777778</v>
      </c>
      <c r="C104" s="1" t="n">
        <v>46082</v>
      </c>
      <c r="D104" t="inlineStr">
        <is>
          <t>STOCKHOLMS LÄN</t>
        </is>
      </c>
      <c r="E104" t="inlineStr">
        <is>
          <t>ÖSTERÅKER</t>
        </is>
      </c>
      <c r="F104" t="inlineStr">
        <is>
          <t>Kommuner</t>
        </is>
      </c>
      <c r="G104" t="n">
        <v>2.6</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46082</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45043.6433912037</v>
      </c>
      <c r="C106" s="1" t="n">
        <v>46082</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1136-2023</t>
        </is>
      </c>
      <c r="B107" s="1" t="n">
        <v>44935</v>
      </c>
      <c r="C107" s="1" t="n">
        <v>46082</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46082</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30949-2024</t>
        </is>
      </c>
      <c r="B109" s="1" t="n">
        <v>45499</v>
      </c>
      <c r="C109" s="1" t="n">
        <v>46082</v>
      </c>
      <c r="D109" t="inlineStr">
        <is>
          <t>STOCKHOLMS LÄN</t>
        </is>
      </c>
      <c r="E109" t="inlineStr">
        <is>
          <t>ÖSTERÅKER</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845-2024</t>
        </is>
      </c>
      <c r="B110" s="1" t="n">
        <v>45300.91423611111</v>
      </c>
      <c r="C110" s="1" t="n">
        <v>46082</v>
      </c>
      <c r="D110" t="inlineStr">
        <is>
          <t>STOCKHOLMS LÄN</t>
        </is>
      </c>
      <c r="E110" t="inlineStr">
        <is>
          <t>ÖSTERÅKER</t>
        </is>
      </c>
      <c r="G110" t="n">
        <v>10.1</v>
      </c>
      <c r="H110" t="n">
        <v>0</v>
      </c>
      <c r="I110" t="n">
        <v>0</v>
      </c>
      <c r="J110" t="n">
        <v>0</v>
      </c>
      <c r="K110" t="n">
        <v>0</v>
      </c>
      <c r="L110" t="n">
        <v>0</v>
      </c>
      <c r="M110" t="n">
        <v>0</v>
      </c>
      <c r="N110" t="n">
        <v>0</v>
      </c>
      <c r="O110" t="n">
        <v>0</v>
      </c>
      <c r="P110" t="n">
        <v>0</v>
      </c>
      <c r="Q110" t="n">
        <v>0</v>
      </c>
      <c r="R110" s="2" t="inlineStr"/>
    </row>
    <row r="111" ht="15" customHeight="1">
      <c r="A111" t="inlineStr">
        <is>
          <t>A 37037-2023</t>
        </is>
      </c>
      <c r="B111" s="1" t="n">
        <v>45155</v>
      </c>
      <c r="C111" s="1" t="n">
        <v>46082</v>
      </c>
      <c r="D111" t="inlineStr">
        <is>
          <t>STOCKHOLMS LÄN</t>
        </is>
      </c>
      <c r="E111" t="inlineStr">
        <is>
          <t>ÖSTERÅKER</t>
        </is>
      </c>
      <c r="G111" t="n">
        <v>2</v>
      </c>
      <c r="H111" t="n">
        <v>0</v>
      </c>
      <c r="I111" t="n">
        <v>0</v>
      </c>
      <c r="J111" t="n">
        <v>0</v>
      </c>
      <c r="K111" t="n">
        <v>0</v>
      </c>
      <c r="L111" t="n">
        <v>0</v>
      </c>
      <c r="M111" t="n">
        <v>0</v>
      </c>
      <c r="N111" t="n">
        <v>0</v>
      </c>
      <c r="O111" t="n">
        <v>0</v>
      </c>
      <c r="P111" t="n">
        <v>0</v>
      </c>
      <c r="Q111" t="n">
        <v>0</v>
      </c>
      <c r="R111" s="2" t="inlineStr"/>
    </row>
    <row r="112" ht="15" customHeight="1">
      <c r="A112" t="inlineStr">
        <is>
          <t>A 19404-2024</t>
        </is>
      </c>
      <c r="B112" s="1" t="n">
        <v>45428</v>
      </c>
      <c r="C112" s="1" t="n">
        <v>46082</v>
      </c>
      <c r="D112" t="inlineStr">
        <is>
          <t>STOCKHOLMS LÄN</t>
        </is>
      </c>
      <c r="E112" t="inlineStr">
        <is>
          <t>ÖSTERÅKER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46082</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21786-2025</t>
        </is>
      </c>
      <c r="B114" s="1" t="n">
        <v>45783.67215277778</v>
      </c>
      <c r="C114" s="1" t="n">
        <v>46082</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row r="115">
      <c r="A115" t="inlineStr">
        <is>
          <t>A 21796-2025</t>
        </is>
      </c>
      <c r="B115" s="1" t="n">
        <v>45783.68135416666</v>
      </c>
      <c r="C115" s="1" t="n">
        <v>46082</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2026-03-01T11:08:08Z</dcterms:created>
  <dcterms:modified xmlns:dcterms="http://purl.org/dc/terms/" xmlns:xsi="http://www.w3.org/2001/XMLSchema-instance" xsi:type="dcterms:W3CDTF">2026-03-01T11:08:08Z</dcterms:modified>
</cp:coreProperties>
</file>