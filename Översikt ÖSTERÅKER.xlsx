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46302</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46302</v>
      </c>
      <c r="F3" t="inlineStr">
        <is>
          <t>STOCKHOLMS LÄN</t>
        </is>
      </c>
      <c r="G3" t="inlineStr">
        <is>
          <t>ÖSTERÅKER</t>
        </is>
      </c>
      <c r="I3" t="n">
        <v>5.7</v>
      </c>
      <c r="J3" t="n">
        <v>5</v>
      </c>
      <c r="K3" t="n">
        <v>4</v>
      </c>
      <c r="L3" t="n">
        <v>5</v>
      </c>
      <c r="M3" t="n">
        <v>1</v>
      </c>
      <c r="N3" t="n">
        <v>0</v>
      </c>
      <c r="O3" t="n">
        <v>0</v>
      </c>
      <c r="P3" t="n">
        <v>0</v>
      </c>
      <c r="Q3" t="n">
        <v>6</v>
      </c>
      <c r="R3" t="n">
        <v>1</v>
      </c>
      <c r="S3" t="n">
        <v>14</v>
      </c>
      <c r="T3" t="n">
        <v>17</v>
      </c>
      <c r="U3" t="n">
        <v>9</v>
      </c>
      <c r="V3" s="2" t="inlineStr">
        <is>
          <t>Garnlav
Sårläka
Tallticka
Talltita
Ullticka
Älg
Björksplintborre
Mörk husmossa
Thomsons trägnagare
Tibast
Blåsippa
Spillkråka
Sångsvan
Nattviol</t>
        </is>
      </c>
      <c r="W3">
        <f>HYPERLINK("https://klasma.github.io/Logging_0117/artfynd/A 31459-2025 artfynd.xlsx", "A 31459-2025")</f>
        <v/>
      </c>
      <c r="X3">
        <f>HYPERLINK("https://klasma.github.io/Logging_0117/kartor/A 31459-2025 karta.png", "A 31459-2025")</f>
        <v/>
      </c>
      <c r="Y3">
        <f>HYPERLINK("https://klasma.github.io/Logging_0117/kartor_geotiff/A 31459-2025 georefererad karta.tif", "A 31459-2025")</f>
        <v/>
      </c>
      <c r="AA3">
        <f>HYPERLINK("https://klasma.github.io/Logging_0117/klagomål/A 31459-2025 FSC-klagomål.docx", "A 31459-2025")</f>
        <v/>
      </c>
      <c r="AB3">
        <f>HYPERLINK("https://klasma.github.io/Logging_0117/klagomålsmail/A 31459-2025 FSC-klagomål mail.docx", "A 31459-2025")</f>
        <v/>
      </c>
      <c r="AC3">
        <f>HYPERLINK("https://klasma.github.io/Logging_0117/tillsyn/A 31459-2025 tillsynsbegäran.docx", "A 31459-2025")</f>
        <v/>
      </c>
      <c r="AD3">
        <f>HYPERLINK("https://klasma.github.io/Logging_0117/tillsynsmail/A 31459-2025 tillsynsbegäran mail.docx", "A 31459-2025")</f>
        <v/>
      </c>
      <c r="AE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46302</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t="n">
        <v>61</v>
      </c>
      <c r="V4" s="2" t="inlineStr">
        <is>
          <t>Grönfink
Stare
Brunlångöra
Grönsångare
Nordfladdermus
Tallticka
Tofsmes
Dvärgpipistrell
Grönsiska
Kråka
Kungsfågel
Större brunfladdermus
Svartvit flugsnappare
Trädlärka</t>
        </is>
      </c>
      <c r="W4">
        <f>HYPERLINK("https://klasma.github.io/Logging_0117/artfynd/A 3919-2023 artfynd.xlsx", "A 3919-2023")</f>
        <v/>
      </c>
      <c r="X4">
        <f>HYPERLINK("https://klasma.github.io/Logging_0117/kartor/A 3919-2023 karta.png", "A 3919-2023")</f>
        <v/>
      </c>
      <c r="Y4">
        <f>HYPERLINK("https://klasma.github.io/Logging_0117/kartor_geotiff/A 3919-2023 georefererad karta.tif", "A 3919-2023")</f>
        <v/>
      </c>
      <c r="AA4">
        <f>HYPERLINK("https://klasma.github.io/Logging_0117/klagomål/A 3919-2023 FSC-klagomål.docx", "A 3919-2023")</f>
        <v/>
      </c>
      <c r="AB4">
        <f>HYPERLINK("https://klasma.github.io/Logging_0117/klagomålsmail/A 3919-2023 FSC-klagomål mail.docx", "A 3919-2023")</f>
        <v/>
      </c>
      <c r="AC4">
        <f>HYPERLINK("https://klasma.github.io/Logging_0117/tillsyn/A 3919-2023 tillsynsbegäran.docx", "A 3919-2023")</f>
        <v/>
      </c>
      <c r="AD4">
        <f>HYPERLINK("https://klasma.github.io/Logging_0117/tillsynsmail/A 3919-2023 tillsynsbegäran mail.docx", "A 3919-2023")</f>
        <v/>
      </c>
      <c r="AE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46302</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46302</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46302</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A 22172-2022</t>
        </is>
      </c>
      <c r="B8" t="inlineStr">
        <is>
          <t>avverkningsanmälan</t>
        </is>
      </c>
      <c r="C8" t="inlineStr">
        <is>
          <t>Avverkning för annat ändamål</t>
        </is>
      </c>
      <c r="D8" s="1" t="n">
        <v>44712</v>
      </c>
      <c r="E8" s="1" t="n">
        <v>46302</v>
      </c>
      <c r="F8" t="inlineStr">
        <is>
          <t>STOCKHOLMS LÄN</t>
        </is>
      </c>
      <c r="G8" t="inlineStr">
        <is>
          <t>ÖSTERÅKER</t>
        </is>
      </c>
      <c r="I8" t="n">
        <v>3.7</v>
      </c>
      <c r="J8" t="n">
        <v>5</v>
      </c>
      <c r="K8" t="n">
        <v>0</v>
      </c>
      <c r="L8" t="n">
        <v>3</v>
      </c>
      <c r="M8" t="n">
        <v>0</v>
      </c>
      <c r="N8" t="n">
        <v>0</v>
      </c>
      <c r="O8" t="n">
        <v>0</v>
      </c>
      <c r="P8" t="n">
        <v>0</v>
      </c>
      <c r="Q8" t="n">
        <v>3</v>
      </c>
      <c r="R8" t="n">
        <v>0</v>
      </c>
      <c r="S8" t="n">
        <v>6</v>
      </c>
      <c r="T8" t="n">
        <v>76</v>
      </c>
      <c r="U8" t="n">
        <v>76</v>
      </c>
      <c r="V8" s="2" t="inlineStr">
        <is>
          <t>Brunlångöra
Gullpudra
Nordfladdermus
Dvärgpipistrell
Större brunfladdermus
Vattenfladdermus</t>
        </is>
      </c>
      <c r="W8">
        <f>HYPERLINK("https://klasma.github.io/Logging_0117/artfynd/A 22172-2022 artfynd.xlsx", "A 22172-2022")</f>
        <v/>
      </c>
      <c r="X8">
        <f>HYPERLINK("https://klasma.github.io/Logging_0117/kartor/A 22172-2022 karta.png", "A 22172-2022")</f>
        <v/>
      </c>
      <c r="Y8">
        <f>HYPERLINK("https://klasma.github.io/Logging_0117/kartor_geotiff/A 22172-2022 georefererad karta.tif", "A 22172-2022")</f>
        <v/>
      </c>
      <c r="AA8">
        <f>HYPERLINK("https://klasma.github.io/Logging_0117/klagomål/A 22172-2022 FSC-klagomål.docx", "A 22172-2022")</f>
        <v/>
      </c>
      <c r="AB8">
        <f>HYPERLINK("https://klasma.github.io/Logging_0117/klagomålsmail/A 22172-2022 FSC-klagomål mail.docx", "A 22172-2022")</f>
        <v/>
      </c>
      <c r="AC8">
        <f>HYPERLINK("https://klasma.github.io/Logging_0117/tillsyn/A 22172-2022 tillsynsbegäran.docx", "A 22172-2022")</f>
        <v/>
      </c>
      <c r="AD8">
        <f>HYPERLINK("https://klasma.github.io/Logging_0117/tillsynsmail/A 22172-2022 tillsynsbegäran mail.docx", "A 22172-2022")</f>
        <v/>
      </c>
    </row>
    <row r="9" ht="15" customHeight="1">
      <c r="A9" t="inlineStr">
        <is>
          <t>A 39926-2026</t>
        </is>
      </c>
      <c r="B9" t="inlineStr">
        <is>
          <t>avverkningsanmälan</t>
        </is>
      </c>
      <c r="C9" t="inlineStr">
        <is>
          <t>Föryngringsavverkning</t>
        </is>
      </c>
      <c r="D9" s="1" t="n">
        <v>46290</v>
      </c>
      <c r="E9" s="1" t="n">
        <v>46302</v>
      </c>
      <c r="F9" t="inlineStr">
        <is>
          <t>STOCKHOLMS LÄN</t>
        </is>
      </c>
      <c r="G9" t="inlineStr">
        <is>
          <t>ÖSTERÅKER</t>
        </is>
      </c>
      <c r="H9" t="inlineStr">
        <is>
          <t>Övriga Aktiebolag</t>
        </is>
      </c>
      <c r="I9" t="n">
        <v>9.5</v>
      </c>
      <c r="J9" t="n">
        <v>3</v>
      </c>
      <c r="K9" t="n">
        <v>3</v>
      </c>
      <c r="L9" t="n">
        <v>1</v>
      </c>
      <c r="M9" t="n">
        <v>0</v>
      </c>
      <c r="N9" t="n">
        <v>0</v>
      </c>
      <c r="O9" t="n">
        <v>0</v>
      </c>
      <c r="P9" t="n">
        <v>0</v>
      </c>
      <c r="Q9" t="n">
        <v>1</v>
      </c>
      <c r="R9" t="n">
        <v>0</v>
      </c>
      <c r="S9" t="n">
        <v>6</v>
      </c>
      <c r="T9" t="n">
        <v>10</v>
      </c>
      <c r="U9" t="n">
        <v>0</v>
      </c>
      <c r="V9" s="2" t="inlineStr">
        <is>
          <t>Fjällig taggsvamp s.str.
Nästlav
Skogsbräsma
Skogsknipprot
Kungsfågel
Äkta lopplummer</t>
        </is>
      </c>
      <c r="W9">
        <f>HYPERLINK("https://klasma.github.io/Logging_0117/artfynd/A 39926-2026 artfynd.xlsx", "A 39926-2026")</f>
        <v/>
      </c>
      <c r="X9">
        <f>HYPERLINK("https://klasma.github.io/Logging_0117/kartor/A 39926-2026 karta.png", "A 39926-2026")</f>
        <v/>
      </c>
      <c r="Y9">
        <f>HYPERLINK("https://klasma.github.io/Logging_0117/kartor_geotiff/A 39926-2026 georefererad karta.tif", "A 39926-2026")</f>
        <v/>
      </c>
      <c r="AA9">
        <f>HYPERLINK("https://klasma.github.io/Logging_0117/klagomål/A 39926-2026 FSC-klagomål.docx", "A 39926-2026")</f>
        <v/>
      </c>
      <c r="AB9">
        <f>HYPERLINK("https://klasma.github.io/Logging_0117/klagomålsmail/A 39926-2026 FSC-klagomål mail.docx", "A 39926-2026")</f>
        <v/>
      </c>
      <c r="AC9">
        <f>HYPERLINK("https://klasma.github.io/Logging_0117/tillsyn/A 39926-2026 tillsynsbegäran.docx", "A 39926-2026")</f>
        <v/>
      </c>
      <c r="AD9">
        <f>HYPERLINK("https://klasma.github.io/Logging_0117/tillsynsmail/A 39926-2026 tillsynsbegäran mail.docx", "A 39926-2026")</f>
        <v/>
      </c>
    </row>
    <row r="10" ht="15" customHeight="1">
      <c r="A10" t="inlineStr">
        <is>
          <t>A 3914-2023</t>
        </is>
      </c>
      <c r="B10" t="inlineStr">
        <is>
          <t>avverkningsanmälan</t>
        </is>
      </c>
      <c r="C10" t="inlineStr">
        <is>
          <t>Föryngringsavverkning</t>
        </is>
      </c>
      <c r="D10" s="1" t="n">
        <v>44952</v>
      </c>
      <c r="E10" s="1" t="n">
        <v>46302</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46302</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46302</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46302</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62578-2025</t>
        </is>
      </c>
      <c r="B14" t="inlineStr">
        <is>
          <t>avverkningsanmälan</t>
        </is>
      </c>
      <c r="C14" t="inlineStr">
        <is>
          <t>Föryngringsavverkning</t>
        </is>
      </c>
      <c r="D14" s="1" t="n">
        <v>46007</v>
      </c>
      <c r="E14" s="1" t="n">
        <v>46302</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12620-2022</t>
        </is>
      </c>
      <c r="B15" t="inlineStr">
        <is>
          <t>avverkningsanmälan</t>
        </is>
      </c>
      <c r="C15" t="inlineStr">
        <is>
          <t>Föryngringsavverkning</t>
        </is>
      </c>
      <c r="D15" s="1" t="n">
        <v>44638</v>
      </c>
      <c r="E15" s="1" t="n">
        <v>46302</v>
      </c>
      <c r="F15" t="inlineStr">
        <is>
          <t>STOCKHOLMS LÄN</t>
        </is>
      </c>
      <c r="G15" t="inlineStr">
        <is>
          <t>ÖSTERÅKER</t>
        </is>
      </c>
      <c r="I15" t="n">
        <v>9.4</v>
      </c>
      <c r="J15" t="n">
        <v>1</v>
      </c>
      <c r="K15" t="n">
        <v>1</v>
      </c>
      <c r="L15" t="n">
        <v>0</v>
      </c>
      <c r="M15" t="n">
        <v>1</v>
      </c>
      <c r="N15" t="n">
        <v>0</v>
      </c>
      <c r="O15" t="n">
        <v>0</v>
      </c>
      <c r="P15" t="n">
        <v>0</v>
      </c>
      <c r="Q15" t="n">
        <v>1</v>
      </c>
      <c r="R15" t="n">
        <v>1</v>
      </c>
      <c r="S15" t="n">
        <v>3</v>
      </c>
      <c r="T15" t="n">
        <v>3</v>
      </c>
      <c r="U15" t="n">
        <v>3</v>
      </c>
      <c r="V15" s="2" t="inlineStr">
        <is>
          <t>Taggfingersvamp
Fällmossa
Blåsippa</t>
        </is>
      </c>
      <c r="W15">
        <f>HYPERLINK("https://klasma.github.io/Logging_0117/artfynd/A 12620-2022 artfynd.xlsx", "A 12620-2022")</f>
        <v/>
      </c>
      <c r="X15">
        <f>HYPERLINK("https://klasma.github.io/Logging_0117/kartor/A 12620-2022 karta.png", "A 12620-2022")</f>
        <v/>
      </c>
      <c r="Y15">
        <f>HYPERLINK("https://klasma.github.io/Logging_0117/kartor_geotiff/A 12620-2022 georefererad karta.tif", "A 12620-2022")</f>
        <v/>
      </c>
      <c r="AA15">
        <f>HYPERLINK("https://klasma.github.io/Logging_0117/klagomål/A 12620-2022 FSC-klagomål.docx", "A 12620-2022")</f>
        <v/>
      </c>
      <c r="AB15">
        <f>HYPERLINK("https://klasma.github.io/Logging_0117/klagomålsmail/A 12620-2022 FSC-klagomål mail.docx", "A 12620-2022")</f>
        <v/>
      </c>
      <c r="AC15">
        <f>HYPERLINK("https://klasma.github.io/Logging_0117/tillsyn/A 12620-2022 tillsynsbegäran.docx", "A 12620-2022")</f>
        <v/>
      </c>
      <c r="AD15">
        <f>HYPERLINK("https://klasma.github.io/Logging_0117/tillsynsmail/A 12620-2022 tillsynsbegäran mail.docx", "A 12620-2022")</f>
        <v/>
      </c>
    </row>
    <row r="16" ht="15" customHeight="1">
      <c r="A16" t="inlineStr">
        <is>
          <t>A 61363-2022</t>
        </is>
      </c>
      <c r="B16" t="inlineStr">
        <is>
          <t>avverkningsanmälan</t>
        </is>
      </c>
      <c r="C16" t="inlineStr">
        <is>
          <t>Föryngringsavverkning</t>
        </is>
      </c>
      <c r="D16" s="1" t="n">
        <v>44915</v>
      </c>
      <c r="E16" s="1" t="n">
        <v>46302</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54703-2024</t>
        </is>
      </c>
      <c r="B17" t="inlineStr">
        <is>
          <t>avverkningsanmälan</t>
        </is>
      </c>
      <c r="C17" t="inlineStr">
        <is>
          <t>Avverkning för annat ändamål</t>
        </is>
      </c>
      <c r="D17" s="1" t="n">
        <v>45618</v>
      </c>
      <c r="E17" s="1" t="n">
        <v>46302</v>
      </c>
      <c r="F17" t="inlineStr">
        <is>
          <t>STOCKHOLMS LÄN</t>
        </is>
      </c>
      <c r="G17" t="inlineStr">
        <is>
          <t>ÖSTERÅKER</t>
        </is>
      </c>
      <c r="I17" t="n">
        <v>7.7</v>
      </c>
      <c r="J17" t="n">
        <v>2</v>
      </c>
      <c r="K17" t="n">
        <v>0</v>
      </c>
      <c r="L17" t="n">
        <v>1</v>
      </c>
      <c r="M17" t="n">
        <v>0</v>
      </c>
      <c r="N17" t="n">
        <v>0</v>
      </c>
      <c r="O17" t="n">
        <v>0</v>
      </c>
      <c r="P17" t="n">
        <v>0</v>
      </c>
      <c r="Q17" t="n">
        <v>1</v>
      </c>
      <c r="R17" t="n">
        <v>0</v>
      </c>
      <c r="S17" t="n">
        <v>3</v>
      </c>
      <c r="T17" t="n">
        <v>6</v>
      </c>
      <c r="U17" t="n">
        <v>0</v>
      </c>
      <c r="V17" s="2" t="inlineStr">
        <is>
          <t>Tallticka
Spillkråka
Kungsfågel</t>
        </is>
      </c>
      <c r="W17">
        <f>HYPERLINK("https://klasma.github.io/Logging_0117/artfynd/A 54703-2024 artfynd.xlsx", "A 54703-2024")</f>
        <v/>
      </c>
      <c r="X17">
        <f>HYPERLINK("https://klasma.github.io/Logging_0117/kartor/A 54703-2024 karta.png", "A 54703-2024")</f>
        <v/>
      </c>
      <c r="Y17">
        <f>HYPERLINK("https://klasma.github.io/Logging_0117/kartor_geotiff/A 54703-2024 georefererad karta.tif", "A 54703-2024")</f>
        <v/>
      </c>
      <c r="AA17">
        <f>HYPERLINK("https://klasma.github.io/Logging_0117/klagomål/A 54703-2024 FSC-klagomål.docx", "A 54703-2024")</f>
        <v/>
      </c>
      <c r="AB17">
        <f>HYPERLINK("https://klasma.github.io/Logging_0117/klagomålsmail/A 54703-2024 FSC-klagomål mail.docx", "A 54703-2024")</f>
        <v/>
      </c>
      <c r="AC17">
        <f>HYPERLINK("https://klasma.github.io/Logging_0117/tillsyn/A 54703-2024 tillsynsbegäran.docx", "A 54703-2024")</f>
        <v/>
      </c>
      <c r="AD17">
        <f>HYPERLINK("https://klasma.github.io/Logging_0117/tillsynsmail/A 54703-2024 tillsynsbegäran mail.docx", "A 54703-2024")</f>
        <v/>
      </c>
      <c r="AE17">
        <f>HYPERLINK("https://klasma.github.io/Logging_0117/fåglar/A 54703-2024 prioriterade fågelarter.docx", "A 54703-2024")</f>
        <v/>
      </c>
    </row>
    <row r="18" ht="15" customHeight="1">
      <c r="A18" t="inlineStr">
        <is>
          <t>A 67244-2021</t>
        </is>
      </c>
      <c r="B18" t="inlineStr">
        <is>
          <t>avverkningsanmälan</t>
        </is>
      </c>
      <c r="C18" t="inlineStr">
        <is>
          <t>Avverkning för annat ändamål</t>
        </is>
      </c>
      <c r="D18" s="1" t="n">
        <v>44523</v>
      </c>
      <c r="E18" s="1" t="n">
        <v>46302</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46302</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46302</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46302</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46302</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61323-2022</t>
        </is>
      </c>
      <c r="B23" t="inlineStr">
        <is>
          <t>avverkningsanmälan</t>
        </is>
      </c>
      <c r="C23" t="inlineStr">
        <is>
          <t>Föryngringsavverkning</t>
        </is>
      </c>
      <c r="D23" s="1" t="n">
        <v>44915</v>
      </c>
      <c r="E23" s="1" t="n">
        <v>46302</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31716-2025</t>
        </is>
      </c>
      <c r="B24" t="inlineStr">
        <is>
          <t>avverkningsanmälan</t>
        </is>
      </c>
      <c r="C24" t="inlineStr">
        <is>
          <t>Föryngringsavverkning</t>
        </is>
      </c>
      <c r="D24" s="1" t="n">
        <v>45834</v>
      </c>
      <c r="E24" s="1" t="n">
        <v>46302</v>
      </c>
      <c r="F24" t="inlineStr">
        <is>
          <t>STOCKHOLMS LÄN</t>
        </is>
      </c>
      <c r="G24" t="inlineStr">
        <is>
          <t>ÖSTERÅKER</t>
        </is>
      </c>
      <c r="I24" t="n">
        <v>2.8</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HYPERLINK("https://klasma.github.io/Logging_0117/artfynd/A 31716-2025 artfynd.xlsx", "A 31716-2025")</f>
        <v/>
      </c>
      <c r="X24">
        <f>HYPERLINK("https://klasma.github.io/Logging_0117/kartor/A 31716-2025 karta.png", "A 31716-2025")</f>
        <v/>
      </c>
      <c r="Y24">
        <f>HYPERLINK("https://klasma.github.io/Logging_0117/kartor_geotiff/A 31716-2025 georefererad karta.tif", "A 31716-2025")</f>
        <v/>
      </c>
      <c r="AA24">
        <f>HYPERLINK("https://klasma.github.io/Logging_0117/klagomål/A 31716-2025 FSC-klagomål.docx", "A 31716-2025")</f>
        <v/>
      </c>
      <c r="AB24">
        <f>HYPERLINK("https://klasma.github.io/Logging_0117/klagomålsmail/A 31716-2025 FSC-klagomål mail.docx", "A 31716-2025")</f>
        <v/>
      </c>
      <c r="AC24">
        <f>HYPERLINK("https://klasma.github.io/Logging_0117/tillsyn/A 31716-2025 tillsynsbegäran.docx", "A 31716-2025")</f>
        <v/>
      </c>
      <c r="AD24">
        <f>HYPERLINK("https://klasma.github.io/Logging_0117/tillsynsmail/A 31716-2025 tillsynsbegäran mail.docx", "A 31716-2025")</f>
        <v/>
      </c>
    </row>
    <row r="25" ht="15" customHeight="1">
      <c r="A25" t="inlineStr">
        <is>
          <t>A 62831-2025</t>
        </is>
      </c>
      <c r="B25" t="inlineStr">
        <is>
          <t>avverkningsanmälan</t>
        </is>
      </c>
      <c r="C25" t="inlineStr">
        <is>
          <t>Föryngringsavverkning</t>
        </is>
      </c>
      <c r="D25" s="1" t="n">
        <v>46008</v>
      </c>
      <c r="E25" s="1" t="n">
        <v>46302</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46302</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46302</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t="n">
        <v>1</v>
      </c>
      <c r="V27" s="2" t="inlineStr">
        <is>
          <t>Mindre hackspett</t>
        </is>
      </c>
      <c r="W27">
        <f>HYPERLINK("https://klasma.github.io/Logging_0117/artfynd/A 67265-2021 artfynd.xlsx", "A 67265-2021")</f>
        <v/>
      </c>
      <c r="X27">
        <f>HYPERLINK("https://klasma.github.io/Logging_0117/kartor/A 67265-2021 karta.png", "A 67265-2021")</f>
        <v/>
      </c>
      <c r="Y27">
        <f>HYPERLINK("https://klasma.github.io/Logging_0117/kartor_geotiff/A 67265-2021 georefererad karta.tif", "A 67265-2021")</f>
        <v/>
      </c>
      <c r="AA27">
        <f>HYPERLINK("https://klasma.github.io/Logging_0117/klagomål/A 67265-2021 FSC-klagomål.docx", "A 67265-2021")</f>
        <v/>
      </c>
      <c r="AB27">
        <f>HYPERLINK("https://klasma.github.io/Logging_0117/klagomålsmail/A 67265-2021 FSC-klagomål mail.docx", "A 67265-2021")</f>
        <v/>
      </c>
      <c r="AC27">
        <f>HYPERLINK("https://klasma.github.io/Logging_0117/tillsyn/A 67265-2021 tillsynsbegäran.docx", "A 67265-2021")</f>
        <v/>
      </c>
      <c r="AD27">
        <f>HYPERLINK("https://klasma.github.io/Logging_0117/tillsynsmail/A 67265-2021 tillsynsbegäran mail.docx", "A 67265-2021")</f>
        <v/>
      </c>
      <c r="AE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46302</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46302</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46302</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46302</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46302</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46302</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46302</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46302</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46302</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46302</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46302</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46302</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46302</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46302</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46302</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46302</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61370-2022</t>
        </is>
      </c>
      <c r="B44" t="inlineStr">
        <is>
          <t>avverkningsanmälan</t>
        </is>
      </c>
      <c r="C44" t="inlineStr">
        <is>
          <t>Föryngringsavverkning</t>
        </is>
      </c>
      <c r="D44" s="1" t="n">
        <v>44915</v>
      </c>
      <c r="E44" s="1" t="n">
        <v>46302</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1603-2023</t>
        </is>
      </c>
      <c r="B45" t="inlineStr">
        <is>
          <t>avverkningsanmälan</t>
        </is>
      </c>
      <c r="C45" t="inlineStr">
        <is>
          <t>Föryngringsavverkning</t>
        </is>
      </c>
      <c r="D45" s="1" t="n">
        <v>44937</v>
      </c>
      <c r="E45" s="1" t="n">
        <v>46302</v>
      </c>
      <c r="F45" t="inlineStr">
        <is>
          <t>STOCKHOLMS LÄN</t>
        </is>
      </c>
      <c r="G45" t="inlineStr">
        <is>
          <t>ÖSTERÅKER</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1605-2023</t>
        </is>
      </c>
      <c r="B46" t="inlineStr">
        <is>
          <t>avverkningsanmälan</t>
        </is>
      </c>
      <c r="C46" t="inlineStr">
        <is>
          <t>Föryngringsavverkning</t>
        </is>
      </c>
      <c r="D46" s="1" t="n">
        <v>44937</v>
      </c>
      <c r="E46" s="1" t="n">
        <v>46302</v>
      </c>
      <c r="F46" t="inlineStr">
        <is>
          <t>STOCKHOLMS LÄN</t>
        </is>
      </c>
      <c r="G46" t="inlineStr">
        <is>
          <t>ÖSTERÅKER</t>
        </is>
      </c>
      <c r="I46" t="n">
        <v>2.9</v>
      </c>
      <c r="J46" t="n">
        <v>0</v>
      </c>
      <c r="K46" t="n">
        <v>0</v>
      </c>
      <c r="L46" t="n">
        <v>0</v>
      </c>
      <c r="M46" t="n">
        <v>0</v>
      </c>
      <c r="N46" t="n">
        <v>0</v>
      </c>
      <c r="O46" t="n">
        <v>0</v>
      </c>
      <c r="P46" t="n">
        <v>0</v>
      </c>
      <c r="Q46" t="n">
        <v>0</v>
      </c>
      <c r="R46" t="n">
        <v>0</v>
      </c>
      <c r="S46" t="n">
        <v>0</v>
      </c>
      <c r="T46" t="n">
        <v>0</v>
      </c>
      <c r="U46" t="n">
        <v>0</v>
      </c>
      <c r="V46" s="2" t="inlineStr"/>
    </row>
    <row r="47" ht="15" customHeight="1">
      <c r="A47" t="inlineStr">
        <is>
          <t>A 37037-2023</t>
        </is>
      </c>
      <c r="B47" t="inlineStr">
        <is>
          <t>avverkningsanmälan</t>
        </is>
      </c>
      <c r="C47" t="inlineStr">
        <is>
          <t>Föryngringsavverkning</t>
        </is>
      </c>
      <c r="D47" s="1" t="n">
        <v>45155</v>
      </c>
      <c r="E47" s="1" t="n">
        <v>46302</v>
      </c>
      <c r="F47" t="inlineStr">
        <is>
          <t>STOCKHOLMS LÄN</t>
        </is>
      </c>
      <c r="G47" t="inlineStr">
        <is>
          <t>ÖSTERÅKER</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3828-2023</t>
        </is>
      </c>
      <c r="B48" t="inlineStr">
        <is>
          <t>avverkningsanmälan</t>
        </is>
      </c>
      <c r="C48" t="inlineStr">
        <is>
          <t>Föryngringsavverkning</t>
        </is>
      </c>
      <c r="D48" s="1" t="n">
        <v>44951</v>
      </c>
      <c r="E48" s="1" t="n">
        <v>46302</v>
      </c>
      <c r="F48" t="inlineStr">
        <is>
          <t>STOCKHOLMS LÄN</t>
        </is>
      </c>
      <c r="G48" t="inlineStr">
        <is>
          <t>ÖSTERÅKER</t>
        </is>
      </c>
      <c r="H48" t="inlineStr">
        <is>
          <t>Kommuner</t>
        </is>
      </c>
      <c r="I48" t="n">
        <v>3.2</v>
      </c>
      <c r="J48" t="n">
        <v>0</v>
      </c>
      <c r="K48" t="n">
        <v>0</v>
      </c>
      <c r="L48" t="n">
        <v>0</v>
      </c>
      <c r="M48" t="n">
        <v>0</v>
      </c>
      <c r="N48" t="n">
        <v>0</v>
      </c>
      <c r="O48" t="n">
        <v>0</v>
      </c>
      <c r="P48" t="n">
        <v>0</v>
      </c>
      <c r="Q48" t="n">
        <v>0</v>
      </c>
      <c r="R48" t="n">
        <v>0</v>
      </c>
      <c r="S48" t="n">
        <v>0</v>
      </c>
      <c r="T48" t="n">
        <v>0</v>
      </c>
      <c r="U48" t="n">
        <v>0</v>
      </c>
      <c r="V48" s="2" t="inlineStr"/>
    </row>
    <row r="49" ht="15" customHeight="1">
      <c r="A49" t="inlineStr">
        <is>
          <t>A 33158-2024</t>
        </is>
      </c>
      <c r="B49" t="inlineStr">
        <is>
          <t>avverkningsanmälan</t>
        </is>
      </c>
      <c r="C49" t="inlineStr">
        <is>
          <t>Avverkning för annat ändamål</t>
        </is>
      </c>
      <c r="D49" s="1" t="n">
        <v>45518</v>
      </c>
      <c r="E49" s="1" t="n">
        <v>46302</v>
      </c>
      <c r="F49" t="inlineStr">
        <is>
          <t>STOCKHOLMS LÄN</t>
        </is>
      </c>
      <c r="G49" t="inlineStr">
        <is>
          <t>ÖSTERÅKER</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5038-2026</t>
        </is>
      </c>
      <c r="B50" t="inlineStr">
        <is>
          <t>avverkningsanmälan</t>
        </is>
      </c>
      <c r="C50" t="inlineStr">
        <is>
          <t>Föryngringsavverkning</t>
        </is>
      </c>
      <c r="D50" s="1" t="n">
        <v>46049</v>
      </c>
      <c r="E50" s="1" t="n">
        <v>46302</v>
      </c>
      <c r="F50" t="inlineStr">
        <is>
          <t>STOCKHOLMS LÄN</t>
        </is>
      </c>
      <c r="G50" t="inlineStr">
        <is>
          <t>ÖSTERÅKER</t>
        </is>
      </c>
      <c r="I50" t="n">
        <v>2.1</v>
      </c>
      <c r="J50" t="n">
        <v>0</v>
      </c>
      <c r="K50" t="n">
        <v>0</v>
      </c>
      <c r="L50" t="n">
        <v>0</v>
      </c>
      <c r="M50" t="n">
        <v>0</v>
      </c>
      <c r="N50" t="n">
        <v>0</v>
      </c>
      <c r="O50" t="n">
        <v>0</v>
      </c>
      <c r="P50" t="n">
        <v>0</v>
      </c>
      <c r="Q50" t="n">
        <v>0</v>
      </c>
      <c r="R50" t="n">
        <v>0</v>
      </c>
      <c r="S50" t="n">
        <v>0</v>
      </c>
      <c r="T50" t="n">
        <v>0</v>
      </c>
      <c r="U50" t="n">
        <v>0</v>
      </c>
      <c r="V50" s="2" t="inlineStr"/>
    </row>
    <row r="51" ht="15" customHeight="1">
      <c r="A51" t="inlineStr">
        <is>
          <t>A 27137-2025</t>
        </is>
      </c>
      <c r="B51" t="inlineStr">
        <is>
          <t>avverkningsanmälan</t>
        </is>
      </c>
      <c r="C51" t="inlineStr">
        <is>
          <t>Föryngringsavverkning</t>
        </is>
      </c>
      <c r="D51" s="1" t="n">
        <v>45811</v>
      </c>
      <c r="E51" s="1" t="n">
        <v>46302</v>
      </c>
      <c r="F51" t="inlineStr">
        <is>
          <t>STOCKHOLMS LÄN</t>
        </is>
      </c>
      <c r="G51" t="inlineStr">
        <is>
          <t>ÖSTERÅKER</t>
        </is>
      </c>
      <c r="I51" t="n">
        <v>3.8</v>
      </c>
      <c r="J51" t="n">
        <v>0</v>
      </c>
      <c r="K51" t="n">
        <v>0</v>
      </c>
      <c r="L51" t="n">
        <v>0</v>
      </c>
      <c r="M51" t="n">
        <v>0</v>
      </c>
      <c r="N51" t="n">
        <v>0</v>
      </c>
      <c r="O51" t="n">
        <v>0</v>
      </c>
      <c r="P51" t="n">
        <v>0</v>
      </c>
      <c r="Q51" t="n">
        <v>0</v>
      </c>
      <c r="R51" t="n">
        <v>0</v>
      </c>
      <c r="S51" t="n">
        <v>0</v>
      </c>
      <c r="T51" t="n">
        <v>0</v>
      </c>
      <c r="U51" t="n">
        <v>0</v>
      </c>
      <c r="V51" s="2" t="inlineStr"/>
    </row>
    <row r="52" ht="15" customHeight="1">
      <c r="A52" t="inlineStr">
        <is>
          <t>A 17353-2025</t>
        </is>
      </c>
      <c r="B52" t="inlineStr">
        <is>
          <t>avverkningsanmälan</t>
        </is>
      </c>
      <c r="C52" t="inlineStr">
        <is>
          <t>Föryngringsavverkning</t>
        </is>
      </c>
      <c r="D52" s="1" t="n">
        <v>45756</v>
      </c>
      <c r="E52" s="1" t="n">
        <v>46302</v>
      </c>
      <c r="F52" t="inlineStr">
        <is>
          <t>STOCKHOLMS LÄN</t>
        </is>
      </c>
      <c r="G52" t="inlineStr">
        <is>
          <t>ÖSTERÅKER</t>
        </is>
      </c>
      <c r="H52" t="inlineStr">
        <is>
          <t>Övriga Aktiebolag</t>
        </is>
      </c>
      <c r="I52" t="n">
        <v>5.5</v>
      </c>
      <c r="J52" t="n">
        <v>0</v>
      </c>
      <c r="K52" t="n">
        <v>0</v>
      </c>
      <c r="L52" t="n">
        <v>0</v>
      </c>
      <c r="M52" t="n">
        <v>0</v>
      </c>
      <c r="N52" t="n">
        <v>0</v>
      </c>
      <c r="O52" t="n">
        <v>0</v>
      </c>
      <c r="P52" t="n">
        <v>0</v>
      </c>
      <c r="Q52" t="n">
        <v>0</v>
      </c>
      <c r="R52" t="n">
        <v>0</v>
      </c>
      <c r="S52" t="n">
        <v>0</v>
      </c>
      <c r="T52" t="n">
        <v>0</v>
      </c>
      <c r="U52" t="n">
        <v>0</v>
      </c>
      <c r="V52" s="2" t="inlineStr"/>
    </row>
    <row r="53" ht="15" customHeight="1">
      <c r="A53" t="inlineStr">
        <is>
          <t>A 61360-2022</t>
        </is>
      </c>
      <c r="B53" t="inlineStr">
        <is>
          <t>avverkningsanmälan</t>
        </is>
      </c>
      <c r="C53" t="inlineStr">
        <is>
          <t>Föryngringsavverkning</t>
        </is>
      </c>
      <c r="D53" s="1" t="n">
        <v>44915</v>
      </c>
      <c r="E53" s="1" t="n">
        <v>46302</v>
      </c>
      <c r="F53" t="inlineStr">
        <is>
          <t>STOCKHOLMS LÄN</t>
        </is>
      </c>
      <c r="G53" t="inlineStr">
        <is>
          <t>ÖSTERÅKER</t>
        </is>
      </c>
      <c r="I53" t="n">
        <v>2.3</v>
      </c>
      <c r="J53" t="n">
        <v>0</v>
      </c>
      <c r="K53" t="n">
        <v>0</v>
      </c>
      <c r="L53" t="n">
        <v>0</v>
      </c>
      <c r="M53" t="n">
        <v>0</v>
      </c>
      <c r="N53" t="n">
        <v>0</v>
      </c>
      <c r="O53" t="n">
        <v>0</v>
      </c>
      <c r="P53" t="n">
        <v>0</v>
      </c>
      <c r="Q53" t="n">
        <v>0</v>
      </c>
      <c r="R53" t="n">
        <v>0</v>
      </c>
      <c r="S53" t="n">
        <v>0</v>
      </c>
      <c r="T53" t="n">
        <v>0</v>
      </c>
      <c r="U53" t="n">
        <v>0</v>
      </c>
      <c r="V53" s="2" t="inlineStr"/>
    </row>
    <row r="54" ht="15" customHeight="1">
      <c r="A54" t="inlineStr">
        <is>
          <t>A 16728-2022</t>
        </is>
      </c>
      <c r="B54" t="inlineStr">
        <is>
          <t>avverkningsanmälan</t>
        </is>
      </c>
      <c r="C54" t="inlineStr">
        <is>
          <t>Föryngringsavverkning</t>
        </is>
      </c>
      <c r="D54" s="1" t="n">
        <v>44673</v>
      </c>
      <c r="E54" s="1" t="n">
        <v>46302</v>
      </c>
      <c r="F54" t="inlineStr">
        <is>
          <t>STOCKHOLMS LÄN</t>
        </is>
      </c>
      <c r="G54" t="inlineStr">
        <is>
          <t>ÖSTERÅKER</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12345-2026</t>
        </is>
      </c>
      <c r="B55" t="inlineStr">
        <is>
          <t>avverkningsanmälan</t>
        </is>
      </c>
      <c r="C55" t="inlineStr">
        <is>
          <t>Föryngringsavverkning</t>
        </is>
      </c>
      <c r="D55" s="1" t="n">
        <v>46087</v>
      </c>
      <c r="E55" s="1" t="n">
        <v>46302</v>
      </c>
      <c r="F55" t="inlineStr">
        <is>
          <t>STOCKHOLMS LÄN</t>
        </is>
      </c>
      <c r="G55" t="inlineStr">
        <is>
          <t>ÖSTERÅKER</t>
        </is>
      </c>
      <c r="H55" t="inlineStr">
        <is>
          <t>Övriga Aktiebolag</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1136-2023</t>
        </is>
      </c>
      <c r="B56" t="inlineStr">
        <is>
          <t>avverkningsanmälan</t>
        </is>
      </c>
      <c r="C56" t="inlineStr">
        <is>
          <t>Avverkning för annat ändamål</t>
        </is>
      </c>
      <c r="D56" s="1" t="n">
        <v>44935</v>
      </c>
      <c r="E56" s="1" t="n">
        <v>46302</v>
      </c>
      <c r="F56" t="inlineStr">
        <is>
          <t>STOCKHOLMS LÄN</t>
        </is>
      </c>
      <c r="G56" t="inlineStr">
        <is>
          <t>ÖSTERÅKER</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61710-2022</t>
        </is>
      </c>
      <c r="B57" t="inlineStr">
        <is>
          <t>avverkningsanmälan</t>
        </is>
      </c>
      <c r="C57" t="inlineStr">
        <is>
          <t>Föryngringsavverkning</t>
        </is>
      </c>
      <c r="D57" s="1" t="n">
        <v>44917</v>
      </c>
      <c r="E57" s="1" t="n">
        <v>46302</v>
      </c>
      <c r="F57" t="inlineStr">
        <is>
          <t>STOCKHOLMS LÄN</t>
        </is>
      </c>
      <c r="G57" t="inlineStr">
        <is>
          <t>ÖSTERÅKER</t>
        </is>
      </c>
      <c r="I57" t="n">
        <v>6.2</v>
      </c>
      <c r="J57" t="n">
        <v>0</v>
      </c>
      <c r="K57" t="n">
        <v>0</v>
      </c>
      <c r="L57" t="n">
        <v>0</v>
      </c>
      <c r="M57" t="n">
        <v>0</v>
      </c>
      <c r="N57" t="n">
        <v>0</v>
      </c>
      <c r="O57" t="n">
        <v>0</v>
      </c>
      <c r="P57" t="n">
        <v>0</v>
      </c>
      <c r="Q57" t="n">
        <v>0</v>
      </c>
      <c r="R57" t="n">
        <v>0</v>
      </c>
      <c r="S57" t="n">
        <v>0</v>
      </c>
      <c r="T57" t="n">
        <v>0</v>
      </c>
      <c r="U57" t="n">
        <v>0</v>
      </c>
      <c r="V57" s="2" t="inlineStr"/>
    </row>
    <row r="58" ht="15" customHeight="1">
      <c r="A58" t="inlineStr">
        <is>
          <t>A 22528-2024</t>
        </is>
      </c>
      <c r="B58" t="inlineStr">
        <is>
          <t>avverkningsanmälan</t>
        </is>
      </c>
      <c r="C58" t="inlineStr">
        <is>
          <t>Föryngringsavverkning</t>
        </is>
      </c>
      <c r="D58" s="1" t="n">
        <v>45447</v>
      </c>
      <c r="E58" s="1" t="n">
        <v>46302</v>
      </c>
      <c r="F58" t="inlineStr">
        <is>
          <t>STOCKHOLMS LÄN</t>
        </is>
      </c>
      <c r="G58" t="inlineStr">
        <is>
          <t>ÖSTERÅKER</t>
        </is>
      </c>
      <c r="H58" t="inlineStr">
        <is>
          <t>Övriga Aktiebolag</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34034-2025</t>
        </is>
      </c>
      <c r="B59" t="inlineStr">
        <is>
          <t>avverkningsanmälan</t>
        </is>
      </c>
      <c r="C59" t="inlineStr">
        <is>
          <t>Föryngringsavverkning</t>
        </is>
      </c>
      <c r="D59" s="1" t="n">
        <v>45842</v>
      </c>
      <c r="E59" s="1" t="n">
        <v>46302</v>
      </c>
      <c r="F59" t="inlineStr">
        <is>
          <t>STOCKHOLMS LÄN</t>
        </is>
      </c>
      <c r="G59" t="inlineStr">
        <is>
          <t>ÖSTERÅKER</t>
        </is>
      </c>
      <c r="H59" t="inlineStr">
        <is>
          <t>Övriga Aktiebolag</t>
        </is>
      </c>
      <c r="I59" t="n">
        <v>3.9</v>
      </c>
      <c r="J59" t="n">
        <v>0</v>
      </c>
      <c r="K59" t="n">
        <v>0</v>
      </c>
      <c r="L59" t="n">
        <v>0</v>
      </c>
      <c r="M59" t="n">
        <v>0</v>
      </c>
      <c r="N59" t="n">
        <v>0</v>
      </c>
      <c r="O59" t="n">
        <v>0</v>
      </c>
      <c r="P59" t="n">
        <v>0</v>
      </c>
      <c r="Q59" t="n">
        <v>0</v>
      </c>
      <c r="R59" t="n">
        <v>0</v>
      </c>
      <c r="S59" t="n">
        <v>0</v>
      </c>
      <c r="T59" t="n">
        <v>0</v>
      </c>
      <c r="U59" t="n">
        <v>0</v>
      </c>
      <c r="V59" s="2" t="inlineStr"/>
    </row>
    <row r="60" ht="15" customHeight="1">
      <c r="A60" t="inlineStr">
        <is>
          <t>A 52220-2025</t>
        </is>
      </c>
      <c r="B60" t="inlineStr">
        <is>
          <t>avverkningsanmälan</t>
        </is>
      </c>
      <c r="C60" t="inlineStr">
        <is>
          <t>Avverkning för annat ändamål</t>
        </is>
      </c>
      <c r="D60" s="1" t="n">
        <v>45953</v>
      </c>
      <c r="E60" s="1" t="n">
        <v>46302</v>
      </c>
      <c r="F60" t="inlineStr">
        <is>
          <t>STOCKHOLMS LÄN</t>
        </is>
      </c>
      <c r="G60" t="inlineStr">
        <is>
          <t>ÖSTERÅKER</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28143-2024</t>
        </is>
      </c>
      <c r="B61" t="inlineStr">
        <is>
          <t>avverkningsanmälan</t>
        </is>
      </c>
      <c r="C61" t="inlineStr">
        <is>
          <t>Föryngringsavverkning</t>
        </is>
      </c>
      <c r="D61" s="1" t="n">
        <v>45476</v>
      </c>
      <c r="E61" s="1" t="n">
        <v>46302</v>
      </c>
      <c r="F61" t="inlineStr">
        <is>
          <t>STOCKHOLMS LÄN</t>
        </is>
      </c>
      <c r="G61" t="inlineStr">
        <is>
          <t>ÖSTERÅKER</t>
        </is>
      </c>
      <c r="H61" t="inlineStr">
        <is>
          <t>Övriga Aktiebolag</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35819-2025</t>
        </is>
      </c>
      <c r="B62" t="inlineStr">
        <is>
          <t>avverkningsanmälan</t>
        </is>
      </c>
      <c r="C62" t="inlineStr">
        <is>
          <t>Föryngringsavverkning</t>
        </is>
      </c>
      <c r="D62" s="1" t="n">
        <v>45861</v>
      </c>
      <c r="E62" s="1" t="n">
        <v>46302</v>
      </c>
      <c r="F62" t="inlineStr">
        <is>
          <t>STOCKHOLMS LÄN</t>
        </is>
      </c>
      <c r="G62" t="inlineStr">
        <is>
          <t>ÖSTERÅKER</t>
        </is>
      </c>
      <c r="H62" t="inlineStr">
        <is>
          <t>Övriga Aktiebolag</t>
        </is>
      </c>
      <c r="I62" t="n">
        <v>8</v>
      </c>
      <c r="J62" t="n">
        <v>0</v>
      </c>
      <c r="K62" t="n">
        <v>0</v>
      </c>
      <c r="L62" t="n">
        <v>0</v>
      </c>
      <c r="M62" t="n">
        <v>0</v>
      </c>
      <c r="N62" t="n">
        <v>0</v>
      </c>
      <c r="O62" t="n">
        <v>0</v>
      </c>
      <c r="P62" t="n">
        <v>0</v>
      </c>
      <c r="Q62" t="n">
        <v>0</v>
      </c>
      <c r="R62" t="n">
        <v>0</v>
      </c>
      <c r="S62" t="n">
        <v>0</v>
      </c>
      <c r="T62" t="n">
        <v>0</v>
      </c>
      <c r="U62" t="n">
        <v>0</v>
      </c>
      <c r="V62" s="2" t="inlineStr"/>
    </row>
    <row r="63" ht="15" customHeight="1">
      <c r="A63" t="inlineStr">
        <is>
          <t>A 14776-2024</t>
        </is>
      </c>
      <c r="B63" t="inlineStr">
        <is>
          <t>avverkningsanmälan</t>
        </is>
      </c>
      <c r="C63" t="inlineStr">
        <is>
          <t>Föryngringsavverkning</t>
        </is>
      </c>
      <c r="D63" s="1" t="n">
        <v>45397</v>
      </c>
      <c r="E63" s="1" t="n">
        <v>46302</v>
      </c>
      <c r="F63" t="inlineStr">
        <is>
          <t>STOCKHOLMS LÄN</t>
        </is>
      </c>
      <c r="G63" t="inlineStr">
        <is>
          <t>ÖSTERÅKER</t>
        </is>
      </c>
      <c r="I63" t="n">
        <v>13.6</v>
      </c>
      <c r="J63" t="n">
        <v>0</v>
      </c>
      <c r="K63" t="n">
        <v>0</v>
      </c>
      <c r="L63" t="n">
        <v>0</v>
      </c>
      <c r="M63" t="n">
        <v>0</v>
      </c>
      <c r="N63" t="n">
        <v>0</v>
      </c>
      <c r="O63" t="n">
        <v>0</v>
      </c>
      <c r="P63" t="n">
        <v>0</v>
      </c>
      <c r="Q63" t="n">
        <v>0</v>
      </c>
      <c r="R63" t="n">
        <v>0</v>
      </c>
      <c r="S63" t="n">
        <v>0</v>
      </c>
      <c r="T63" t="n">
        <v>0</v>
      </c>
      <c r="U63" t="n">
        <v>0</v>
      </c>
      <c r="V63" s="2" t="inlineStr"/>
    </row>
    <row r="64" ht="15" customHeight="1">
      <c r="A64" t="inlineStr">
        <is>
          <t>A 34713-2025</t>
        </is>
      </c>
      <c r="B64" t="inlineStr">
        <is>
          <t>avverkningsanmälan</t>
        </is>
      </c>
      <c r="C64" t="inlineStr">
        <is>
          <t>Föryngringsavverkning</t>
        </is>
      </c>
      <c r="D64" s="1" t="n">
        <v>45848</v>
      </c>
      <c r="E64" s="1" t="n">
        <v>46302</v>
      </c>
      <c r="F64" t="inlineStr">
        <is>
          <t>STOCKHOLMS LÄN</t>
        </is>
      </c>
      <c r="G64" t="inlineStr">
        <is>
          <t>ÖSTERÅKER</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60482-2025</t>
        </is>
      </c>
      <c r="B65" t="inlineStr">
        <is>
          <t>avverkningsanmälan</t>
        </is>
      </c>
      <c r="C65" t="inlineStr">
        <is>
          <t>Föryngringsavverkning</t>
        </is>
      </c>
      <c r="D65" s="1" t="n">
        <v>45995</v>
      </c>
      <c r="E65" s="1" t="n">
        <v>46302</v>
      </c>
      <c r="F65" t="inlineStr">
        <is>
          <t>STOCKHOLMS LÄN</t>
        </is>
      </c>
      <c r="G65" t="inlineStr">
        <is>
          <t>ÖSTERÅKER</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21796-2025</t>
        </is>
      </c>
      <c r="B66" t="inlineStr">
        <is>
          <t>avverkningsanmälan</t>
        </is>
      </c>
      <c r="C66" t="inlineStr">
        <is>
          <t>Föryngringsavverkning</t>
        </is>
      </c>
      <c r="D66" s="1" t="n">
        <v>45783</v>
      </c>
      <c r="E66" s="1" t="n">
        <v>46302</v>
      </c>
      <c r="F66" t="inlineStr">
        <is>
          <t>STOCKHOLMS LÄN</t>
        </is>
      </c>
      <c r="G66" t="inlineStr">
        <is>
          <t>ÖSTERÅKER</t>
        </is>
      </c>
      <c r="I66" t="n">
        <v>2.5</v>
      </c>
      <c r="J66" t="n">
        <v>0</v>
      </c>
      <c r="K66" t="n">
        <v>0</v>
      </c>
      <c r="L66" t="n">
        <v>0</v>
      </c>
      <c r="M66" t="n">
        <v>0</v>
      </c>
      <c r="N66" t="n">
        <v>0</v>
      </c>
      <c r="O66" t="n">
        <v>0</v>
      </c>
      <c r="P66" t="n">
        <v>0</v>
      </c>
      <c r="Q66" t="n">
        <v>0</v>
      </c>
      <c r="R66" t="n">
        <v>0</v>
      </c>
      <c r="S66" t="n">
        <v>0</v>
      </c>
      <c r="T66" t="n">
        <v>0</v>
      </c>
      <c r="U66" t="n">
        <v>0</v>
      </c>
      <c r="V66" s="2" t="inlineStr"/>
    </row>
    <row r="67" ht="15" customHeight="1">
      <c r="A67" t="inlineStr">
        <is>
          <t>A 18711-2023</t>
        </is>
      </c>
      <c r="B67" t="inlineStr">
        <is>
          <t>avverkningsanmälan</t>
        </is>
      </c>
      <c r="C67" t="inlineStr">
        <is>
          <t>Föryngringsavverkning</t>
        </is>
      </c>
      <c r="D67" s="1" t="n">
        <v>45043</v>
      </c>
      <c r="E67" s="1" t="n">
        <v>46302</v>
      </c>
      <c r="F67" t="inlineStr">
        <is>
          <t>STOCKHOLMS LÄN</t>
        </is>
      </c>
      <c r="G67" t="inlineStr">
        <is>
          <t>ÖSTERÅKER</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23144-2024</t>
        </is>
      </c>
      <c r="B68" t="inlineStr">
        <is>
          <t>avverkningsanmälan</t>
        </is>
      </c>
      <c r="C68" t="inlineStr">
        <is>
          <t>Föryngringsavverkning</t>
        </is>
      </c>
      <c r="D68" s="1" t="n">
        <v>45450</v>
      </c>
      <c r="E68" s="1" t="n">
        <v>46302</v>
      </c>
      <c r="F68" t="inlineStr">
        <is>
          <t>STOCKHOLMS LÄN</t>
        </is>
      </c>
      <c r="G68" t="inlineStr">
        <is>
          <t>ÖSTERÅKER</t>
        </is>
      </c>
      <c r="H68" t="inlineStr">
        <is>
          <t>Övriga Aktiebolag</t>
        </is>
      </c>
      <c r="I68" t="n">
        <v>4.7</v>
      </c>
      <c r="J68" t="n">
        <v>0</v>
      </c>
      <c r="K68" t="n">
        <v>0</v>
      </c>
      <c r="L68" t="n">
        <v>0</v>
      </c>
      <c r="M68" t="n">
        <v>0</v>
      </c>
      <c r="N68" t="n">
        <v>0</v>
      </c>
      <c r="O68" t="n">
        <v>0</v>
      </c>
      <c r="P68" t="n">
        <v>0</v>
      </c>
      <c r="Q68" t="n">
        <v>0</v>
      </c>
      <c r="R68" t="n">
        <v>0</v>
      </c>
      <c r="S68" t="n">
        <v>0</v>
      </c>
      <c r="T68" t="n">
        <v>0</v>
      </c>
      <c r="U68" t="n">
        <v>0</v>
      </c>
      <c r="V68" s="2" t="inlineStr"/>
    </row>
    <row r="69" ht="15" customHeight="1">
      <c r="A69" t="inlineStr">
        <is>
          <t>A 17263-2022</t>
        </is>
      </c>
      <c r="B69" t="inlineStr">
        <is>
          <t>avverkningsanmälan</t>
        </is>
      </c>
      <c r="C69" t="inlineStr">
        <is>
          <t>Föryngringsavverkning</t>
        </is>
      </c>
      <c r="D69" s="1" t="n">
        <v>44678</v>
      </c>
      <c r="E69" s="1" t="n">
        <v>46302</v>
      </c>
      <c r="F69" t="inlineStr">
        <is>
          <t>STOCKHOLMS LÄN</t>
        </is>
      </c>
      <c r="G69" t="inlineStr">
        <is>
          <t>ÖSTERÅKER</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34038-2025</t>
        </is>
      </c>
      <c r="B70" t="inlineStr">
        <is>
          <t>avverkningsanmälan</t>
        </is>
      </c>
      <c r="C70" t="inlineStr">
        <is>
          <t>Föryngringsavverkning</t>
        </is>
      </c>
      <c r="D70" s="1" t="n">
        <v>45842</v>
      </c>
      <c r="E70" s="1" t="n">
        <v>46302</v>
      </c>
      <c r="F70" t="inlineStr">
        <is>
          <t>STOCKHOLMS LÄN</t>
        </is>
      </c>
      <c r="G70" t="inlineStr">
        <is>
          <t>ÖSTERÅKER</t>
        </is>
      </c>
      <c r="H70" t="inlineStr">
        <is>
          <t>Övriga Aktiebolag</t>
        </is>
      </c>
      <c r="I70" t="n">
        <v>4.7</v>
      </c>
      <c r="J70" t="n">
        <v>0</v>
      </c>
      <c r="K70" t="n">
        <v>0</v>
      </c>
      <c r="L70" t="n">
        <v>0</v>
      </c>
      <c r="M70" t="n">
        <v>0</v>
      </c>
      <c r="N70" t="n">
        <v>0</v>
      </c>
      <c r="O70" t="n">
        <v>0</v>
      </c>
      <c r="P70" t="n">
        <v>0</v>
      </c>
      <c r="Q70" t="n">
        <v>0</v>
      </c>
      <c r="R70" t="n">
        <v>0</v>
      </c>
      <c r="S70" t="n">
        <v>0</v>
      </c>
      <c r="T70" t="n">
        <v>0</v>
      </c>
      <c r="U70" t="n">
        <v>0</v>
      </c>
      <c r="V70" s="2" t="inlineStr"/>
    </row>
    <row r="71" ht="15" customHeight="1">
      <c r="A71" t="inlineStr">
        <is>
          <t>A 23198-2026</t>
        </is>
      </c>
      <c r="B71" t="inlineStr">
        <is>
          <t>avverkningsanmälan</t>
        </is>
      </c>
      <c r="C71" t="inlineStr">
        <is>
          <t>Avverkning för annat ändamål</t>
        </is>
      </c>
      <c r="D71" s="1" t="n">
        <v>46161</v>
      </c>
      <c r="E71" s="1" t="n">
        <v>46302</v>
      </c>
      <c r="F71" t="inlineStr">
        <is>
          <t>STOCKHOLMS LÄN</t>
        </is>
      </c>
      <c r="G71" t="inlineStr">
        <is>
          <t>ÖSTERÅKER</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9865-2025</t>
        </is>
      </c>
      <c r="B72" t="inlineStr">
        <is>
          <t>avverkningsanmälan</t>
        </is>
      </c>
      <c r="C72" t="inlineStr">
        <is>
          <t>Föryngringsavverkning</t>
        </is>
      </c>
      <c r="D72" s="1" t="n">
        <v>45716</v>
      </c>
      <c r="E72" s="1" t="n">
        <v>46302</v>
      </c>
      <c r="F72" t="inlineStr">
        <is>
          <t>STOCKHOLMS LÄN</t>
        </is>
      </c>
      <c r="G72" t="inlineStr">
        <is>
          <t>ÖSTERÅKER</t>
        </is>
      </c>
      <c r="I72" t="n">
        <v>7</v>
      </c>
      <c r="J72" t="n">
        <v>0</v>
      </c>
      <c r="K72" t="n">
        <v>0</v>
      </c>
      <c r="L72" t="n">
        <v>0</v>
      </c>
      <c r="M72" t="n">
        <v>0</v>
      </c>
      <c r="N72" t="n">
        <v>0</v>
      </c>
      <c r="O72" t="n">
        <v>0</v>
      </c>
      <c r="P72" t="n">
        <v>0</v>
      </c>
      <c r="Q72" t="n">
        <v>0</v>
      </c>
      <c r="R72" t="n">
        <v>0</v>
      </c>
      <c r="S72" t="n">
        <v>0</v>
      </c>
      <c r="T72" t="n">
        <v>0</v>
      </c>
      <c r="U72" t="n">
        <v>0</v>
      </c>
      <c r="V72" s="2" t="inlineStr"/>
    </row>
    <row r="73" ht="15" customHeight="1">
      <c r="A73" t="inlineStr">
        <is>
          <t>A 26249-2026</t>
        </is>
      </c>
      <c r="B73" t="inlineStr">
        <is>
          <t>avverkningsanmälan</t>
        </is>
      </c>
      <c r="C73" t="inlineStr">
        <is>
          <t>Avverkning för annat ändamål</t>
        </is>
      </c>
      <c r="D73" s="1" t="n">
        <v>46182</v>
      </c>
      <c r="E73" s="1" t="n">
        <v>46302</v>
      </c>
      <c r="F73" t="inlineStr">
        <is>
          <t>STOCKHOLMS LÄN</t>
        </is>
      </c>
      <c r="G73" t="inlineStr">
        <is>
          <t>ÖSTERÅKER</t>
        </is>
      </c>
      <c r="I73" t="n">
        <v>4.9</v>
      </c>
      <c r="J73" t="n">
        <v>0</v>
      </c>
      <c r="K73" t="n">
        <v>0</v>
      </c>
      <c r="L73" t="n">
        <v>0</v>
      </c>
      <c r="M73" t="n">
        <v>0</v>
      </c>
      <c r="N73" t="n">
        <v>0</v>
      </c>
      <c r="O73" t="n">
        <v>0</v>
      </c>
      <c r="P73" t="n">
        <v>0</v>
      </c>
      <c r="Q73" t="n">
        <v>0</v>
      </c>
      <c r="R73" t="n">
        <v>0</v>
      </c>
      <c r="S73" t="n">
        <v>0</v>
      </c>
      <c r="T73" t="n">
        <v>0</v>
      </c>
      <c r="U73" t="n">
        <v>0</v>
      </c>
      <c r="V73" s="2" t="inlineStr"/>
    </row>
    <row r="74" ht="15" customHeight="1">
      <c r="A74" t="inlineStr">
        <is>
          <t>A 39394-2023</t>
        </is>
      </c>
      <c r="B74" t="inlineStr">
        <is>
          <t>avverkningsanmälan</t>
        </is>
      </c>
      <c r="C74" t="inlineStr">
        <is>
          <t>Föryngringsavverkning</t>
        </is>
      </c>
      <c r="D74" s="1" t="n">
        <v>45166</v>
      </c>
      <c r="E74" s="1" t="n">
        <v>46302</v>
      </c>
      <c r="F74" t="inlineStr">
        <is>
          <t>STOCKHOLMS LÄN</t>
        </is>
      </c>
      <c r="G74" t="inlineStr">
        <is>
          <t>ÖSTERÅKER</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16803-2022</t>
        </is>
      </c>
      <c r="B75" t="inlineStr">
        <is>
          <t>avverkningsanmälan</t>
        </is>
      </c>
      <c r="C75" t="inlineStr">
        <is>
          <t>Föryngringsavverkning</t>
        </is>
      </c>
      <c r="D75" s="1" t="n">
        <v>44673</v>
      </c>
      <c r="E75" s="1" t="n">
        <v>46302</v>
      </c>
      <c r="F75" t="inlineStr">
        <is>
          <t>STOCKHOLMS LÄN</t>
        </is>
      </c>
      <c r="G75" t="inlineStr">
        <is>
          <t>ÖSTERÅKER</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470-2022</t>
        </is>
      </c>
      <c r="B76" t="inlineStr">
        <is>
          <t>avverkningsanmälan</t>
        </is>
      </c>
      <c r="C76" t="inlineStr">
        <is>
          <t>Föryngringsavverkning</t>
        </is>
      </c>
      <c r="D76" s="1" t="n">
        <v>44565</v>
      </c>
      <c r="E76" s="1" t="n">
        <v>46302</v>
      </c>
      <c r="F76" t="inlineStr">
        <is>
          <t>STOCKHOLMS LÄN</t>
        </is>
      </c>
      <c r="G76" t="inlineStr">
        <is>
          <t>ÖSTERÅKER</t>
        </is>
      </c>
      <c r="H76" t="inlineStr">
        <is>
          <t>Övriga Aktiebolag</t>
        </is>
      </c>
      <c r="I76" t="n">
        <v>4.6</v>
      </c>
      <c r="J76" t="n">
        <v>0</v>
      </c>
      <c r="K76" t="n">
        <v>0</v>
      </c>
      <c r="L76" t="n">
        <v>0</v>
      </c>
      <c r="M76" t="n">
        <v>0</v>
      </c>
      <c r="N76" t="n">
        <v>0</v>
      </c>
      <c r="O76" t="n">
        <v>0</v>
      </c>
      <c r="P76" t="n">
        <v>0</v>
      </c>
      <c r="Q76" t="n">
        <v>0</v>
      </c>
      <c r="R76" t="n">
        <v>0</v>
      </c>
      <c r="S76" t="n">
        <v>0</v>
      </c>
      <c r="T76" t="n">
        <v>0</v>
      </c>
      <c r="U76" t="n">
        <v>0</v>
      </c>
      <c r="V76" s="2" t="inlineStr"/>
    </row>
    <row r="77" ht="15" customHeight="1">
      <c r="A77" t="inlineStr">
        <is>
          <t>A 29443-2026</t>
        </is>
      </c>
      <c r="B77" t="inlineStr">
        <is>
          <t>avverkningsanmälan</t>
        </is>
      </c>
      <c r="C77" t="inlineStr">
        <is>
          <t>Föryngringsavverkning</t>
        </is>
      </c>
      <c r="D77" s="1" t="n">
        <v>46203</v>
      </c>
      <c r="E77" s="1" t="n">
        <v>46302</v>
      </c>
      <c r="F77" t="inlineStr">
        <is>
          <t>STOCKHOLMS LÄN</t>
        </is>
      </c>
      <c r="G77" t="inlineStr">
        <is>
          <t>ÖSTERÅKER</t>
        </is>
      </c>
      <c r="I77" t="n">
        <v>13.8</v>
      </c>
      <c r="J77" t="n">
        <v>0</v>
      </c>
      <c r="K77" t="n">
        <v>0</v>
      </c>
      <c r="L77" t="n">
        <v>0</v>
      </c>
      <c r="M77" t="n">
        <v>0</v>
      </c>
      <c r="N77" t="n">
        <v>0</v>
      </c>
      <c r="O77" t="n">
        <v>0</v>
      </c>
      <c r="P77" t="n">
        <v>0</v>
      </c>
      <c r="Q77" t="n">
        <v>0</v>
      </c>
      <c r="R77" t="n">
        <v>0</v>
      </c>
      <c r="S77" t="n">
        <v>0</v>
      </c>
      <c r="T77" t="n">
        <v>0</v>
      </c>
      <c r="U77" t="n">
        <v>0</v>
      </c>
      <c r="V77" s="2" t="inlineStr"/>
    </row>
    <row r="78" ht="15" customHeight="1">
      <c r="A78" t="inlineStr">
        <is>
          <t>A 30599-2026</t>
        </is>
      </c>
      <c r="B78" t="inlineStr">
        <is>
          <t>avverkningsanmälan</t>
        </is>
      </c>
      <c r="C78" t="inlineStr">
        <is>
          <t>Föryngringsavverkning</t>
        </is>
      </c>
      <c r="D78" s="1" t="n">
        <v>46210</v>
      </c>
      <c r="E78" s="1" t="n">
        <v>46302</v>
      </c>
      <c r="F78" t="inlineStr">
        <is>
          <t>STOCKHOLMS LÄN</t>
        </is>
      </c>
      <c r="G78" t="inlineStr">
        <is>
          <t>ÖSTERÅKER</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31154-2026</t>
        </is>
      </c>
      <c r="B79" t="inlineStr">
        <is>
          <t>avverkningsanmälan</t>
        </is>
      </c>
      <c r="C79" t="inlineStr">
        <is>
          <t>Föryngringsavverkning</t>
        </is>
      </c>
      <c r="D79" s="1" t="n">
        <v>46216</v>
      </c>
      <c r="E79" s="1" t="n">
        <v>46302</v>
      </c>
      <c r="F79" t="inlineStr">
        <is>
          <t>STOCKHOLMS LÄN</t>
        </is>
      </c>
      <c r="G79" t="inlineStr">
        <is>
          <t>ÖSTERÅKER</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6655-2023</t>
        </is>
      </c>
      <c r="B80" t="inlineStr">
        <is>
          <t>avverkningsanmälan</t>
        </is>
      </c>
      <c r="C80" t="inlineStr">
        <is>
          <t>Föryngringsavverkning</t>
        </is>
      </c>
      <c r="D80" s="1" t="n">
        <v>44966</v>
      </c>
      <c r="E80" s="1" t="n">
        <v>46302</v>
      </c>
      <c r="F80" t="inlineStr">
        <is>
          <t>STOCKHOLMS LÄN</t>
        </is>
      </c>
      <c r="G80" t="inlineStr">
        <is>
          <t>ÖSTERÅKER</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31146-2026</t>
        </is>
      </c>
      <c r="B81" t="inlineStr">
        <is>
          <t>avverkningsanmälan</t>
        </is>
      </c>
      <c r="C81" t="inlineStr">
        <is>
          <t>Föryngringsavverkning</t>
        </is>
      </c>
      <c r="D81" s="1" t="n">
        <v>46216</v>
      </c>
      <c r="E81" s="1" t="n">
        <v>46302</v>
      </c>
      <c r="F81" t="inlineStr">
        <is>
          <t>STOCKHOLMS LÄN</t>
        </is>
      </c>
      <c r="G81" t="inlineStr">
        <is>
          <t>ÖSTERÅKER</t>
        </is>
      </c>
      <c r="I81" t="n">
        <v>3.5</v>
      </c>
      <c r="J81" t="n">
        <v>0</v>
      </c>
      <c r="K81" t="n">
        <v>0</v>
      </c>
      <c r="L81" t="n">
        <v>0</v>
      </c>
      <c r="M81" t="n">
        <v>0</v>
      </c>
      <c r="N81" t="n">
        <v>0</v>
      </c>
      <c r="O81" t="n">
        <v>0</v>
      </c>
      <c r="P81" t="n">
        <v>0</v>
      </c>
      <c r="Q81" t="n">
        <v>0</v>
      </c>
      <c r="R81" t="n">
        <v>0</v>
      </c>
      <c r="S81" t="n">
        <v>0</v>
      </c>
      <c r="T81" t="n">
        <v>0</v>
      </c>
      <c r="U81" t="n">
        <v>0</v>
      </c>
      <c r="V81" s="2" t="inlineStr"/>
    </row>
    <row r="82" ht="15" customHeight="1">
      <c r="A82" t="inlineStr">
        <is>
          <t>A 31149-2026</t>
        </is>
      </c>
      <c r="B82" t="inlineStr">
        <is>
          <t>avverkningsanmälan</t>
        </is>
      </c>
      <c r="C82" t="inlineStr">
        <is>
          <t>Föryngringsavverkning</t>
        </is>
      </c>
      <c r="D82" s="1" t="n">
        <v>46216</v>
      </c>
      <c r="E82" s="1" t="n">
        <v>46302</v>
      </c>
      <c r="F82" t="inlineStr">
        <is>
          <t>STOCKHOLMS LÄN</t>
        </is>
      </c>
      <c r="G82" t="inlineStr">
        <is>
          <t>ÖSTERÅKER</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31156-2026</t>
        </is>
      </c>
      <c r="B83" t="inlineStr">
        <is>
          <t>avverkningsanmälan</t>
        </is>
      </c>
      <c r="C83" t="inlineStr">
        <is>
          <t>Föryngringsavverkning</t>
        </is>
      </c>
      <c r="D83" s="1" t="n">
        <v>46216</v>
      </c>
      <c r="E83" s="1" t="n">
        <v>46302</v>
      </c>
      <c r="F83" t="inlineStr">
        <is>
          <t>STOCKHOLMS LÄN</t>
        </is>
      </c>
      <c r="G83" t="inlineStr">
        <is>
          <t>ÖSTERÅKER</t>
        </is>
      </c>
      <c r="I83" t="n">
        <v>5.1</v>
      </c>
      <c r="J83" t="n">
        <v>0</v>
      </c>
      <c r="K83" t="n">
        <v>0</v>
      </c>
      <c r="L83" t="n">
        <v>0</v>
      </c>
      <c r="M83" t="n">
        <v>0</v>
      </c>
      <c r="N83" t="n">
        <v>0</v>
      </c>
      <c r="O83" t="n">
        <v>0</v>
      </c>
      <c r="P83" t="n">
        <v>0</v>
      </c>
      <c r="Q83" t="n">
        <v>0</v>
      </c>
      <c r="R83" t="n">
        <v>0</v>
      </c>
      <c r="S83" t="n">
        <v>0</v>
      </c>
      <c r="T83" t="n">
        <v>0</v>
      </c>
      <c r="U83" t="n">
        <v>0</v>
      </c>
      <c r="V83" s="2" t="inlineStr"/>
    </row>
    <row r="84" ht="15" customHeight="1">
      <c r="A84" t="inlineStr">
        <is>
          <t>A 56909-2024</t>
        </is>
      </c>
      <c r="B84" t="inlineStr">
        <is>
          <t>avverkningsanmälan</t>
        </is>
      </c>
      <c r="C84" t="inlineStr">
        <is>
          <t>Avverkning för att bevara och utveckla /försöksver</t>
        </is>
      </c>
      <c r="D84" s="1" t="n">
        <v>45628</v>
      </c>
      <c r="E84" s="1" t="n">
        <v>46302</v>
      </c>
      <c r="F84" t="inlineStr">
        <is>
          <t>STOCKHOLMS LÄN</t>
        </is>
      </c>
      <c r="G84" t="inlineStr">
        <is>
          <t>ÖSTERÅKER</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845-2024</t>
        </is>
      </c>
      <c r="B85" t="inlineStr">
        <is>
          <t>avverkningsanmälan</t>
        </is>
      </c>
      <c r="C85" t="inlineStr">
        <is>
          <t>Föryngringsavverkning</t>
        </is>
      </c>
      <c r="D85" s="1" t="n">
        <v>45300</v>
      </c>
      <c r="E85" s="1" t="n">
        <v>46302</v>
      </c>
      <c r="F85" t="inlineStr">
        <is>
          <t>STOCKHOLMS LÄN</t>
        </is>
      </c>
      <c r="G85" t="inlineStr">
        <is>
          <t>ÖSTERÅKER</t>
        </is>
      </c>
      <c r="I85" t="n">
        <v>10.1</v>
      </c>
      <c r="J85" t="n">
        <v>0</v>
      </c>
      <c r="K85" t="n">
        <v>0</v>
      </c>
      <c r="L85" t="n">
        <v>0</v>
      </c>
      <c r="M85" t="n">
        <v>0</v>
      </c>
      <c r="N85" t="n">
        <v>0</v>
      </c>
      <c r="O85" t="n">
        <v>0</v>
      </c>
      <c r="P85" t="n">
        <v>0</v>
      </c>
      <c r="Q85" t="n">
        <v>0</v>
      </c>
      <c r="R85" t="n">
        <v>0</v>
      </c>
      <c r="S85" t="n">
        <v>0</v>
      </c>
      <c r="T85" t="n">
        <v>0</v>
      </c>
      <c r="U85" t="n">
        <v>0</v>
      </c>
      <c r="V85" s="2" t="inlineStr"/>
    </row>
    <row r="86" ht="15" customHeight="1">
      <c r="A86" t="inlineStr">
        <is>
          <t>A 31134-2023</t>
        </is>
      </c>
      <c r="B86" t="inlineStr">
        <is>
          <t>avverkningsanmälan</t>
        </is>
      </c>
      <c r="C86" t="inlineStr">
        <is>
          <t>Föryngringsavverkning</t>
        </is>
      </c>
      <c r="D86" s="1" t="n">
        <v>45113</v>
      </c>
      <c r="E86" s="1" t="n">
        <v>46302</v>
      </c>
      <c r="F86" t="inlineStr">
        <is>
          <t>STOCKHOLMS LÄN</t>
        </is>
      </c>
      <c r="G86" t="inlineStr">
        <is>
          <t>ÖSTERÅKER</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10185-2025</t>
        </is>
      </c>
      <c r="B87" t="inlineStr">
        <is>
          <t>avverkningsanmälan</t>
        </is>
      </c>
      <c r="C87" t="inlineStr">
        <is>
          <t>Föryngringsavverkning</t>
        </is>
      </c>
      <c r="D87" s="1" t="n">
        <v>45719</v>
      </c>
      <c r="E87" s="1" t="n">
        <v>46302</v>
      </c>
      <c r="F87" t="inlineStr">
        <is>
          <t>STOCKHOLMS LÄN</t>
        </is>
      </c>
      <c r="G87" t="inlineStr">
        <is>
          <t>ÖSTERÅKER</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24499-2023</t>
        </is>
      </c>
      <c r="B88" t="inlineStr">
        <is>
          <t>avverkningsanmälan</t>
        </is>
      </c>
      <c r="C88" t="inlineStr">
        <is>
          <t>Föryngringsavverkning</t>
        </is>
      </c>
      <c r="D88" s="1" t="n">
        <v>45082</v>
      </c>
      <c r="E88" s="1" t="n">
        <v>46302</v>
      </c>
      <c r="F88" t="inlineStr">
        <is>
          <t>STOCKHOLMS LÄN</t>
        </is>
      </c>
      <c r="G88" t="inlineStr">
        <is>
          <t>ÖSTERÅKER</t>
        </is>
      </c>
      <c r="I88" t="n">
        <v>0.1</v>
      </c>
      <c r="J88" t="n">
        <v>0</v>
      </c>
      <c r="K88" t="n">
        <v>0</v>
      </c>
      <c r="L88" t="n">
        <v>0</v>
      </c>
      <c r="M88" t="n">
        <v>0</v>
      </c>
      <c r="N88" t="n">
        <v>0</v>
      </c>
      <c r="O88" t="n">
        <v>0</v>
      </c>
      <c r="P88" t="n">
        <v>0</v>
      </c>
      <c r="Q88" t="n">
        <v>0</v>
      </c>
      <c r="R88" t="n">
        <v>0</v>
      </c>
      <c r="S88" t="n">
        <v>0</v>
      </c>
      <c r="T88" t="n">
        <v>0</v>
      </c>
      <c r="U88" t="n">
        <v>0</v>
      </c>
      <c r="V88" s="2" t="inlineStr"/>
    </row>
    <row r="89" ht="15" customHeight="1">
      <c r="A89" t="inlineStr">
        <is>
          <t>A 40142-2026</t>
        </is>
      </c>
      <c r="B89" t="inlineStr">
        <is>
          <t>avverkningsanmälan</t>
        </is>
      </c>
      <c r="C89" t="inlineStr">
        <is>
          <t>Föryngringsavverkning</t>
        </is>
      </c>
      <c r="D89" s="1" t="n">
        <v>46293</v>
      </c>
      <c r="E89" s="1" t="n">
        <v>46302</v>
      </c>
      <c r="F89" t="inlineStr">
        <is>
          <t>STOCKHOLMS LÄN</t>
        </is>
      </c>
      <c r="G89" t="inlineStr">
        <is>
          <t>ÖSTERÅKER</t>
        </is>
      </c>
      <c r="I89" t="n">
        <v>5.6</v>
      </c>
      <c r="J89" t="n">
        <v>0</v>
      </c>
      <c r="K89" t="n">
        <v>0</v>
      </c>
      <c r="L89" t="n">
        <v>0</v>
      </c>
      <c r="M89" t="n">
        <v>0</v>
      </c>
      <c r="N89" t="n">
        <v>0</v>
      </c>
      <c r="O89" t="n">
        <v>0</v>
      </c>
      <c r="P89" t="n">
        <v>0</v>
      </c>
      <c r="Q89" t="n">
        <v>0</v>
      </c>
      <c r="R89" t="n">
        <v>0</v>
      </c>
      <c r="S89" t="n">
        <v>0</v>
      </c>
      <c r="T89" t="n">
        <v>0</v>
      </c>
      <c r="U89" t="n">
        <v>0</v>
      </c>
      <c r="V89" s="2" t="inlineStr"/>
    </row>
    <row r="90" ht="15" customHeight="1">
      <c r="A90" t="inlineStr">
        <is>
          <t>A 28146-2024</t>
        </is>
      </c>
      <c r="B90" t="inlineStr">
        <is>
          <t>avverkningsanmälan</t>
        </is>
      </c>
      <c r="C90" t="inlineStr">
        <is>
          <t>Föryngringsavverkning</t>
        </is>
      </c>
      <c r="D90" s="1" t="n">
        <v>45476</v>
      </c>
      <c r="E90" s="1" t="n">
        <v>46302</v>
      </c>
      <c r="F90" t="inlineStr">
        <is>
          <t>STOCKHOLMS LÄN</t>
        </is>
      </c>
      <c r="G90" t="inlineStr">
        <is>
          <t>ÖSTERÅKER</t>
        </is>
      </c>
      <c r="H90" t="inlineStr">
        <is>
          <t>Övriga Aktiebolag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57048-2024</t>
        </is>
      </c>
      <c r="B91" t="inlineStr">
        <is>
          <t>avverkningsanmälan</t>
        </is>
      </c>
      <c r="C91" t="inlineStr">
        <is>
          <t>Föryngringsavverkning</t>
        </is>
      </c>
      <c r="D91" s="1" t="n">
        <v>45629</v>
      </c>
      <c r="E91" s="1" t="n">
        <v>46302</v>
      </c>
      <c r="F91" t="inlineStr">
        <is>
          <t>STOCKHOLMS LÄN</t>
        </is>
      </c>
      <c r="G91" t="inlineStr">
        <is>
          <t>ÖSTERÅKER</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5286-2025</t>
        </is>
      </c>
      <c r="B92" t="inlineStr">
        <is>
          <t>avverkningsanmälan</t>
        </is>
      </c>
      <c r="C92" t="inlineStr">
        <is>
          <t>Föryngringsavverkning</t>
        </is>
      </c>
      <c r="D92" s="1" t="n">
        <v>45692</v>
      </c>
      <c r="E92" s="1" t="n">
        <v>46302</v>
      </c>
      <c r="F92" t="inlineStr">
        <is>
          <t>STOCKHOLMS LÄN</t>
        </is>
      </c>
      <c r="G92" t="inlineStr">
        <is>
          <t>ÖSTERÅKER</t>
        </is>
      </c>
      <c r="I92" t="n">
        <v>11.2</v>
      </c>
      <c r="J92" t="n">
        <v>0</v>
      </c>
      <c r="K92" t="n">
        <v>0</v>
      </c>
      <c r="L92" t="n">
        <v>0</v>
      </c>
      <c r="M92" t="n">
        <v>0</v>
      </c>
      <c r="N92" t="n">
        <v>0</v>
      </c>
      <c r="O92" t="n">
        <v>0</v>
      </c>
      <c r="P92" t="n">
        <v>0</v>
      </c>
      <c r="Q92" t="n">
        <v>0</v>
      </c>
      <c r="R92" t="n">
        <v>0</v>
      </c>
      <c r="S92" t="n">
        <v>0</v>
      </c>
      <c r="T92" t="n">
        <v>0</v>
      </c>
      <c r="U92" t="n">
        <v>0</v>
      </c>
      <c r="V92" s="2" t="inlineStr"/>
    </row>
    <row r="93" ht="15" customHeight="1">
      <c r="A93" t="inlineStr">
        <is>
          <t>A 3817-2023</t>
        </is>
      </c>
      <c r="B93" t="inlineStr">
        <is>
          <t>avverkningsanmälan</t>
        </is>
      </c>
      <c r="C93" t="inlineStr">
        <is>
          <t>Föryngringsavverkning</t>
        </is>
      </c>
      <c r="D93" s="1" t="n">
        <v>44951</v>
      </c>
      <c r="E93" s="1" t="n">
        <v>46302</v>
      </c>
      <c r="F93" t="inlineStr">
        <is>
          <t>STOCKHOLMS LÄN</t>
        </is>
      </c>
      <c r="G93" t="inlineStr">
        <is>
          <t>ÖSTERÅKER</t>
        </is>
      </c>
      <c r="H93" t="inlineStr">
        <is>
          <t>Kommuner</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544-2023</t>
        </is>
      </c>
      <c r="B94" t="inlineStr">
        <is>
          <t>avverkningsanmälan</t>
        </is>
      </c>
      <c r="C94" t="inlineStr">
        <is>
          <t>Avverkning för annat ändamål</t>
        </is>
      </c>
      <c r="D94" s="1" t="n">
        <v>44924</v>
      </c>
      <c r="E94" s="1" t="n">
        <v>46302</v>
      </c>
      <c r="F94" t="inlineStr">
        <is>
          <t>STOCKHOLMS LÄN</t>
        </is>
      </c>
      <c r="G94" t="inlineStr">
        <is>
          <t>ÖSTERÅKER</t>
        </is>
      </c>
      <c r="H94" t="inlineStr">
        <is>
          <t>Övriga Aktiebolag</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3326-2022</t>
        </is>
      </c>
      <c r="B95" t="inlineStr">
        <is>
          <t>avverkningsanmälan</t>
        </is>
      </c>
      <c r="C95" t="inlineStr">
        <is>
          <t>Föryngringsavverkning</t>
        </is>
      </c>
      <c r="D95" s="1" t="n">
        <v>44583</v>
      </c>
      <c r="E95" s="1" t="n">
        <v>46302</v>
      </c>
      <c r="F95" t="inlineStr">
        <is>
          <t>STOCKHOLMS LÄN</t>
        </is>
      </c>
      <c r="G95" t="inlineStr">
        <is>
          <t>ÖSTERÅKER</t>
        </is>
      </c>
      <c r="H95" t="inlineStr">
        <is>
          <t>Övriga Aktiebolag</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13366-2024</t>
        </is>
      </c>
      <c r="B96" t="inlineStr">
        <is>
          <t>avverkningsanmälan</t>
        </is>
      </c>
      <c r="C96" t="inlineStr">
        <is>
          <t>Föryngringsavverkning</t>
        </is>
      </c>
      <c r="D96" s="1" t="n">
        <v>45387</v>
      </c>
      <c r="E96" s="1" t="n">
        <v>46302</v>
      </c>
      <c r="F96" t="inlineStr">
        <is>
          <t>STOCKHOLMS LÄN</t>
        </is>
      </c>
      <c r="G96" t="inlineStr">
        <is>
          <t>ÖSTERÅKER</t>
        </is>
      </c>
      <c r="I96" t="n">
        <v>13.7</v>
      </c>
      <c r="J96" t="n">
        <v>0</v>
      </c>
      <c r="K96" t="n">
        <v>0</v>
      </c>
      <c r="L96" t="n">
        <v>0</v>
      </c>
      <c r="M96" t="n">
        <v>0</v>
      </c>
      <c r="N96" t="n">
        <v>0</v>
      </c>
      <c r="O96" t="n">
        <v>0</v>
      </c>
      <c r="P96" t="n">
        <v>0</v>
      </c>
      <c r="Q96" t="n">
        <v>0</v>
      </c>
      <c r="R96" t="n">
        <v>0</v>
      </c>
      <c r="S96" t="n">
        <v>0</v>
      </c>
      <c r="T96" t="n">
        <v>0</v>
      </c>
      <c r="U96" t="n">
        <v>0</v>
      </c>
      <c r="V96" s="2" t="inlineStr"/>
    </row>
    <row r="97" ht="15" customHeight="1">
      <c r="A97" t="inlineStr">
        <is>
          <t>A 57055-2024</t>
        </is>
      </c>
      <c r="B97" t="inlineStr">
        <is>
          <t>avverkningsanmälan</t>
        </is>
      </c>
      <c r="C97" t="inlineStr">
        <is>
          <t>Föryngringsavverkning</t>
        </is>
      </c>
      <c r="D97" s="1" t="n">
        <v>45629</v>
      </c>
      <c r="E97" s="1" t="n">
        <v>46302</v>
      </c>
      <c r="F97" t="inlineStr">
        <is>
          <t>STOCKHOLMS LÄN</t>
        </is>
      </c>
      <c r="G97" t="inlineStr">
        <is>
          <t>ÖSTERÅKER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59379-2022</t>
        </is>
      </c>
      <c r="B98" t="inlineStr">
        <is>
          <t>avverkningsanmälan</t>
        </is>
      </c>
      <c r="C98" t="inlineStr">
        <is>
          <t>Föryngringsavverkning</t>
        </is>
      </c>
      <c r="D98" s="1" t="n">
        <v>44905</v>
      </c>
      <c r="E98" s="1" t="n">
        <v>46302</v>
      </c>
      <c r="F98" t="inlineStr">
        <is>
          <t>STOCKHOLMS LÄN</t>
        </is>
      </c>
      <c r="G98" t="inlineStr">
        <is>
          <t>ÖSTERÅKER</t>
        </is>
      </c>
      <c r="H98" t="inlineStr">
        <is>
          <t>Kommuner</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46688-2022</t>
        </is>
      </c>
      <c r="B99" t="inlineStr">
        <is>
          <t>avverkningsanmälan</t>
        </is>
      </c>
      <c r="C99" t="inlineStr">
        <is>
          <t>Föryngringsavverkning</t>
        </is>
      </c>
      <c r="D99" s="1" t="n">
        <v>44851</v>
      </c>
      <c r="E99" s="1" t="n">
        <v>46302</v>
      </c>
      <c r="F99" t="inlineStr">
        <is>
          <t>STOCKHOLMS LÄN</t>
        </is>
      </c>
      <c r="G99" t="inlineStr">
        <is>
          <t>ÖSTERÅKER</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16738-2022</t>
        </is>
      </c>
      <c r="B100" t="inlineStr">
        <is>
          <t>avverkningsanmälan</t>
        </is>
      </c>
      <c r="C100" t="inlineStr">
        <is>
          <t>Avverkning för annat ändamål</t>
        </is>
      </c>
      <c r="D100" s="1" t="n">
        <v>44673</v>
      </c>
      <c r="E100" s="1" t="n">
        <v>46302</v>
      </c>
      <c r="F100" t="inlineStr">
        <is>
          <t>STOCKHOLMS LÄN</t>
        </is>
      </c>
      <c r="G100" t="inlineStr">
        <is>
          <t>ÖSTERÅKER</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17196-2022</t>
        </is>
      </c>
      <c r="B101" t="inlineStr">
        <is>
          <t>avverkningsanmälan</t>
        </is>
      </c>
      <c r="C101" t="inlineStr">
        <is>
          <t>Föryngringsavverkning</t>
        </is>
      </c>
      <c r="D101" s="1" t="n">
        <v>44677</v>
      </c>
      <c r="E101" s="1" t="n">
        <v>46302</v>
      </c>
      <c r="F101" t="inlineStr">
        <is>
          <t>STOCKHOLMS LÄN</t>
        </is>
      </c>
      <c r="G101" t="inlineStr">
        <is>
          <t>ÖSTERÅKER</t>
        </is>
      </c>
      <c r="I101" t="n">
        <v>5.9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3917-2023</t>
        </is>
      </c>
      <c r="B102" t="inlineStr">
        <is>
          <t>avverkningsanmälan</t>
        </is>
      </c>
      <c r="C102" t="inlineStr">
        <is>
          <t>Föryngringsavverkning</t>
        </is>
      </c>
      <c r="D102" s="1" t="n">
        <v>44952</v>
      </c>
      <c r="E102" s="1" t="n">
        <v>46302</v>
      </c>
      <c r="F102" t="inlineStr">
        <is>
          <t>STOCKHOLMS LÄN</t>
        </is>
      </c>
      <c r="G102" t="inlineStr">
        <is>
          <t>ÖSTERÅKER</t>
        </is>
      </c>
      <c r="H102" t="inlineStr">
        <is>
          <t>Kommuner</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62108-2022</t>
        </is>
      </c>
      <c r="B103" t="inlineStr">
        <is>
          <t>avverkningsanmälan</t>
        </is>
      </c>
      <c r="C103" t="inlineStr">
        <is>
          <t>Föryngringsavverkning</t>
        </is>
      </c>
      <c r="D103" s="1" t="n">
        <v>44920</v>
      </c>
      <c r="E103" s="1" t="n">
        <v>46302</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104-2024</t>
        </is>
      </c>
      <c r="B104" t="inlineStr">
        <is>
          <t>samrådsanmälan</t>
        </is>
      </c>
      <c r="C104" t="inlineStr">
        <is>
          <t>Annan skogsbruksåtgärd</t>
        </is>
      </c>
      <c r="D104" s="1" t="n">
        <v>45302</v>
      </c>
      <c r="E104" s="1" t="n">
        <v>46302</v>
      </c>
      <c r="F104" t="inlineStr">
        <is>
          <t>STOCKHOLMS LÄN</t>
        </is>
      </c>
      <c r="G104" t="inlineStr">
        <is>
          <t>ÖSTERÅKER</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S 156-2024</t>
        </is>
      </c>
      <c r="B105" t="inlineStr">
        <is>
          <t>samrådsanmälan</t>
        </is>
      </c>
      <c r="C105" t="inlineStr">
        <is>
          <t>Annan skogsbruksåtgärd</t>
        </is>
      </c>
      <c r="D105" s="1" t="n">
        <v>45309</v>
      </c>
      <c r="E105" s="1" t="n">
        <v>46302</v>
      </c>
      <c r="F105" t="inlineStr">
        <is>
          <t>STOCKHOLMS LÄN</t>
        </is>
      </c>
      <c r="G105" t="inlineStr">
        <is>
          <t>ÖSTERÅKER</t>
        </is>
      </c>
      <c r="I105" t="n">
        <v>7.2</v>
      </c>
      <c r="J105" t="n">
        <v>0</v>
      </c>
      <c r="K105" t="n">
        <v>0</v>
      </c>
      <c r="L105" t="n">
        <v>0</v>
      </c>
      <c r="M105" t="n">
        <v>0</v>
      </c>
      <c r="N105" t="n">
        <v>0</v>
      </c>
      <c r="O105" t="n">
        <v>0</v>
      </c>
      <c r="P105" t="n">
        <v>0</v>
      </c>
      <c r="Q105" t="n">
        <v>0</v>
      </c>
      <c r="R105" t="n">
        <v>0</v>
      </c>
      <c r="S105" t="n">
        <v>0</v>
      </c>
      <c r="T105" t="n">
        <v>0</v>
      </c>
      <c r="U105" t="n">
        <v>0</v>
      </c>
      <c r="V105" s="2" t="inlineStr"/>
    </row>
    <row r="106">
      <c r="A106" t="inlineStr">
        <is>
          <t>S 2021-2026</t>
        </is>
      </c>
      <c r="B106" t="inlineStr">
        <is>
          <t>samrådsanmälan</t>
        </is>
      </c>
      <c r="C106" t="inlineStr">
        <is>
          <t>Annan skogsbruksåtgärd</t>
        </is>
      </c>
      <c r="D106" s="1" t="n">
        <v>46210</v>
      </c>
      <c r="E106" s="1" t="n">
        <v>46302</v>
      </c>
      <c r="F106" t="inlineStr">
        <is>
          <t>STOCKHOLMS LÄN</t>
        </is>
      </c>
      <c r="G106" t="inlineStr">
        <is>
          <t>ÖSTERÅKER</t>
        </is>
      </c>
      <c r="I106" t="n">
        <v>2.6</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2026-10-07T02:07:51Z</dcterms:created>
  <dcterms:modified xmlns:dcterms="http://purl.org/dc/terms/" xmlns:xsi="http://www.w3.org/2001/XMLSchema-instance" xsi:type="dcterms:W3CDTF">2026-10-07T02:07:51Z</dcterms:modified>
</cp:coreProperties>
</file>