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46025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46025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46025</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46025</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46025</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46025</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46025</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46025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46025</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46025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46025</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31523-2022</t>
        </is>
      </c>
      <c r="B13" s="1" t="n">
        <v>44775.22490740741</v>
      </c>
      <c r="C13" s="1" t="n">
        <v>46025</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43308-2024</t>
        </is>
      </c>
      <c r="B14" s="1" t="n">
        <v>45568</v>
      </c>
      <c r="C14" s="1" t="n">
        <v>46025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36366-2025</t>
        </is>
      </c>
      <c r="B15" s="1" t="n">
        <v>45868</v>
      </c>
      <c r="C15" s="1" t="n">
        <v>46025</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62578-2025</t>
        </is>
      </c>
      <c r="B16" s="1" t="n">
        <v>46007.76833333333</v>
      </c>
      <c r="C16" s="1" t="n">
        <v>46025</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46025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46025</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46025</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46025</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46025</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31716-2025</t>
        </is>
      </c>
      <c r="B22" s="1" t="n">
        <v>45834</v>
      </c>
      <c r="C22" s="1" t="n">
        <v>46025</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13942-2021</t>
        </is>
      </c>
      <c r="B23" s="1" t="n">
        <v>44277</v>
      </c>
      <c r="C23" s="1" t="n">
        <v>46025</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3914-2023</t>
        </is>
      </c>
      <c r="B24" s="1" t="n">
        <v>44952.30934027778</v>
      </c>
      <c r="C24" s="1" t="n">
        <v>46025</v>
      </c>
      <c r="D24" t="inlineStr">
        <is>
          <t>STOCKHOLMS LÄN</t>
        </is>
      </c>
      <c r="E24" t="inlineStr">
        <is>
          <t>ÖSTERÅKER</t>
        </is>
      </c>
      <c r="F24" t="inlineStr">
        <is>
          <t>Kommuner</t>
        </is>
      </c>
      <c r="G24" t="n">
        <v>15.3</v>
      </c>
      <c r="H24" t="n">
        <v>1</v>
      </c>
      <c r="I24" t="n">
        <v>0</v>
      </c>
      <c r="J24" t="n">
        <v>0</v>
      </c>
      <c r="K24" t="n">
        <v>0</v>
      </c>
      <c r="L24" t="n">
        <v>0</v>
      </c>
      <c r="M24" t="n">
        <v>0</v>
      </c>
      <c r="N24" t="n">
        <v>0</v>
      </c>
      <c r="O24" t="n">
        <v>0</v>
      </c>
      <c r="P24" t="n">
        <v>0</v>
      </c>
      <c r="Q24" t="n">
        <v>1</v>
      </c>
      <c r="R24" s="2" t="inlineStr">
        <is>
          <t>Gråkråka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row>
    <row r="25" ht="15" customHeight="1">
      <c r="A25" t="inlineStr">
        <is>
          <t>A 27921-2025</t>
        </is>
      </c>
      <c r="B25" s="1" t="n">
        <v>45817.4846875</v>
      </c>
      <c r="C25" s="1" t="n">
        <v>46025</v>
      </c>
      <c r="D25" t="inlineStr">
        <is>
          <t>STOCKHOLMS LÄN</t>
        </is>
      </c>
      <c r="E25" t="inlineStr">
        <is>
          <t>ÖSTERÅKER</t>
        </is>
      </c>
      <c r="G25" t="n">
        <v>11.8</v>
      </c>
      <c r="H25" t="n">
        <v>1</v>
      </c>
      <c r="I25" t="n">
        <v>0</v>
      </c>
      <c r="J25" t="n">
        <v>0</v>
      </c>
      <c r="K25" t="n">
        <v>0</v>
      </c>
      <c r="L25" t="n">
        <v>0</v>
      </c>
      <c r="M25" t="n">
        <v>0</v>
      </c>
      <c r="N25" t="n">
        <v>0</v>
      </c>
      <c r="O25" t="n">
        <v>0</v>
      </c>
      <c r="P25" t="n">
        <v>0</v>
      </c>
      <c r="Q25" t="n">
        <v>1</v>
      </c>
      <c r="R25" s="2" t="inlineStr">
        <is>
          <t>Mindre vattensalamander</t>
        </is>
      </c>
      <c r="S25">
        <f>HYPERLINK("https://klasma.github.io/Logging_0117/artfynd/A 27921-2025 artfynd.xlsx", "A 27921-2025")</f>
        <v/>
      </c>
      <c r="T25">
        <f>HYPERLINK("https://klasma.github.io/Logging_0117/kartor/A 27921-2025 karta.png", "A 27921-2025")</f>
        <v/>
      </c>
      <c r="V25">
        <f>HYPERLINK("https://klasma.github.io/Logging_0117/klagomål/A 27921-2025 FSC-klagomål.docx", "A 27921-2025")</f>
        <v/>
      </c>
      <c r="W25">
        <f>HYPERLINK("https://klasma.github.io/Logging_0117/klagomålsmail/A 27921-2025 FSC-klagomål mail.docx", "A 27921-2025")</f>
        <v/>
      </c>
      <c r="X25">
        <f>HYPERLINK("https://klasma.github.io/Logging_0117/tillsyn/A 27921-2025 tillsynsbegäran.docx", "A 27921-2025")</f>
        <v/>
      </c>
      <c r="Y25">
        <f>HYPERLINK("https://klasma.github.io/Logging_0117/tillsynsmail/A 27921-2025 tillsynsbegäran mail.docx", "A 27921-2025")</f>
        <v/>
      </c>
    </row>
    <row r="26" ht="15" customHeight="1">
      <c r="A26" t="inlineStr">
        <is>
          <t>A 848-2022</t>
        </is>
      </c>
      <c r="B26" s="1" t="n">
        <v>44569</v>
      </c>
      <c r="C26" s="1" t="n">
        <v>46025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46025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46025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46025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46025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46025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46025</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46025</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46025</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46025</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46025</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46025</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46025</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46025</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46025</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46025</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46025</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46025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46025</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46025</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46025</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46025</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22080-2024</t>
        </is>
      </c>
      <c r="B48" s="1" t="n">
        <v>45443.64962962963</v>
      </c>
      <c r="C48" s="1" t="n">
        <v>46025</v>
      </c>
      <c r="D48" t="inlineStr">
        <is>
          <t>STOCKHOLMS LÄN</t>
        </is>
      </c>
      <c r="E48" t="inlineStr">
        <is>
          <t>ÖSTERÅKER</t>
        </is>
      </c>
      <c r="F48" t="inlineStr">
        <is>
          <t>Övriga Aktiebolag</t>
        </is>
      </c>
      <c r="G48" t="n">
        <v>2.1</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46025</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46025</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46025</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46025</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22528-2024</t>
        </is>
      </c>
      <c r="B53" s="1" t="n">
        <v>45447.44967592593</v>
      </c>
      <c r="C53" s="1" t="n">
        <v>46025</v>
      </c>
      <c r="D53" t="inlineStr">
        <is>
          <t>STOCKHOLMS LÄN</t>
        </is>
      </c>
      <c r="E53" t="inlineStr">
        <is>
          <t>ÖSTERÅKER</t>
        </is>
      </c>
      <c r="F53" t="inlineStr">
        <is>
          <t>Övriga Aktiebolag</t>
        </is>
      </c>
      <c r="G53" t="n">
        <v>1.4</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46025</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46025</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46025</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46025</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3917-2023</t>
        </is>
      </c>
      <c r="B58" s="1" t="n">
        <v>44952</v>
      </c>
      <c r="C58" s="1" t="n">
        <v>46025</v>
      </c>
      <c r="D58" t="inlineStr">
        <is>
          <t>STOCKHOLMS LÄN</t>
        </is>
      </c>
      <c r="E58" t="inlineStr">
        <is>
          <t>ÖSTERÅKER</t>
        </is>
      </c>
      <c r="F58" t="inlineStr">
        <is>
          <t>Kommuner</t>
        </is>
      </c>
      <c r="G58" t="n">
        <v>2.8</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46025</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46025</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34034-2025</t>
        </is>
      </c>
      <c r="B61" s="1" t="n">
        <v>45842</v>
      </c>
      <c r="C61" s="1" t="n">
        <v>46025</v>
      </c>
      <c r="D61" t="inlineStr">
        <is>
          <t>STOCKHOLMS LÄN</t>
        </is>
      </c>
      <c r="E61" t="inlineStr">
        <is>
          <t>ÖSTERÅKER</t>
        </is>
      </c>
      <c r="F61" t="inlineStr">
        <is>
          <t>Övriga Aktiebolag</t>
        </is>
      </c>
      <c r="G61" t="n">
        <v>3.9</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46025</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46025</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544-2023</t>
        </is>
      </c>
      <c r="B64" s="1" t="n">
        <v>44924</v>
      </c>
      <c r="C64" s="1" t="n">
        <v>46025</v>
      </c>
      <c r="D64" t="inlineStr">
        <is>
          <t>STOCKHOLMS LÄN</t>
        </is>
      </c>
      <c r="E64" t="inlineStr">
        <is>
          <t>ÖSTERÅKER</t>
        </is>
      </c>
      <c r="F64" t="inlineStr">
        <is>
          <t>Övriga Aktiebolag</t>
        </is>
      </c>
      <c r="G64" t="n">
        <v>0.9</v>
      </c>
      <c r="H64" t="n">
        <v>0</v>
      </c>
      <c r="I64" t="n">
        <v>0</v>
      </c>
      <c r="J64" t="n">
        <v>0</v>
      </c>
      <c r="K64" t="n">
        <v>0</v>
      </c>
      <c r="L64" t="n">
        <v>0</v>
      </c>
      <c r="M64" t="n">
        <v>0</v>
      </c>
      <c r="N64" t="n">
        <v>0</v>
      </c>
      <c r="O64" t="n">
        <v>0</v>
      </c>
      <c r="P64" t="n">
        <v>0</v>
      </c>
      <c r="Q64" t="n">
        <v>0</v>
      </c>
      <c r="R64" s="2" t="inlineStr"/>
    </row>
    <row r="65" ht="15" customHeight="1">
      <c r="A65" t="inlineStr">
        <is>
          <t>A 35656-2025</t>
        </is>
      </c>
      <c r="B65" s="1" t="n">
        <v>45859</v>
      </c>
      <c r="C65" s="1" t="n">
        <v>46025</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35819-2025</t>
        </is>
      </c>
      <c r="B66" s="1" t="n">
        <v>45861</v>
      </c>
      <c r="C66" s="1" t="n">
        <v>46025</v>
      </c>
      <c r="D66" t="inlineStr">
        <is>
          <t>STOCKHOLMS LÄN</t>
        </is>
      </c>
      <c r="E66" t="inlineStr">
        <is>
          <t>ÖSTERÅKER</t>
        </is>
      </c>
      <c r="F66" t="inlineStr">
        <is>
          <t>Övriga Aktiebolag</t>
        </is>
      </c>
      <c r="G66" t="n">
        <v>8</v>
      </c>
      <c r="H66" t="n">
        <v>0</v>
      </c>
      <c r="I66" t="n">
        <v>0</v>
      </c>
      <c r="J66" t="n">
        <v>0</v>
      </c>
      <c r="K66" t="n">
        <v>0</v>
      </c>
      <c r="L66" t="n">
        <v>0</v>
      </c>
      <c r="M66" t="n">
        <v>0</v>
      </c>
      <c r="N66" t="n">
        <v>0</v>
      </c>
      <c r="O66" t="n">
        <v>0</v>
      </c>
      <c r="P66" t="n">
        <v>0</v>
      </c>
      <c r="Q66" t="n">
        <v>0</v>
      </c>
      <c r="R66" s="2" t="inlineStr"/>
    </row>
    <row r="67" ht="15" customHeight="1">
      <c r="A67" t="inlineStr">
        <is>
          <t>A 470-2022</t>
        </is>
      </c>
      <c r="B67" s="1" t="n">
        <v>44565</v>
      </c>
      <c r="C67" s="1" t="n">
        <v>46025</v>
      </c>
      <c r="D67" t="inlineStr">
        <is>
          <t>STOCKHOLMS LÄN</t>
        </is>
      </c>
      <c r="E67" t="inlineStr">
        <is>
          <t>ÖSTERÅKER</t>
        </is>
      </c>
      <c r="F67" t="inlineStr">
        <is>
          <t>Övriga Aktiebolag</t>
        </is>
      </c>
      <c r="G67" t="n">
        <v>4.6</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46025</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46025</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46025</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31575-2022</t>
        </is>
      </c>
      <c r="B71" s="1" t="n">
        <v>44775.45063657407</v>
      </c>
      <c r="C71" s="1" t="n">
        <v>46025</v>
      </c>
      <c r="D71" t="inlineStr">
        <is>
          <t>STOCKHOLMS LÄN</t>
        </is>
      </c>
      <c r="E71" t="inlineStr">
        <is>
          <t>ÖSTERÅKER</t>
        </is>
      </c>
      <c r="G71" t="n">
        <v>5</v>
      </c>
      <c r="H71" t="n">
        <v>0</v>
      </c>
      <c r="I71" t="n">
        <v>0</v>
      </c>
      <c r="J71" t="n">
        <v>0</v>
      </c>
      <c r="K71" t="n">
        <v>0</v>
      </c>
      <c r="L71" t="n">
        <v>0</v>
      </c>
      <c r="M71" t="n">
        <v>0</v>
      </c>
      <c r="N71" t="n">
        <v>0</v>
      </c>
      <c r="O71" t="n">
        <v>0</v>
      </c>
      <c r="P71" t="n">
        <v>0</v>
      </c>
      <c r="Q71" t="n">
        <v>0</v>
      </c>
      <c r="R71" s="2" t="inlineStr"/>
    </row>
    <row r="72" ht="15" customHeight="1">
      <c r="A72" t="inlineStr">
        <is>
          <t>A 60482-2025</t>
        </is>
      </c>
      <c r="B72" s="1" t="n">
        <v>45995.59832175926</v>
      </c>
      <c r="C72" s="1" t="n">
        <v>46025</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46025</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46025</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13366-2024</t>
        </is>
      </c>
      <c r="B75" s="1" t="n">
        <v>45387</v>
      </c>
      <c r="C75" s="1" t="n">
        <v>46025</v>
      </c>
      <c r="D75" t="inlineStr">
        <is>
          <t>STOCKHOLMS LÄN</t>
        </is>
      </c>
      <c r="E75" t="inlineStr">
        <is>
          <t>ÖSTERÅKER</t>
        </is>
      </c>
      <c r="G75" t="n">
        <v>13.7</v>
      </c>
      <c r="H75" t="n">
        <v>0</v>
      </c>
      <c r="I75" t="n">
        <v>0</v>
      </c>
      <c r="J75" t="n">
        <v>0</v>
      </c>
      <c r="K75" t="n">
        <v>0</v>
      </c>
      <c r="L75" t="n">
        <v>0</v>
      </c>
      <c r="M75" t="n">
        <v>0</v>
      </c>
      <c r="N75" t="n">
        <v>0</v>
      </c>
      <c r="O75" t="n">
        <v>0</v>
      </c>
      <c r="P75" t="n">
        <v>0</v>
      </c>
      <c r="Q75" t="n">
        <v>0</v>
      </c>
      <c r="R75" s="2" t="inlineStr"/>
    </row>
    <row r="76" ht="15" customHeight="1">
      <c r="A76" t="inlineStr">
        <is>
          <t>A 61360-2022</t>
        </is>
      </c>
      <c r="B76" s="1" t="n">
        <v>44915</v>
      </c>
      <c r="C76" s="1" t="n">
        <v>46025</v>
      </c>
      <c r="D76" t="inlineStr">
        <is>
          <t>STOCKHOLMS LÄN</t>
        </is>
      </c>
      <c r="E76" t="inlineStr">
        <is>
          <t>ÖSTERÅKER</t>
        </is>
      </c>
      <c r="G76" t="n">
        <v>2.3</v>
      </c>
      <c r="H76" t="n">
        <v>0</v>
      </c>
      <c r="I76" t="n">
        <v>0</v>
      </c>
      <c r="J76" t="n">
        <v>0</v>
      </c>
      <c r="K76" t="n">
        <v>0</v>
      </c>
      <c r="L76" t="n">
        <v>0</v>
      </c>
      <c r="M76" t="n">
        <v>0</v>
      </c>
      <c r="N76" t="n">
        <v>0</v>
      </c>
      <c r="O76" t="n">
        <v>0</v>
      </c>
      <c r="P76" t="n">
        <v>0</v>
      </c>
      <c r="Q76" t="n">
        <v>0</v>
      </c>
      <c r="R76" s="2" t="inlineStr"/>
    </row>
    <row r="77" ht="15" customHeight="1">
      <c r="A77" t="inlineStr">
        <is>
          <t>A 62108-2022</t>
        </is>
      </c>
      <c r="B77" s="1" t="n">
        <v>44920</v>
      </c>
      <c r="C77" s="1" t="n">
        <v>46025</v>
      </c>
      <c r="D77" t="inlineStr">
        <is>
          <t>STOCKHOLMS LÄN</t>
        </is>
      </c>
      <c r="E77" t="inlineStr">
        <is>
          <t>ÖSTERÅKER</t>
        </is>
      </c>
      <c r="G77" t="n">
        <v>1.5</v>
      </c>
      <c r="H77" t="n">
        <v>0</v>
      </c>
      <c r="I77" t="n">
        <v>0</v>
      </c>
      <c r="J77" t="n">
        <v>0</v>
      </c>
      <c r="K77" t="n">
        <v>0</v>
      </c>
      <c r="L77" t="n">
        <v>0</v>
      </c>
      <c r="M77" t="n">
        <v>0</v>
      </c>
      <c r="N77" t="n">
        <v>0</v>
      </c>
      <c r="O77" t="n">
        <v>0</v>
      </c>
      <c r="P77" t="n">
        <v>0</v>
      </c>
      <c r="Q77" t="n">
        <v>0</v>
      </c>
      <c r="R77" s="2" t="inlineStr"/>
    </row>
    <row r="78" ht="15" customHeight="1">
      <c r="A78" t="inlineStr">
        <is>
          <t>A 62831-2025</t>
        </is>
      </c>
      <c r="B78" s="1" t="n">
        <v>46008.67471064815</v>
      </c>
      <c r="C78" s="1" t="n">
        <v>46025</v>
      </c>
      <c r="D78" t="inlineStr">
        <is>
          <t>STOCKHOLMS LÄN</t>
        </is>
      </c>
      <c r="E78" t="inlineStr">
        <is>
          <t>ÖSTERÅKER</t>
        </is>
      </c>
      <c r="G78" t="n">
        <v>1.6</v>
      </c>
      <c r="H78" t="n">
        <v>0</v>
      </c>
      <c r="I78" t="n">
        <v>0</v>
      </c>
      <c r="J78" t="n">
        <v>0</v>
      </c>
      <c r="K78" t="n">
        <v>0</v>
      </c>
      <c r="L78" t="n">
        <v>0</v>
      </c>
      <c r="M78" t="n">
        <v>0</v>
      </c>
      <c r="N78" t="n">
        <v>0</v>
      </c>
      <c r="O78" t="n">
        <v>0</v>
      </c>
      <c r="P78" t="n">
        <v>0</v>
      </c>
      <c r="Q78" t="n">
        <v>0</v>
      </c>
      <c r="R78" s="2" t="inlineStr"/>
    </row>
    <row r="79" ht="15" customHeight="1">
      <c r="A79" t="inlineStr">
        <is>
          <t>A 62839-2025</t>
        </is>
      </c>
      <c r="B79" s="1" t="n">
        <v>46008.68847222222</v>
      </c>
      <c r="C79" s="1" t="n">
        <v>46025</v>
      </c>
      <c r="D79" t="inlineStr">
        <is>
          <t>STOCKHOLMS LÄN</t>
        </is>
      </c>
      <c r="E79" t="inlineStr">
        <is>
          <t>ÖSTERÅKER</t>
        </is>
      </c>
      <c r="G79" t="n">
        <v>1.4</v>
      </c>
      <c r="H79" t="n">
        <v>0</v>
      </c>
      <c r="I79" t="n">
        <v>0</v>
      </c>
      <c r="J79" t="n">
        <v>0</v>
      </c>
      <c r="K79" t="n">
        <v>0</v>
      </c>
      <c r="L79" t="n">
        <v>0</v>
      </c>
      <c r="M79" t="n">
        <v>0</v>
      </c>
      <c r="N79" t="n">
        <v>0</v>
      </c>
      <c r="O79" t="n">
        <v>0</v>
      </c>
      <c r="P79" t="n">
        <v>0</v>
      </c>
      <c r="Q79" t="n">
        <v>0</v>
      </c>
      <c r="R79" s="2" t="inlineStr"/>
    </row>
    <row r="80" ht="15" customHeight="1">
      <c r="A80" t="inlineStr">
        <is>
          <t>A 61781-2025</t>
        </is>
      </c>
      <c r="B80" s="1" t="n">
        <v>46002</v>
      </c>
      <c r="C80" s="1" t="n">
        <v>46025</v>
      </c>
      <c r="D80" t="inlineStr">
        <is>
          <t>STOCKHOLMS LÄN</t>
        </is>
      </c>
      <c r="E80" t="inlineStr">
        <is>
          <t>ÖSTERÅKER</t>
        </is>
      </c>
      <c r="G80" t="n">
        <v>4.9</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46025</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46025</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46025</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57055-2024</t>
        </is>
      </c>
      <c r="B84" s="1" t="n">
        <v>45629.34627314815</v>
      </c>
      <c r="C84" s="1" t="n">
        <v>46025</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23144-2024</t>
        </is>
      </c>
      <c r="B85" s="1" t="n">
        <v>45450.63202546296</v>
      </c>
      <c r="C85" s="1" t="n">
        <v>46025</v>
      </c>
      <c r="D85" t="inlineStr">
        <is>
          <t>STOCKHOLMS LÄN</t>
        </is>
      </c>
      <c r="E85" t="inlineStr">
        <is>
          <t>ÖSTERÅKER</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3326-2022</t>
        </is>
      </c>
      <c r="B86" s="1" t="n">
        <v>44583</v>
      </c>
      <c r="C86" s="1" t="n">
        <v>46025</v>
      </c>
      <c r="D86" t="inlineStr">
        <is>
          <t>STOCKHOLMS LÄN</t>
        </is>
      </c>
      <c r="E86" t="inlineStr">
        <is>
          <t>ÖSTERÅKER</t>
        </is>
      </c>
      <c r="F86" t="inlineStr">
        <is>
          <t>Övriga Aktiebolag</t>
        </is>
      </c>
      <c r="G86" t="n">
        <v>2.7</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46025</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46025</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46025</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46025</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46025</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16728-2022</t>
        </is>
      </c>
      <c r="B92" s="1" t="n">
        <v>44673</v>
      </c>
      <c r="C92" s="1" t="n">
        <v>46025</v>
      </c>
      <c r="D92" t="inlineStr">
        <is>
          <t>STOCKHOLMS LÄN</t>
        </is>
      </c>
      <c r="E92" t="inlineStr">
        <is>
          <t>ÖSTERÅKER</t>
        </is>
      </c>
      <c r="G92" t="n">
        <v>0.9</v>
      </c>
      <c r="H92" t="n">
        <v>0</v>
      </c>
      <c r="I92" t="n">
        <v>0</v>
      </c>
      <c r="J92" t="n">
        <v>0</v>
      </c>
      <c r="K92" t="n">
        <v>0</v>
      </c>
      <c r="L92" t="n">
        <v>0</v>
      </c>
      <c r="M92" t="n">
        <v>0</v>
      </c>
      <c r="N92" t="n">
        <v>0</v>
      </c>
      <c r="O92" t="n">
        <v>0</v>
      </c>
      <c r="P92" t="n">
        <v>0</v>
      </c>
      <c r="Q92" t="n">
        <v>0</v>
      </c>
      <c r="R92" s="2" t="inlineStr"/>
    </row>
    <row r="93" ht="15" customHeight="1">
      <c r="A93" t="inlineStr">
        <is>
          <t>A 14776-2024</t>
        </is>
      </c>
      <c r="B93" s="1" t="n">
        <v>45397</v>
      </c>
      <c r="C93" s="1" t="n">
        <v>46025</v>
      </c>
      <c r="D93" t="inlineStr">
        <is>
          <t>STOCKHOLMS LÄN</t>
        </is>
      </c>
      <c r="E93" t="inlineStr">
        <is>
          <t>ÖSTERÅKER</t>
        </is>
      </c>
      <c r="G93" t="n">
        <v>13.6</v>
      </c>
      <c r="H93" t="n">
        <v>0</v>
      </c>
      <c r="I93" t="n">
        <v>0</v>
      </c>
      <c r="J93" t="n">
        <v>0</v>
      </c>
      <c r="K93" t="n">
        <v>0</v>
      </c>
      <c r="L93" t="n">
        <v>0</v>
      </c>
      <c r="M93" t="n">
        <v>0</v>
      </c>
      <c r="N93" t="n">
        <v>0</v>
      </c>
      <c r="O93" t="n">
        <v>0</v>
      </c>
      <c r="P93" t="n">
        <v>0</v>
      </c>
      <c r="Q93" t="n">
        <v>0</v>
      </c>
      <c r="R93" s="2" t="inlineStr"/>
    </row>
    <row r="94" ht="15" customHeight="1">
      <c r="A94" t="inlineStr">
        <is>
          <t>A 61370-2022</t>
        </is>
      </c>
      <c r="B94" s="1" t="n">
        <v>44915</v>
      </c>
      <c r="C94" s="1" t="n">
        <v>46025</v>
      </c>
      <c r="D94" t="inlineStr">
        <is>
          <t>STOCKHOLMS LÄN</t>
        </is>
      </c>
      <c r="E94" t="inlineStr">
        <is>
          <t>ÖSTERÅKER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46025</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46025</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46025</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17196-2022</t>
        </is>
      </c>
      <c r="B98" s="1" t="n">
        <v>44677</v>
      </c>
      <c r="C98" s="1" t="n">
        <v>46025</v>
      </c>
      <c r="D98" t="inlineStr">
        <is>
          <t>STOCKHOLMS LÄN</t>
        </is>
      </c>
      <c r="E98" t="inlineStr">
        <is>
          <t>ÖSTERÅKER</t>
        </is>
      </c>
      <c r="G98" t="n">
        <v>5.9</v>
      </c>
      <c r="H98" t="n">
        <v>0</v>
      </c>
      <c r="I98" t="n">
        <v>0</v>
      </c>
      <c r="J98" t="n">
        <v>0</v>
      </c>
      <c r="K98" t="n">
        <v>0</v>
      </c>
      <c r="L98" t="n">
        <v>0</v>
      </c>
      <c r="M98" t="n">
        <v>0</v>
      </c>
      <c r="N98" t="n">
        <v>0</v>
      </c>
      <c r="O98" t="n">
        <v>0</v>
      </c>
      <c r="P98" t="n">
        <v>0</v>
      </c>
      <c r="Q98" t="n">
        <v>0</v>
      </c>
      <c r="R98" s="2" t="inlineStr"/>
    </row>
    <row r="99" ht="15" customHeight="1">
      <c r="A99" t="inlineStr">
        <is>
          <t>A 1603-2023</t>
        </is>
      </c>
      <c r="B99" s="1" t="n">
        <v>44937.68086805556</v>
      </c>
      <c r="C99" s="1" t="n">
        <v>46025</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1605-2023</t>
        </is>
      </c>
      <c r="B100" s="1" t="n">
        <v>44937.68299768519</v>
      </c>
      <c r="C100" s="1" t="n">
        <v>46025</v>
      </c>
      <c r="D100" t="inlineStr">
        <is>
          <t>STOCKHOLMS LÄN</t>
        </is>
      </c>
      <c r="E100" t="inlineStr">
        <is>
          <t>ÖSTERÅKER</t>
        </is>
      </c>
      <c r="G100" t="n">
        <v>2.9</v>
      </c>
      <c r="H100" t="n">
        <v>0</v>
      </c>
      <c r="I100" t="n">
        <v>0</v>
      </c>
      <c r="J100" t="n">
        <v>0</v>
      </c>
      <c r="K100" t="n">
        <v>0</v>
      </c>
      <c r="L100" t="n">
        <v>0</v>
      </c>
      <c r="M100" t="n">
        <v>0</v>
      </c>
      <c r="N100" t="n">
        <v>0</v>
      </c>
      <c r="O100" t="n">
        <v>0</v>
      </c>
      <c r="P100" t="n">
        <v>0</v>
      </c>
      <c r="Q100" t="n">
        <v>0</v>
      </c>
      <c r="R100" s="2" t="inlineStr"/>
    </row>
    <row r="101" ht="15" customHeight="1">
      <c r="A101" t="inlineStr">
        <is>
          <t>A 67265-2021</t>
        </is>
      </c>
      <c r="B101" s="1" t="n">
        <v>44523.59277777778</v>
      </c>
      <c r="C101" s="1" t="n">
        <v>46025</v>
      </c>
      <c r="D101" t="inlineStr">
        <is>
          <t>STOCKHOLMS LÄN</t>
        </is>
      </c>
      <c r="E101" t="inlineStr">
        <is>
          <t>ÖSTERÅKER</t>
        </is>
      </c>
      <c r="F101" t="inlineStr">
        <is>
          <t>Kommuner</t>
        </is>
      </c>
      <c r="G101" t="n">
        <v>2.6</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46025</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45043.6433912037</v>
      </c>
      <c r="C103" s="1" t="n">
        <v>46025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1136-2023</t>
        </is>
      </c>
      <c r="B104" s="1" t="n">
        <v>44935</v>
      </c>
      <c r="C104" s="1" t="n">
        <v>46025</v>
      </c>
      <c r="D104" t="inlineStr">
        <is>
          <t>STOCKHOLMS LÄN</t>
        </is>
      </c>
      <c r="E104" t="inlineStr">
        <is>
          <t>ÖSTERÅKER</t>
        </is>
      </c>
      <c r="G104" t="n">
        <v>0.5</v>
      </c>
      <c r="H104" t="n">
        <v>0</v>
      </c>
      <c r="I104" t="n">
        <v>0</v>
      </c>
      <c r="J104" t="n">
        <v>0</v>
      </c>
      <c r="K104" t="n">
        <v>0</v>
      </c>
      <c r="L104" t="n">
        <v>0</v>
      </c>
      <c r="M104" t="n">
        <v>0</v>
      </c>
      <c r="N104" t="n">
        <v>0</v>
      </c>
      <c r="O104" t="n">
        <v>0</v>
      </c>
      <c r="P104" t="n">
        <v>0</v>
      </c>
      <c r="Q104" t="n">
        <v>0</v>
      </c>
      <c r="R104" s="2" t="inlineStr"/>
    </row>
    <row r="105" ht="15" customHeight="1">
      <c r="A105" t="inlineStr">
        <is>
          <t>A 39394-2023</t>
        </is>
      </c>
      <c r="B105" s="1" t="n">
        <v>45166</v>
      </c>
      <c r="C105" s="1" t="n">
        <v>46025</v>
      </c>
      <c r="D105" t="inlineStr">
        <is>
          <t>STOCKHOLMS LÄN</t>
        </is>
      </c>
      <c r="E105" t="inlineStr">
        <is>
          <t>ÖSTERÅKER</t>
        </is>
      </c>
      <c r="G105" t="n">
        <v>0.4</v>
      </c>
      <c r="H105" t="n">
        <v>0</v>
      </c>
      <c r="I105" t="n">
        <v>0</v>
      </c>
      <c r="J105" t="n">
        <v>0</v>
      </c>
      <c r="K105" t="n">
        <v>0</v>
      </c>
      <c r="L105" t="n">
        <v>0</v>
      </c>
      <c r="M105" t="n">
        <v>0</v>
      </c>
      <c r="N105" t="n">
        <v>0</v>
      </c>
      <c r="O105" t="n">
        <v>0</v>
      </c>
      <c r="P105" t="n">
        <v>0</v>
      </c>
      <c r="Q105" t="n">
        <v>0</v>
      </c>
      <c r="R105" s="2" t="inlineStr"/>
    </row>
    <row r="106" ht="15" customHeight="1">
      <c r="A106" t="inlineStr">
        <is>
          <t>A 30949-2024</t>
        </is>
      </c>
      <c r="B106" s="1" t="n">
        <v>45499</v>
      </c>
      <c r="C106" s="1" t="n">
        <v>46025</v>
      </c>
      <c r="D106" t="inlineStr">
        <is>
          <t>STOCKHOLMS LÄN</t>
        </is>
      </c>
      <c r="E106" t="inlineStr">
        <is>
          <t>ÖSTERÅKER</t>
        </is>
      </c>
      <c r="F106" t="inlineStr">
        <is>
          <t>Övriga Aktiebolag</t>
        </is>
      </c>
      <c r="G106" t="n">
        <v>3.2</v>
      </c>
      <c r="H106" t="n">
        <v>0</v>
      </c>
      <c r="I106" t="n">
        <v>0</v>
      </c>
      <c r="J106" t="n">
        <v>0</v>
      </c>
      <c r="K106" t="n">
        <v>0</v>
      </c>
      <c r="L106" t="n">
        <v>0</v>
      </c>
      <c r="M106" t="n">
        <v>0</v>
      </c>
      <c r="N106" t="n">
        <v>0</v>
      </c>
      <c r="O106" t="n">
        <v>0</v>
      </c>
      <c r="P106" t="n">
        <v>0</v>
      </c>
      <c r="Q106" t="n">
        <v>0</v>
      </c>
      <c r="R106" s="2" t="inlineStr"/>
    </row>
    <row r="107" ht="15" customHeight="1">
      <c r="A107" t="inlineStr">
        <is>
          <t>A 845-2024</t>
        </is>
      </c>
      <c r="B107" s="1" t="n">
        <v>45300.91423611111</v>
      </c>
      <c r="C107" s="1" t="n">
        <v>46025</v>
      </c>
      <c r="D107" t="inlineStr">
        <is>
          <t>STOCKHOLMS LÄN</t>
        </is>
      </c>
      <c r="E107" t="inlineStr">
        <is>
          <t>ÖSTERÅKER</t>
        </is>
      </c>
      <c r="G107" t="n">
        <v>10.1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46025</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19404-2024</t>
        </is>
      </c>
      <c r="B109" s="1" t="n">
        <v>45428</v>
      </c>
      <c r="C109" s="1" t="n">
        <v>46025</v>
      </c>
      <c r="D109" t="inlineStr">
        <is>
          <t>STOCKHOLMS LÄN</t>
        </is>
      </c>
      <c r="E109" t="inlineStr">
        <is>
          <t>ÖSTERÅKER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37244-2024</t>
        </is>
      </c>
      <c r="B110" s="1" t="n">
        <v>45540</v>
      </c>
      <c r="C110" s="1" t="n">
        <v>46025</v>
      </c>
      <c r="D110" t="inlineStr">
        <is>
          <t>STOCKHOLMS LÄN</t>
        </is>
      </c>
      <c r="E110" t="inlineStr">
        <is>
          <t>ÖSTERÅKER</t>
        </is>
      </c>
      <c r="G110" t="n">
        <v>2.6</v>
      </c>
      <c r="H110" t="n">
        <v>0</v>
      </c>
      <c r="I110" t="n">
        <v>0</v>
      </c>
      <c r="J110" t="n">
        <v>0</v>
      </c>
      <c r="K110" t="n">
        <v>0</v>
      </c>
      <c r="L110" t="n">
        <v>0</v>
      </c>
      <c r="M110" t="n">
        <v>0</v>
      </c>
      <c r="N110" t="n">
        <v>0</v>
      </c>
      <c r="O110" t="n">
        <v>0</v>
      </c>
      <c r="P110" t="n">
        <v>0</v>
      </c>
      <c r="Q110" t="n">
        <v>0</v>
      </c>
      <c r="R110" s="2" t="inlineStr"/>
    </row>
    <row r="111" ht="15" customHeight="1">
      <c r="A111" t="inlineStr">
        <is>
          <t>A 21786-2025</t>
        </is>
      </c>
      <c r="B111" s="1" t="n">
        <v>45783.67215277778</v>
      </c>
      <c r="C111" s="1" t="n">
        <v>46025</v>
      </c>
      <c r="D111" t="inlineStr">
        <is>
          <t>STOCKHOLMS LÄN</t>
        </is>
      </c>
      <c r="E111" t="inlineStr">
        <is>
          <t>ÖSTERÅKER</t>
        </is>
      </c>
      <c r="G111" t="n">
        <v>3.8</v>
      </c>
      <c r="H111" t="n">
        <v>0</v>
      </c>
      <c r="I111" t="n">
        <v>0</v>
      </c>
      <c r="J111" t="n">
        <v>0</v>
      </c>
      <c r="K111" t="n">
        <v>0</v>
      </c>
      <c r="L111" t="n">
        <v>0</v>
      </c>
      <c r="M111" t="n">
        <v>0</v>
      </c>
      <c r="N111" t="n">
        <v>0</v>
      </c>
      <c r="O111" t="n">
        <v>0</v>
      </c>
      <c r="P111" t="n">
        <v>0</v>
      </c>
      <c r="Q111" t="n">
        <v>0</v>
      </c>
      <c r="R111" s="2" t="inlineStr"/>
    </row>
    <row r="112" ht="15" customHeight="1">
      <c r="A112" t="inlineStr">
        <is>
          <t>A 21796-2025</t>
        </is>
      </c>
      <c r="B112" s="1" t="n">
        <v>45783.68135416666</v>
      </c>
      <c r="C112" s="1" t="n">
        <v>46025</v>
      </c>
      <c r="D112" t="inlineStr">
        <is>
          <t>STOCKHOLMS LÄN</t>
        </is>
      </c>
      <c r="E112" t="inlineStr">
        <is>
          <t>ÖSTERÅKER</t>
        </is>
      </c>
      <c r="G112" t="n">
        <v>2.5</v>
      </c>
      <c r="H112" t="n">
        <v>0</v>
      </c>
      <c r="I112" t="n">
        <v>0</v>
      </c>
      <c r="J112" t="n">
        <v>0</v>
      </c>
      <c r="K112" t="n">
        <v>0</v>
      </c>
      <c r="L112" t="n">
        <v>0</v>
      </c>
      <c r="M112" t="n">
        <v>0</v>
      </c>
      <c r="N112" t="n">
        <v>0</v>
      </c>
      <c r="O112" t="n">
        <v>0</v>
      </c>
      <c r="P112" t="n">
        <v>0</v>
      </c>
      <c r="Q112" t="n">
        <v>0</v>
      </c>
      <c r="R112" s="2" t="inlineStr"/>
    </row>
    <row r="113" ht="15" customHeight="1">
      <c r="A113" t="inlineStr">
        <is>
          <t>A 27137-2025</t>
        </is>
      </c>
      <c r="B113" s="1" t="n">
        <v>45811.95890046296</v>
      </c>
      <c r="C113" s="1" t="n">
        <v>46025</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27948-2025</t>
        </is>
      </c>
      <c r="B114" s="1" t="n">
        <v>45817.52460648148</v>
      </c>
      <c r="C114" s="1" t="n">
        <v>46025</v>
      </c>
      <c r="D114" t="inlineStr">
        <is>
          <t>STOCKHOLMS LÄN</t>
        </is>
      </c>
      <c r="E114" t="inlineStr">
        <is>
          <t>ÖSTERÅKER</t>
        </is>
      </c>
      <c r="G114" t="n">
        <v>5.6</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2026-01-03T10:38:10Z</dcterms:created>
  <dcterms:modified xmlns:dcterms="http://purl.org/dc/terms/" xmlns:xsi="http://www.w3.org/2001/XMLSchema-instance" xsi:type="dcterms:W3CDTF">2026-01-03T10:38:10Z</dcterms:modified>
</cp:coreProperties>
</file>