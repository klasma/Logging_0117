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46102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46102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46102</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46102</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46102</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46102</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46102</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46102</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46102</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46102</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46102</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46102</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62578-2025</t>
        </is>
      </c>
      <c r="B14" s="1" t="n">
        <v>46007</v>
      </c>
      <c r="C14" s="1" t="n">
        <v>46102</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3914-2023</t>
        </is>
      </c>
      <c r="B15" s="1" t="n">
        <v>44952.30934027778</v>
      </c>
      <c r="C15" s="1" t="n">
        <v>46102</v>
      </c>
      <c r="D15" t="inlineStr">
        <is>
          <t>STOCKHOLMS LÄN</t>
        </is>
      </c>
      <c r="E15" t="inlineStr">
        <is>
          <t>ÖSTERÅKER</t>
        </is>
      </c>
      <c r="F15" t="inlineStr">
        <is>
          <t>Kommuner</t>
        </is>
      </c>
      <c r="G15" t="n">
        <v>15.3</v>
      </c>
      <c r="H15" t="n">
        <v>2</v>
      </c>
      <c r="I15" t="n">
        <v>0</v>
      </c>
      <c r="J15" t="n">
        <v>1</v>
      </c>
      <c r="K15" t="n">
        <v>0</v>
      </c>
      <c r="L15" t="n">
        <v>0</v>
      </c>
      <c r="M15" t="n">
        <v>0</v>
      </c>
      <c r="N15" t="n">
        <v>0</v>
      </c>
      <c r="O15" t="n">
        <v>1</v>
      </c>
      <c r="P15" t="n">
        <v>0</v>
      </c>
      <c r="Q15" t="n">
        <v>2</v>
      </c>
      <c r="R15" s="2" t="inlineStr">
        <is>
          <t>Kråka
Järnsparv</t>
        </is>
      </c>
      <c r="S15">
        <f>HYPERLINK("https://klasma.github.io/Logging_0117/artfynd/A 3914-2023 artfynd.xlsx", "A 3914-2023")</f>
        <v/>
      </c>
      <c r="T15">
        <f>HYPERLINK("https://klasma.github.io/Logging_0117/kartor/A 3914-2023 karta.png", "A 3914-2023")</f>
        <v/>
      </c>
      <c r="V15">
        <f>HYPERLINK("https://klasma.github.io/Logging_0117/klagomål/A 3914-2023 FSC-klagomål.docx", "A 3914-2023")</f>
        <v/>
      </c>
      <c r="W15">
        <f>HYPERLINK("https://klasma.github.io/Logging_0117/klagomålsmail/A 3914-2023 FSC-klagomål mail.docx", "A 3914-2023")</f>
        <v/>
      </c>
      <c r="X15">
        <f>HYPERLINK("https://klasma.github.io/Logging_0117/tillsyn/A 3914-2023 tillsynsbegäran.docx", "A 3914-2023")</f>
        <v/>
      </c>
      <c r="Y15">
        <f>HYPERLINK("https://klasma.github.io/Logging_0117/tillsynsmail/A 3914-2023 tillsynsbegäran mail.docx", "A 3914-2023")</f>
        <v/>
      </c>
      <c r="Z15">
        <f>HYPERLINK("https://klasma.github.io/Logging_0117/fåglar/A 3914-2023 prioriterade fågelarter.docx", "A 3914-2023")</f>
        <v/>
      </c>
    </row>
    <row r="16" ht="15" customHeight="1">
      <c r="A16" t="inlineStr">
        <is>
          <t>A 43308-2024</t>
        </is>
      </c>
      <c r="B16" s="1" t="n">
        <v>45568</v>
      </c>
      <c r="C16" s="1" t="n">
        <v>46102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36366-2025</t>
        </is>
      </c>
      <c r="B17" s="1" t="n">
        <v>45868</v>
      </c>
      <c r="C17" s="1" t="n">
        <v>46102</v>
      </c>
      <c r="D17" t="inlineStr">
        <is>
          <t>STOCKHOLMS LÄN</t>
        </is>
      </c>
      <c r="E17" t="inlineStr">
        <is>
          <t>ÖSTERÅKER</t>
        </is>
      </c>
      <c r="G17" t="n">
        <v>7.2</v>
      </c>
      <c r="H17" t="n">
        <v>0</v>
      </c>
      <c r="I17" t="n">
        <v>1</v>
      </c>
      <c r="J17" t="n">
        <v>1</v>
      </c>
      <c r="K17" t="n">
        <v>0</v>
      </c>
      <c r="L17" t="n">
        <v>0</v>
      </c>
      <c r="M17" t="n">
        <v>0</v>
      </c>
      <c r="N17" t="n">
        <v>0</v>
      </c>
      <c r="O17" t="n">
        <v>1</v>
      </c>
      <c r="P17" t="n">
        <v>0</v>
      </c>
      <c r="Q17" t="n">
        <v>2</v>
      </c>
      <c r="R17" s="2" t="inlineStr">
        <is>
          <t>Garnlav
Björksplintborre</t>
        </is>
      </c>
      <c r="S17">
        <f>HYPERLINK("https://klasma.github.io/Logging_0117/artfynd/A 36366-2025 artfynd.xlsx", "A 36366-2025")</f>
        <v/>
      </c>
      <c r="T17">
        <f>HYPERLINK("https://klasma.github.io/Logging_0117/kartor/A 36366-2025 karta.png", "A 36366-2025")</f>
        <v/>
      </c>
      <c r="V17">
        <f>HYPERLINK("https://klasma.github.io/Logging_0117/klagomål/A 36366-2025 FSC-klagomål.docx", "A 36366-2025")</f>
        <v/>
      </c>
      <c r="W17">
        <f>HYPERLINK("https://klasma.github.io/Logging_0117/klagomålsmail/A 36366-2025 FSC-klagomål mail.docx", "A 36366-2025")</f>
        <v/>
      </c>
      <c r="X17">
        <f>HYPERLINK("https://klasma.github.io/Logging_0117/tillsyn/A 36366-2025 tillsynsbegäran.docx", "A 36366-2025")</f>
        <v/>
      </c>
      <c r="Y17">
        <f>HYPERLINK("https://klasma.github.io/Logging_0117/tillsynsmail/A 36366-2025 tillsynsbegäran mail.docx", "A 36366-2025")</f>
        <v/>
      </c>
    </row>
    <row r="18" ht="15" customHeight="1">
      <c r="A18" t="inlineStr">
        <is>
          <t>A 31523-2022</t>
        </is>
      </c>
      <c r="B18" s="1" t="n">
        <v>44775.22490740741</v>
      </c>
      <c r="C18" s="1" t="n">
        <v>46102</v>
      </c>
      <c r="D18" t="inlineStr">
        <is>
          <t>STOCKHOLMS LÄN</t>
        </is>
      </c>
      <c r="E18" t="inlineStr">
        <is>
          <t>ÖSTERÅKER</t>
        </is>
      </c>
      <c r="G18" t="n">
        <v>9</v>
      </c>
      <c r="H18" t="n">
        <v>0</v>
      </c>
      <c r="I18" t="n">
        <v>0</v>
      </c>
      <c r="J18" t="n">
        <v>2</v>
      </c>
      <c r="K18" t="n">
        <v>0</v>
      </c>
      <c r="L18" t="n">
        <v>0</v>
      </c>
      <c r="M18" t="n">
        <v>0</v>
      </c>
      <c r="N18" t="n">
        <v>0</v>
      </c>
      <c r="O18" t="n">
        <v>2</v>
      </c>
      <c r="P18" t="n">
        <v>0</v>
      </c>
      <c r="Q18" t="n">
        <v>2</v>
      </c>
      <c r="R18" s="2" t="inlineStr">
        <is>
          <t>Garnlav
Tallticka</t>
        </is>
      </c>
      <c r="S18">
        <f>HYPERLINK("https://klasma.github.io/Logging_0117/artfynd/A 31523-2022 artfynd.xlsx", "A 31523-2022")</f>
        <v/>
      </c>
      <c r="T18">
        <f>HYPERLINK("https://klasma.github.io/Logging_0117/kartor/A 31523-2022 karta.png", "A 31523-2022")</f>
        <v/>
      </c>
      <c r="V18">
        <f>HYPERLINK("https://klasma.github.io/Logging_0117/klagomål/A 31523-2022 FSC-klagomål.docx", "A 31523-2022")</f>
        <v/>
      </c>
      <c r="W18">
        <f>HYPERLINK("https://klasma.github.io/Logging_0117/klagomålsmail/A 31523-2022 FSC-klagomål mail.docx", "A 31523-2022")</f>
        <v/>
      </c>
      <c r="X18">
        <f>HYPERLINK("https://klasma.github.io/Logging_0117/tillsyn/A 31523-2022 tillsynsbegäran.docx", "A 31523-2022")</f>
        <v/>
      </c>
      <c r="Y18">
        <f>HYPERLINK("https://klasma.github.io/Logging_0117/tillsynsmail/A 31523-2022 tillsynsbegäran mail.docx", "A 31523-2022")</f>
        <v/>
      </c>
    </row>
    <row r="19" ht="15" customHeight="1">
      <c r="A19" t="inlineStr">
        <is>
          <t>A 61363-2022</t>
        </is>
      </c>
      <c r="B19" s="1" t="n">
        <v>44915</v>
      </c>
      <c r="C19" s="1" t="n">
        <v>46102</v>
      </c>
      <c r="D19" t="inlineStr">
        <is>
          <t>STOCKHOLMS LÄN</t>
        </is>
      </c>
      <c r="E19" t="inlineStr">
        <is>
          <t>ÖSTERÅKER</t>
        </is>
      </c>
      <c r="G19" t="n">
        <v>5.3</v>
      </c>
      <c r="H19" t="n">
        <v>0</v>
      </c>
      <c r="I19" t="n">
        <v>1</v>
      </c>
      <c r="J19" t="n">
        <v>1</v>
      </c>
      <c r="K19" t="n">
        <v>0</v>
      </c>
      <c r="L19" t="n">
        <v>0</v>
      </c>
      <c r="M19" t="n">
        <v>0</v>
      </c>
      <c r="N19" t="n">
        <v>0</v>
      </c>
      <c r="O19" t="n">
        <v>1</v>
      </c>
      <c r="P19" t="n">
        <v>0</v>
      </c>
      <c r="Q19" t="n">
        <v>2</v>
      </c>
      <c r="R19" s="2" t="inlineStr">
        <is>
          <t>Motaggsvamp
Skuggblåslav</t>
        </is>
      </c>
      <c r="S19">
        <f>HYPERLINK("https://klasma.github.io/Logging_0117/artfynd/A 61363-2022 artfynd.xlsx", "A 61363-2022")</f>
        <v/>
      </c>
      <c r="T19">
        <f>HYPERLINK("https://klasma.github.io/Logging_0117/kartor/A 61363-2022 karta.png", "A 61363-2022")</f>
        <v/>
      </c>
      <c r="V19">
        <f>HYPERLINK("https://klasma.github.io/Logging_0117/klagomål/A 61363-2022 FSC-klagomål.docx", "A 61363-2022")</f>
        <v/>
      </c>
      <c r="W19">
        <f>HYPERLINK("https://klasma.github.io/Logging_0117/klagomålsmail/A 61363-2022 FSC-klagomål mail.docx", "A 61363-2022")</f>
        <v/>
      </c>
      <c r="X19">
        <f>HYPERLINK("https://klasma.github.io/Logging_0117/tillsyn/A 61363-2022 tillsynsbegäran.docx", "A 61363-2022")</f>
        <v/>
      </c>
      <c r="Y19">
        <f>HYPERLINK("https://klasma.github.io/Logging_0117/tillsynsmail/A 61363-2022 tillsynsbegäran mail.docx", "A 61363-2022")</f>
        <v/>
      </c>
    </row>
    <row r="20" ht="15" customHeight="1">
      <c r="A20" t="inlineStr">
        <is>
          <t>A 54703-2024</t>
        </is>
      </c>
      <c r="B20" s="1" t="n">
        <v>45618</v>
      </c>
      <c r="C20" s="1" t="n">
        <v>46102</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22172-2022</t>
        </is>
      </c>
      <c r="B21" s="1" t="n">
        <v>44712</v>
      </c>
      <c r="C21" s="1" t="n">
        <v>46102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27921-2025</t>
        </is>
      </c>
      <c r="B22" s="1" t="n">
        <v>45817.4846875</v>
      </c>
      <c r="C22" s="1" t="n">
        <v>46102</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13652-2026</t>
        </is>
      </c>
      <c r="B23" s="1" t="n">
        <v>46097</v>
      </c>
      <c r="C23" s="1" t="n">
        <v>46102</v>
      </c>
      <c r="D23" t="inlineStr">
        <is>
          <t>STOCKHOLMS LÄN</t>
        </is>
      </c>
      <c r="E23" t="inlineStr">
        <is>
          <t>ÖSTERÅKER</t>
        </is>
      </c>
      <c r="G23" t="n">
        <v>0.6</v>
      </c>
      <c r="H23" t="n">
        <v>0</v>
      </c>
      <c r="I23" t="n">
        <v>1</v>
      </c>
      <c r="J23" t="n">
        <v>0</v>
      </c>
      <c r="K23" t="n">
        <v>0</v>
      </c>
      <c r="L23" t="n">
        <v>0</v>
      </c>
      <c r="M23" t="n">
        <v>0</v>
      </c>
      <c r="N23" t="n">
        <v>0</v>
      </c>
      <c r="O23" t="n">
        <v>0</v>
      </c>
      <c r="P23" t="n">
        <v>0</v>
      </c>
      <c r="Q23" t="n">
        <v>1</v>
      </c>
      <c r="R23" s="2" t="inlineStr">
        <is>
          <t>Fällmossa</t>
        </is>
      </c>
      <c r="S23">
        <f>HYPERLINK("https://klasma.github.io/Logging_0117/artfynd/A 13652-2026 artfynd.xlsx", "A 13652-2026")</f>
        <v/>
      </c>
      <c r="T23">
        <f>HYPERLINK("https://klasma.github.io/Logging_0117/kartor/A 13652-2026 karta.png", "A 13652-2026")</f>
        <v/>
      </c>
      <c r="V23">
        <f>HYPERLINK("https://klasma.github.io/Logging_0117/klagomål/A 13652-2026 FSC-klagomål.docx", "A 13652-2026")</f>
        <v/>
      </c>
      <c r="W23">
        <f>HYPERLINK("https://klasma.github.io/Logging_0117/klagomålsmail/A 13652-2026 FSC-klagomål mail.docx", "A 13652-2026")</f>
        <v/>
      </c>
      <c r="X23">
        <f>HYPERLINK("https://klasma.github.io/Logging_0117/tillsyn/A 13652-2026 tillsynsbegäran.docx", "A 13652-2026")</f>
        <v/>
      </c>
      <c r="Y23">
        <f>HYPERLINK("https://klasma.github.io/Logging_0117/tillsynsmail/A 13652-2026 tillsynsbegäran mail.docx", "A 13652-2026")</f>
        <v/>
      </c>
    </row>
    <row r="24" ht="15" customHeight="1">
      <c r="A24" t="inlineStr">
        <is>
          <t>A 31716-2025</t>
        </is>
      </c>
      <c r="B24" s="1" t="n">
        <v>45834</v>
      </c>
      <c r="C24" s="1" t="n">
        <v>46102</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38968-2025</t>
        </is>
      </c>
      <c r="B25" s="1" t="n">
        <v>45887.70863425926</v>
      </c>
      <c r="C25" s="1" t="n">
        <v>46102</v>
      </c>
      <c r="D25" t="inlineStr">
        <is>
          <t>STOCKHOLMS LÄN</t>
        </is>
      </c>
      <c r="E25" t="inlineStr">
        <is>
          <t>ÖSTERÅKER</t>
        </is>
      </c>
      <c r="G25" t="n">
        <v>7.2</v>
      </c>
      <c r="H25" t="n">
        <v>0</v>
      </c>
      <c r="I25" t="n">
        <v>1</v>
      </c>
      <c r="J25" t="n">
        <v>0</v>
      </c>
      <c r="K25" t="n">
        <v>0</v>
      </c>
      <c r="L25" t="n">
        <v>0</v>
      </c>
      <c r="M25" t="n">
        <v>0</v>
      </c>
      <c r="N25" t="n">
        <v>0</v>
      </c>
      <c r="O25" t="n">
        <v>0</v>
      </c>
      <c r="P25" t="n">
        <v>0</v>
      </c>
      <c r="Q25" t="n">
        <v>1</v>
      </c>
      <c r="R25" s="2" t="inlineStr">
        <is>
          <t>Fjällig taggsvamp s.str.</t>
        </is>
      </c>
      <c r="S25">
        <f>HYPERLINK("https://klasma.github.io/Logging_0117/artfynd/A 38968-2025 artfynd.xlsx", "A 38968-2025")</f>
        <v/>
      </c>
      <c r="T25">
        <f>HYPERLINK("https://klasma.github.io/Logging_0117/kartor/A 38968-2025 karta.png", "A 38968-2025")</f>
        <v/>
      </c>
      <c r="V25">
        <f>HYPERLINK("https://klasma.github.io/Logging_0117/klagomål/A 38968-2025 FSC-klagomål.docx", "A 38968-2025")</f>
        <v/>
      </c>
      <c r="W25">
        <f>HYPERLINK("https://klasma.github.io/Logging_0117/klagomålsmail/A 38968-2025 FSC-klagomål mail.docx", "A 38968-2025")</f>
        <v/>
      </c>
      <c r="X25">
        <f>HYPERLINK("https://klasma.github.io/Logging_0117/tillsyn/A 38968-2025 tillsynsbegäran.docx", "A 38968-2025")</f>
        <v/>
      </c>
      <c r="Y25">
        <f>HYPERLINK("https://klasma.github.io/Logging_0117/tillsynsmail/A 38968-2025 tillsynsbegäran mail.docx", "A 38968-2025")</f>
        <v/>
      </c>
    </row>
    <row r="26" ht="15" customHeight="1">
      <c r="A26" t="inlineStr">
        <is>
          <t>A 13942-2021</t>
        </is>
      </c>
      <c r="B26" s="1" t="n">
        <v>44277</v>
      </c>
      <c r="C26" s="1" t="n">
        <v>46102</v>
      </c>
      <c r="D26" t="inlineStr">
        <is>
          <t>STOCKHOLMS LÄN</t>
        </is>
      </c>
      <c r="E26" t="inlineStr">
        <is>
          <t>ÖSTERÅKER</t>
        </is>
      </c>
      <c r="G26" t="n">
        <v>5.2</v>
      </c>
      <c r="H26" t="n">
        <v>0</v>
      </c>
      <c r="I26" t="n">
        <v>1</v>
      </c>
      <c r="J26" t="n">
        <v>0</v>
      </c>
      <c r="K26" t="n">
        <v>0</v>
      </c>
      <c r="L26" t="n">
        <v>0</v>
      </c>
      <c r="M26" t="n">
        <v>0</v>
      </c>
      <c r="N26" t="n">
        <v>0</v>
      </c>
      <c r="O26" t="n">
        <v>0</v>
      </c>
      <c r="P26" t="n">
        <v>0</v>
      </c>
      <c r="Q26" t="n">
        <v>1</v>
      </c>
      <c r="R26" s="2" t="inlineStr">
        <is>
          <t>Skogsbräsma</t>
        </is>
      </c>
      <c r="S26">
        <f>HYPERLINK("https://klasma.github.io/Logging_0117/artfynd/A 13942-2021 artfynd.xlsx", "A 13942-2021")</f>
        <v/>
      </c>
      <c r="T26">
        <f>HYPERLINK("https://klasma.github.io/Logging_0117/kartor/A 13942-2021 karta.png", "A 13942-2021")</f>
        <v/>
      </c>
      <c r="V26">
        <f>HYPERLINK("https://klasma.github.io/Logging_0117/klagomål/A 13942-2021 FSC-klagomål.docx", "A 13942-2021")</f>
        <v/>
      </c>
      <c r="W26">
        <f>HYPERLINK("https://klasma.github.io/Logging_0117/klagomålsmail/A 13942-2021 FSC-klagomål mail.docx", "A 13942-2021")</f>
        <v/>
      </c>
      <c r="X26">
        <f>HYPERLINK("https://klasma.github.io/Logging_0117/tillsyn/A 13942-2021 tillsynsbegäran.docx", "A 13942-2021")</f>
        <v/>
      </c>
      <c r="Y26">
        <f>HYPERLINK("https://klasma.github.io/Logging_0117/tillsynsmail/A 13942-2021 tillsynsbegäran mail.docx", "A 13942-2021")</f>
        <v/>
      </c>
    </row>
    <row r="27" ht="15" customHeight="1">
      <c r="A27" t="inlineStr">
        <is>
          <t>A 848-2022</t>
        </is>
      </c>
      <c r="B27" s="1" t="n">
        <v>44569</v>
      </c>
      <c r="C27" s="1" t="n">
        <v>46102</v>
      </c>
      <c r="D27" t="inlineStr">
        <is>
          <t>STOCKHOLMS LÄN</t>
        </is>
      </c>
      <c r="E27" t="inlineStr">
        <is>
          <t>ÖSTERÅKER</t>
        </is>
      </c>
      <c r="F27" t="inlineStr">
        <is>
          <t>Övriga Aktiebolag</t>
        </is>
      </c>
      <c r="G27" t="n">
        <v>5</v>
      </c>
      <c r="H27" t="n">
        <v>0</v>
      </c>
      <c r="I27" t="n">
        <v>0</v>
      </c>
      <c r="J27" t="n">
        <v>0</v>
      </c>
      <c r="K27" t="n">
        <v>0</v>
      </c>
      <c r="L27" t="n">
        <v>0</v>
      </c>
      <c r="M27" t="n">
        <v>0</v>
      </c>
      <c r="N27" t="n">
        <v>0</v>
      </c>
      <c r="O27" t="n">
        <v>0</v>
      </c>
      <c r="P27" t="n">
        <v>0</v>
      </c>
      <c r="Q27" t="n">
        <v>0</v>
      </c>
      <c r="R27" s="2" t="inlineStr"/>
    </row>
    <row r="28" ht="15" customHeight="1">
      <c r="A28" t="inlineStr">
        <is>
          <t>A 2148-2022</t>
        </is>
      </c>
      <c r="B28" s="1" t="n">
        <v>44575</v>
      </c>
      <c r="C28" s="1" t="n">
        <v>46102</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46102</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46102</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17263-2022</t>
        </is>
      </c>
      <c r="B31" s="1" t="n">
        <v>44678</v>
      </c>
      <c r="C31" s="1" t="n">
        <v>46102</v>
      </c>
      <c r="D31" t="inlineStr">
        <is>
          <t>STOCKHOLMS LÄN</t>
        </is>
      </c>
      <c r="E31" t="inlineStr">
        <is>
          <t>ÖSTERÅKER</t>
        </is>
      </c>
      <c r="G31" t="n">
        <v>2.4</v>
      </c>
      <c r="H31" t="n">
        <v>0</v>
      </c>
      <c r="I31" t="n">
        <v>0</v>
      </c>
      <c r="J31" t="n">
        <v>0</v>
      </c>
      <c r="K31" t="n">
        <v>0</v>
      </c>
      <c r="L31" t="n">
        <v>0</v>
      </c>
      <c r="M31" t="n">
        <v>0</v>
      </c>
      <c r="N31" t="n">
        <v>0</v>
      </c>
      <c r="O31" t="n">
        <v>0</v>
      </c>
      <c r="P31" t="n">
        <v>0</v>
      </c>
      <c r="Q31" t="n">
        <v>0</v>
      </c>
      <c r="R31" s="2" t="inlineStr"/>
    </row>
    <row r="32" ht="15" customHeight="1">
      <c r="A32" t="inlineStr">
        <is>
          <t>A 31075-2021</t>
        </is>
      </c>
      <c r="B32" s="1" t="n">
        <v>44368</v>
      </c>
      <c r="C32" s="1" t="n">
        <v>46102</v>
      </c>
      <c r="D32" t="inlineStr">
        <is>
          <t>STOCKHOLMS LÄN</t>
        </is>
      </c>
      <c r="E32" t="inlineStr">
        <is>
          <t>ÖSTERÅKER</t>
        </is>
      </c>
      <c r="F32" t="inlineStr">
        <is>
          <t>Övriga Aktiebolag</t>
        </is>
      </c>
      <c r="G32" t="n">
        <v>2.9</v>
      </c>
      <c r="H32" t="n">
        <v>0</v>
      </c>
      <c r="I32" t="n">
        <v>0</v>
      </c>
      <c r="J32" t="n">
        <v>0</v>
      </c>
      <c r="K32" t="n">
        <v>0</v>
      </c>
      <c r="L32" t="n">
        <v>0</v>
      </c>
      <c r="M32" t="n">
        <v>0</v>
      </c>
      <c r="N32" t="n">
        <v>0</v>
      </c>
      <c r="O32" t="n">
        <v>0</v>
      </c>
      <c r="P32" t="n">
        <v>0</v>
      </c>
      <c r="Q32" t="n">
        <v>0</v>
      </c>
      <c r="R32" s="2" t="inlineStr"/>
    </row>
    <row r="33" ht="15" customHeight="1">
      <c r="A33" t="inlineStr">
        <is>
          <t>A 18172-2021</t>
        </is>
      </c>
      <c r="B33" s="1" t="n">
        <v>44302.62196759259</v>
      </c>
      <c r="C33" s="1" t="n">
        <v>46102</v>
      </c>
      <c r="D33" t="inlineStr">
        <is>
          <t>STOCKHOLMS LÄN</t>
        </is>
      </c>
      <c r="E33" t="inlineStr">
        <is>
          <t>ÖSTERÅKER</t>
        </is>
      </c>
      <c r="G33" t="n">
        <v>3.2</v>
      </c>
      <c r="H33" t="n">
        <v>0</v>
      </c>
      <c r="I33" t="n">
        <v>0</v>
      </c>
      <c r="J33" t="n">
        <v>0</v>
      </c>
      <c r="K33" t="n">
        <v>0</v>
      </c>
      <c r="L33" t="n">
        <v>0</v>
      </c>
      <c r="M33" t="n">
        <v>0</v>
      </c>
      <c r="N33" t="n">
        <v>0</v>
      </c>
      <c r="O33" t="n">
        <v>0</v>
      </c>
      <c r="P33" t="n">
        <v>0</v>
      </c>
      <c r="Q33" t="n">
        <v>0</v>
      </c>
      <c r="R33" s="2" t="inlineStr"/>
    </row>
    <row r="34" ht="15" customHeight="1">
      <c r="A34" t="inlineStr">
        <is>
          <t>A 67244-2021</t>
        </is>
      </c>
      <c r="B34" s="1" t="n">
        <v>44523</v>
      </c>
      <c r="C34" s="1" t="n">
        <v>46102</v>
      </c>
      <c r="D34" t="inlineStr">
        <is>
          <t>STOCKHOLMS LÄN</t>
        </is>
      </c>
      <c r="E34" t="inlineStr">
        <is>
          <t>ÖSTERÅKER</t>
        </is>
      </c>
      <c r="F34" t="inlineStr">
        <is>
          <t>Kommuner</t>
        </is>
      </c>
      <c r="G34" t="n">
        <v>5.3</v>
      </c>
      <c r="H34" t="n">
        <v>0</v>
      </c>
      <c r="I34" t="n">
        <v>0</v>
      </c>
      <c r="J34" t="n">
        <v>0</v>
      </c>
      <c r="K34" t="n">
        <v>0</v>
      </c>
      <c r="L34" t="n">
        <v>0</v>
      </c>
      <c r="M34" t="n">
        <v>0</v>
      </c>
      <c r="N34" t="n">
        <v>0</v>
      </c>
      <c r="O34" t="n">
        <v>0</v>
      </c>
      <c r="P34" t="n">
        <v>0</v>
      </c>
      <c r="Q34" t="n">
        <v>0</v>
      </c>
      <c r="R34" s="2" t="inlineStr"/>
    </row>
    <row r="35" ht="15" customHeight="1">
      <c r="A35" t="inlineStr">
        <is>
          <t>A 15131-2022</t>
        </is>
      </c>
      <c r="B35" s="1" t="n">
        <v>44658</v>
      </c>
      <c r="C35" s="1" t="n">
        <v>46102</v>
      </c>
      <c r="D35" t="inlineStr">
        <is>
          <t>STOCKHOLMS LÄN</t>
        </is>
      </c>
      <c r="E35" t="inlineStr">
        <is>
          <t>ÖSTERÅKER</t>
        </is>
      </c>
      <c r="G35" t="n">
        <v>4.6</v>
      </c>
      <c r="H35" t="n">
        <v>0</v>
      </c>
      <c r="I35" t="n">
        <v>0</v>
      </c>
      <c r="J35" t="n">
        <v>0</v>
      </c>
      <c r="K35" t="n">
        <v>0</v>
      </c>
      <c r="L35" t="n">
        <v>0</v>
      </c>
      <c r="M35" t="n">
        <v>0</v>
      </c>
      <c r="N35" t="n">
        <v>0</v>
      </c>
      <c r="O35" t="n">
        <v>0</v>
      </c>
      <c r="P35" t="n">
        <v>0</v>
      </c>
      <c r="Q35" t="n">
        <v>0</v>
      </c>
      <c r="R35" s="2" t="inlineStr"/>
    </row>
    <row r="36" ht="15" customHeight="1">
      <c r="A36" t="inlineStr">
        <is>
          <t>A 19934-2022</t>
        </is>
      </c>
      <c r="B36" s="1" t="n">
        <v>44697.46248842592</v>
      </c>
      <c r="C36" s="1" t="n">
        <v>46102</v>
      </c>
      <c r="D36" t="inlineStr">
        <is>
          <t>STOCKHOLMS LÄN</t>
        </is>
      </c>
      <c r="E36" t="inlineStr">
        <is>
          <t>ÖSTERÅKER</t>
        </is>
      </c>
      <c r="G36" t="n">
        <v>0.3</v>
      </c>
      <c r="H36" t="n">
        <v>0</v>
      </c>
      <c r="I36" t="n">
        <v>0</v>
      </c>
      <c r="J36" t="n">
        <v>0</v>
      </c>
      <c r="K36" t="n">
        <v>0</v>
      </c>
      <c r="L36" t="n">
        <v>0</v>
      </c>
      <c r="M36" t="n">
        <v>0</v>
      </c>
      <c r="N36" t="n">
        <v>0</v>
      </c>
      <c r="O36" t="n">
        <v>0</v>
      </c>
      <c r="P36" t="n">
        <v>0</v>
      </c>
      <c r="Q36" t="n">
        <v>0</v>
      </c>
      <c r="R36" s="2" t="inlineStr"/>
    </row>
    <row r="37" ht="15" customHeight="1">
      <c r="A37" t="inlineStr">
        <is>
          <t>A 19944-2022</t>
        </is>
      </c>
      <c r="B37" s="1" t="n">
        <v>44697.47424768518</v>
      </c>
      <c r="C37" s="1" t="n">
        <v>46102</v>
      </c>
      <c r="D37" t="inlineStr">
        <is>
          <t>STOCKHOLMS LÄN</t>
        </is>
      </c>
      <c r="E37" t="inlineStr">
        <is>
          <t>ÖSTERÅKER</t>
        </is>
      </c>
      <c r="G37" t="n">
        <v>3.5</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46102</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838-2022</t>
        </is>
      </c>
      <c r="B39" s="1" t="n">
        <v>44569</v>
      </c>
      <c r="C39" s="1" t="n">
        <v>46102</v>
      </c>
      <c r="D39" t="inlineStr">
        <is>
          <t>STOCKHOLMS LÄN</t>
        </is>
      </c>
      <c r="E39" t="inlineStr">
        <is>
          <t>ÖSTERÅKER</t>
        </is>
      </c>
      <c r="F39" t="inlineStr">
        <is>
          <t>Övriga Aktiebolag</t>
        </is>
      </c>
      <c r="G39" t="n">
        <v>4.9</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46102</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28405-2022</t>
        </is>
      </c>
      <c r="B41" s="1" t="n">
        <v>44747</v>
      </c>
      <c r="C41" s="1" t="n">
        <v>46102</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17173-2022</t>
        </is>
      </c>
      <c r="B42" s="1" t="n">
        <v>44677</v>
      </c>
      <c r="C42" s="1" t="n">
        <v>46102</v>
      </c>
      <c r="D42" t="inlineStr">
        <is>
          <t>STOCKHOLMS LÄN</t>
        </is>
      </c>
      <c r="E42" t="inlineStr">
        <is>
          <t>ÖSTERÅKER</t>
        </is>
      </c>
      <c r="G42" t="n">
        <v>2.8</v>
      </c>
      <c r="H42" t="n">
        <v>0</v>
      </c>
      <c r="I42" t="n">
        <v>0</v>
      </c>
      <c r="J42" t="n">
        <v>0</v>
      </c>
      <c r="K42" t="n">
        <v>0</v>
      </c>
      <c r="L42" t="n">
        <v>0</v>
      </c>
      <c r="M42" t="n">
        <v>0</v>
      </c>
      <c r="N42" t="n">
        <v>0</v>
      </c>
      <c r="O42" t="n">
        <v>0</v>
      </c>
      <c r="P42" t="n">
        <v>0</v>
      </c>
      <c r="Q42" t="n">
        <v>0</v>
      </c>
      <c r="R42" s="2" t="inlineStr"/>
    </row>
    <row r="43" ht="15" customHeight="1">
      <c r="A43" t="inlineStr">
        <is>
          <t>A 10082-2022</t>
        </is>
      </c>
      <c r="B43" s="1" t="n">
        <v>44621</v>
      </c>
      <c r="C43" s="1" t="n">
        <v>46102</v>
      </c>
      <c r="D43" t="inlineStr">
        <is>
          <t>STOCKHOLMS LÄN</t>
        </is>
      </c>
      <c r="E43" t="inlineStr">
        <is>
          <t>ÖSTERÅKER</t>
        </is>
      </c>
      <c r="G43" t="n">
        <v>6</v>
      </c>
      <c r="H43" t="n">
        <v>0</v>
      </c>
      <c r="I43" t="n">
        <v>0</v>
      </c>
      <c r="J43" t="n">
        <v>0</v>
      </c>
      <c r="K43" t="n">
        <v>0</v>
      </c>
      <c r="L43" t="n">
        <v>0</v>
      </c>
      <c r="M43" t="n">
        <v>0</v>
      </c>
      <c r="N43" t="n">
        <v>0</v>
      </c>
      <c r="O43" t="n">
        <v>0</v>
      </c>
      <c r="P43" t="n">
        <v>0</v>
      </c>
      <c r="Q43" t="n">
        <v>0</v>
      </c>
      <c r="R43" s="2" t="inlineStr"/>
    </row>
    <row r="44" ht="15" customHeight="1">
      <c r="A44" t="inlineStr">
        <is>
          <t>A 28964-2022</t>
        </is>
      </c>
      <c r="B44" s="1" t="n">
        <v>44749</v>
      </c>
      <c r="C44" s="1" t="n">
        <v>46102</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18091-2022</t>
        </is>
      </c>
      <c r="B45" s="1" t="n">
        <v>44684</v>
      </c>
      <c r="C45" s="1" t="n">
        <v>46102</v>
      </c>
      <c r="D45" t="inlineStr">
        <is>
          <t>STOCKHOLMS LÄN</t>
        </is>
      </c>
      <c r="E45" t="inlineStr">
        <is>
          <t>ÖSTERÅKER</t>
        </is>
      </c>
      <c r="G45" t="n">
        <v>6.1</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46102</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61370-2022</t>
        </is>
      </c>
      <c r="B47" s="1" t="n">
        <v>44915</v>
      </c>
      <c r="C47" s="1" t="n">
        <v>46102</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46102</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46102</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46102</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46102</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46102</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60482-2025</t>
        </is>
      </c>
      <c r="B53" s="1" t="n">
        <v>45995.59832175926</v>
      </c>
      <c r="C53" s="1" t="n">
        <v>46102</v>
      </c>
      <c r="D53" t="inlineStr">
        <is>
          <t>STOCKHOLMS LÄN</t>
        </is>
      </c>
      <c r="E53" t="inlineStr">
        <is>
          <t>ÖSTERÅKER</t>
        </is>
      </c>
      <c r="G53" t="n">
        <v>1.4</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46102</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61781-2025</t>
        </is>
      </c>
      <c r="B55" s="1" t="n">
        <v>46002</v>
      </c>
      <c r="C55" s="1" t="n">
        <v>46102</v>
      </c>
      <c r="D55" t="inlineStr">
        <is>
          <t>STOCKHOLMS LÄN</t>
        </is>
      </c>
      <c r="E55" t="inlineStr">
        <is>
          <t>ÖSTERÅKER</t>
        </is>
      </c>
      <c r="G55" t="n">
        <v>4.9</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46102</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62831-2025</t>
        </is>
      </c>
      <c r="B57" s="1" t="n">
        <v>46008</v>
      </c>
      <c r="C57" s="1" t="n">
        <v>46102</v>
      </c>
      <c r="D57" t="inlineStr">
        <is>
          <t>STOCKHOLMS LÄN</t>
        </is>
      </c>
      <c r="E57" t="inlineStr">
        <is>
          <t>ÖSTERÅKER</t>
        </is>
      </c>
      <c r="G57" t="n">
        <v>1.2</v>
      </c>
      <c r="H57" t="n">
        <v>0</v>
      </c>
      <c r="I57" t="n">
        <v>0</v>
      </c>
      <c r="J57" t="n">
        <v>0</v>
      </c>
      <c r="K57" t="n">
        <v>0</v>
      </c>
      <c r="L57" t="n">
        <v>0</v>
      </c>
      <c r="M57" t="n">
        <v>0</v>
      </c>
      <c r="N57" t="n">
        <v>0</v>
      </c>
      <c r="O57" t="n">
        <v>0</v>
      </c>
      <c r="P57" t="n">
        <v>0</v>
      </c>
      <c r="Q57" t="n">
        <v>0</v>
      </c>
      <c r="R57" s="2" t="inlineStr"/>
    </row>
    <row r="58" ht="15" customHeight="1">
      <c r="A58" t="inlineStr">
        <is>
          <t>A 62839-2025</t>
        </is>
      </c>
      <c r="B58" s="1" t="n">
        <v>46008</v>
      </c>
      <c r="C58" s="1" t="n">
        <v>46102</v>
      </c>
      <c r="D58" t="inlineStr">
        <is>
          <t>STOCKHOLMS LÄN</t>
        </is>
      </c>
      <c r="E58" t="inlineStr">
        <is>
          <t>ÖSTERÅKER</t>
        </is>
      </c>
      <c r="G58" t="n">
        <v>1.4</v>
      </c>
      <c r="H58" t="n">
        <v>0</v>
      </c>
      <c r="I58" t="n">
        <v>0</v>
      </c>
      <c r="J58" t="n">
        <v>0</v>
      </c>
      <c r="K58" t="n">
        <v>0</v>
      </c>
      <c r="L58" t="n">
        <v>0</v>
      </c>
      <c r="M58" t="n">
        <v>0</v>
      </c>
      <c r="N58" t="n">
        <v>0</v>
      </c>
      <c r="O58" t="n">
        <v>0</v>
      </c>
      <c r="P58" t="n">
        <v>0</v>
      </c>
      <c r="Q58" t="n">
        <v>0</v>
      </c>
      <c r="R58" s="2" t="inlineStr"/>
    </row>
    <row r="59" ht="15" customHeight="1">
      <c r="A59" t="inlineStr">
        <is>
          <t>A 17353-2025</t>
        </is>
      </c>
      <c r="B59" s="1" t="n">
        <v>45756</v>
      </c>
      <c r="C59" s="1" t="n">
        <v>46102</v>
      </c>
      <c r="D59" t="inlineStr">
        <is>
          <t>STOCKHOLMS LÄN</t>
        </is>
      </c>
      <c r="E59" t="inlineStr">
        <is>
          <t>ÖSTERÅKER</t>
        </is>
      </c>
      <c r="F59" t="inlineStr">
        <is>
          <t>Övriga Aktiebolag</t>
        </is>
      </c>
      <c r="G59" t="n">
        <v>5.5</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46102</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46102</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46102</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16728-2022</t>
        </is>
      </c>
      <c r="B63" s="1" t="n">
        <v>44673</v>
      </c>
      <c r="C63" s="1" t="n">
        <v>46102</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1136-2023</t>
        </is>
      </c>
      <c r="B64" s="1" t="n">
        <v>44935</v>
      </c>
      <c r="C64" s="1" t="n">
        <v>46102</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61710-2022</t>
        </is>
      </c>
      <c r="B65" s="1" t="n">
        <v>44917</v>
      </c>
      <c r="C65" s="1" t="n">
        <v>46102</v>
      </c>
      <c r="D65" t="inlineStr">
        <is>
          <t>STOCKHOLMS LÄN</t>
        </is>
      </c>
      <c r="E65" t="inlineStr">
        <is>
          <t>ÖSTERÅKER</t>
        </is>
      </c>
      <c r="G65" t="n">
        <v>6.2</v>
      </c>
      <c r="H65" t="n">
        <v>0</v>
      </c>
      <c r="I65" t="n">
        <v>0</v>
      </c>
      <c r="J65" t="n">
        <v>0</v>
      </c>
      <c r="K65" t="n">
        <v>0</v>
      </c>
      <c r="L65" t="n">
        <v>0</v>
      </c>
      <c r="M65" t="n">
        <v>0</v>
      </c>
      <c r="N65" t="n">
        <v>0</v>
      </c>
      <c r="O65" t="n">
        <v>0</v>
      </c>
      <c r="P65" t="n">
        <v>0</v>
      </c>
      <c r="Q65" t="n">
        <v>0</v>
      </c>
      <c r="R65" s="2" t="inlineStr"/>
    </row>
    <row r="66" ht="15" customHeight="1">
      <c r="A66" t="inlineStr">
        <is>
          <t>A 22528-2024</t>
        </is>
      </c>
      <c r="B66" s="1" t="n">
        <v>45447.44967592593</v>
      </c>
      <c r="C66" s="1" t="n">
        <v>46102</v>
      </c>
      <c r="D66" t="inlineStr">
        <is>
          <t>STOCKHOLMS LÄN</t>
        </is>
      </c>
      <c r="E66" t="inlineStr">
        <is>
          <t>ÖSTERÅKER</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52220-2025</t>
        </is>
      </c>
      <c r="B67" s="1" t="n">
        <v>45953</v>
      </c>
      <c r="C67" s="1" t="n">
        <v>46102</v>
      </c>
      <c r="D67" t="inlineStr">
        <is>
          <t>STOCKHOLMS LÄN</t>
        </is>
      </c>
      <c r="E67" t="inlineStr">
        <is>
          <t>ÖSTERÅKER</t>
        </is>
      </c>
      <c r="G67" t="n">
        <v>0.8</v>
      </c>
      <c r="H67" t="n">
        <v>0</v>
      </c>
      <c r="I67" t="n">
        <v>0</v>
      </c>
      <c r="J67" t="n">
        <v>0</v>
      </c>
      <c r="K67" t="n">
        <v>0</v>
      </c>
      <c r="L67" t="n">
        <v>0</v>
      </c>
      <c r="M67" t="n">
        <v>0</v>
      </c>
      <c r="N67" t="n">
        <v>0</v>
      </c>
      <c r="O67" t="n">
        <v>0</v>
      </c>
      <c r="P67" t="n">
        <v>0</v>
      </c>
      <c r="Q67" t="n">
        <v>0</v>
      </c>
      <c r="R67" s="2" t="inlineStr"/>
    </row>
    <row r="68" ht="15" customHeight="1">
      <c r="A68" t="inlineStr">
        <is>
          <t>A 28143-2024</t>
        </is>
      </c>
      <c r="B68" s="1" t="n">
        <v>45476</v>
      </c>
      <c r="C68" s="1" t="n">
        <v>46102</v>
      </c>
      <c r="D68" t="inlineStr">
        <is>
          <t>STOCKHOLMS LÄN</t>
        </is>
      </c>
      <c r="E68" t="inlineStr">
        <is>
          <t>ÖSTERÅKER</t>
        </is>
      </c>
      <c r="F68" t="inlineStr">
        <is>
          <t>Övriga Aktiebolag</t>
        </is>
      </c>
      <c r="G68" t="n">
        <v>2.2</v>
      </c>
      <c r="H68" t="n">
        <v>0</v>
      </c>
      <c r="I68" t="n">
        <v>0</v>
      </c>
      <c r="J68" t="n">
        <v>0</v>
      </c>
      <c r="K68" t="n">
        <v>0</v>
      </c>
      <c r="L68" t="n">
        <v>0</v>
      </c>
      <c r="M68" t="n">
        <v>0</v>
      </c>
      <c r="N68" t="n">
        <v>0</v>
      </c>
      <c r="O68" t="n">
        <v>0</v>
      </c>
      <c r="P68" t="n">
        <v>0</v>
      </c>
      <c r="Q68" t="n">
        <v>0</v>
      </c>
      <c r="R68" s="2" t="inlineStr"/>
    </row>
    <row r="69" ht="15" customHeight="1">
      <c r="A69" t="inlineStr">
        <is>
          <t>A 12345-2026</t>
        </is>
      </c>
      <c r="B69" s="1" t="n">
        <v>46087.67776620371</v>
      </c>
      <c r="C69" s="1" t="n">
        <v>46102</v>
      </c>
      <c r="D69" t="inlineStr">
        <is>
          <t>STOCKHOLMS LÄN</t>
        </is>
      </c>
      <c r="E69" t="inlineStr">
        <is>
          <t>ÖSTERÅKER</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5038-2026</t>
        </is>
      </c>
      <c r="B70" s="1" t="n">
        <v>46049.46427083333</v>
      </c>
      <c r="C70" s="1" t="n">
        <v>46102</v>
      </c>
      <c r="D70" t="inlineStr">
        <is>
          <t>STOCKHOLMS LÄN</t>
        </is>
      </c>
      <c r="E70" t="inlineStr">
        <is>
          <t>ÖSTERÅKER</t>
        </is>
      </c>
      <c r="G70" t="n">
        <v>2.1</v>
      </c>
      <c r="H70" t="n">
        <v>0</v>
      </c>
      <c r="I70" t="n">
        <v>0</v>
      </c>
      <c r="J70" t="n">
        <v>0</v>
      </c>
      <c r="K70" t="n">
        <v>0</v>
      </c>
      <c r="L70" t="n">
        <v>0</v>
      </c>
      <c r="M70" t="n">
        <v>0</v>
      </c>
      <c r="N70" t="n">
        <v>0</v>
      </c>
      <c r="O70" t="n">
        <v>0</v>
      </c>
      <c r="P70" t="n">
        <v>0</v>
      </c>
      <c r="Q70" t="n">
        <v>0</v>
      </c>
      <c r="R70" s="2" t="inlineStr"/>
    </row>
    <row r="71" ht="15" customHeight="1">
      <c r="A71" t="inlineStr">
        <is>
          <t>A 14776-2024</t>
        </is>
      </c>
      <c r="B71" s="1" t="n">
        <v>45397</v>
      </c>
      <c r="C71" s="1" t="n">
        <v>46102</v>
      </c>
      <c r="D71" t="inlineStr">
        <is>
          <t>STOCKHOLMS LÄN</t>
        </is>
      </c>
      <c r="E71" t="inlineStr">
        <is>
          <t>ÖSTERÅKER</t>
        </is>
      </c>
      <c r="G71" t="n">
        <v>13.6</v>
      </c>
      <c r="H71" t="n">
        <v>0</v>
      </c>
      <c r="I71" t="n">
        <v>0</v>
      </c>
      <c r="J71" t="n">
        <v>0</v>
      </c>
      <c r="K71" t="n">
        <v>0</v>
      </c>
      <c r="L71" t="n">
        <v>0</v>
      </c>
      <c r="M71" t="n">
        <v>0</v>
      </c>
      <c r="N71" t="n">
        <v>0</v>
      </c>
      <c r="O71" t="n">
        <v>0</v>
      </c>
      <c r="P71" t="n">
        <v>0</v>
      </c>
      <c r="Q71" t="n">
        <v>0</v>
      </c>
      <c r="R71" s="2" t="inlineStr"/>
    </row>
    <row r="72" ht="15" customHeight="1">
      <c r="A72" t="inlineStr">
        <is>
          <t>A 27137-2025</t>
        </is>
      </c>
      <c r="B72" s="1" t="n">
        <v>45811.95890046296</v>
      </c>
      <c r="C72" s="1" t="n">
        <v>46102</v>
      </c>
      <c r="D72" t="inlineStr">
        <is>
          <t>STOCKHOLMS LÄN</t>
        </is>
      </c>
      <c r="E72" t="inlineStr">
        <is>
          <t>ÖSTERÅKER</t>
        </is>
      </c>
      <c r="G72" t="n">
        <v>3.8</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46102</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27948-2025</t>
        </is>
      </c>
      <c r="B74" s="1" t="n">
        <v>45817.52460648148</v>
      </c>
      <c r="C74" s="1" t="n">
        <v>46102</v>
      </c>
      <c r="D74" t="inlineStr">
        <is>
          <t>STOCKHOLMS LÄN</t>
        </is>
      </c>
      <c r="E74" t="inlineStr">
        <is>
          <t>ÖSTERÅKER</t>
        </is>
      </c>
      <c r="G74" t="n">
        <v>5.6</v>
      </c>
      <c r="H74" t="n">
        <v>0</v>
      </c>
      <c r="I74" t="n">
        <v>0</v>
      </c>
      <c r="J74" t="n">
        <v>0</v>
      </c>
      <c r="K74" t="n">
        <v>0</v>
      </c>
      <c r="L74" t="n">
        <v>0</v>
      </c>
      <c r="M74" t="n">
        <v>0</v>
      </c>
      <c r="N74" t="n">
        <v>0</v>
      </c>
      <c r="O74" t="n">
        <v>0</v>
      </c>
      <c r="P74" t="n">
        <v>0</v>
      </c>
      <c r="Q74" t="n">
        <v>0</v>
      </c>
      <c r="R74" s="2" t="inlineStr"/>
    </row>
    <row r="75" ht="15" customHeight="1">
      <c r="A75" t="inlineStr">
        <is>
          <t>A 464-2022</t>
        </is>
      </c>
      <c r="B75" s="1" t="n">
        <v>44565</v>
      </c>
      <c r="C75" s="1" t="n">
        <v>46102</v>
      </c>
      <c r="D75" t="inlineStr">
        <is>
          <t>STOCKHOLMS LÄN</t>
        </is>
      </c>
      <c r="E75" t="inlineStr">
        <is>
          <t>ÖSTERÅKER</t>
        </is>
      </c>
      <c r="F75" t="inlineStr">
        <is>
          <t>Övriga Aktiebolag</t>
        </is>
      </c>
      <c r="G75" t="n">
        <v>7.6</v>
      </c>
      <c r="H75" t="n">
        <v>0</v>
      </c>
      <c r="I75" t="n">
        <v>0</v>
      </c>
      <c r="J75" t="n">
        <v>0</v>
      </c>
      <c r="K75" t="n">
        <v>0</v>
      </c>
      <c r="L75" t="n">
        <v>0</v>
      </c>
      <c r="M75" t="n">
        <v>0</v>
      </c>
      <c r="N75" t="n">
        <v>0</v>
      </c>
      <c r="O75" t="n">
        <v>0</v>
      </c>
      <c r="P75" t="n">
        <v>0</v>
      </c>
      <c r="Q75" t="n">
        <v>0</v>
      </c>
      <c r="R75" s="2" t="inlineStr"/>
    </row>
    <row r="76" ht="15" customHeight="1">
      <c r="A76" t="inlineStr">
        <is>
          <t>A 16803-2022</t>
        </is>
      </c>
      <c r="B76" s="1" t="n">
        <v>44673</v>
      </c>
      <c r="C76" s="1" t="n">
        <v>46102</v>
      </c>
      <c r="D76" t="inlineStr">
        <is>
          <t>STOCKHOLMS LÄN</t>
        </is>
      </c>
      <c r="E76" t="inlineStr">
        <is>
          <t>ÖSTERÅKER</t>
        </is>
      </c>
      <c r="G76" t="n">
        <v>1.9</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46102</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46102</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31456-2025</t>
        </is>
      </c>
      <c r="B79" s="1" t="n">
        <v>45833.5402662037</v>
      </c>
      <c r="C79" s="1" t="n">
        <v>46102</v>
      </c>
      <c r="D79" t="inlineStr">
        <is>
          <t>STOCKHOLMS LÄN</t>
        </is>
      </c>
      <c r="E79" t="inlineStr">
        <is>
          <t>ÖSTERÅKER</t>
        </is>
      </c>
      <c r="G79" t="n">
        <v>4.3</v>
      </c>
      <c r="H79" t="n">
        <v>0</v>
      </c>
      <c r="I79" t="n">
        <v>0</v>
      </c>
      <c r="J79" t="n">
        <v>0</v>
      </c>
      <c r="K79" t="n">
        <v>0</v>
      </c>
      <c r="L79" t="n">
        <v>0</v>
      </c>
      <c r="M79" t="n">
        <v>0</v>
      </c>
      <c r="N79" t="n">
        <v>0</v>
      </c>
      <c r="O79" t="n">
        <v>0</v>
      </c>
      <c r="P79" t="n">
        <v>0</v>
      </c>
      <c r="Q79" t="n">
        <v>0</v>
      </c>
      <c r="R79" s="2" t="inlineStr"/>
    </row>
    <row r="80" ht="15" customHeight="1">
      <c r="A80" t="inlineStr">
        <is>
          <t>A 34038-2025</t>
        </is>
      </c>
      <c r="B80" s="1" t="n">
        <v>45842</v>
      </c>
      <c r="C80" s="1" t="n">
        <v>46102</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19404-2024</t>
        </is>
      </c>
      <c r="B81" s="1" t="n">
        <v>45428</v>
      </c>
      <c r="C81" s="1" t="n">
        <v>46102</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34079-2025</t>
        </is>
      </c>
      <c r="B82" s="1" t="n">
        <v>45842</v>
      </c>
      <c r="C82" s="1" t="n">
        <v>46102</v>
      </c>
      <c r="D82" t="inlineStr">
        <is>
          <t>STOCKHOLMS LÄN</t>
        </is>
      </c>
      <c r="E82" t="inlineStr">
        <is>
          <t>ÖSTERÅKER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34034-2025</t>
        </is>
      </c>
      <c r="B83" s="1" t="n">
        <v>45842</v>
      </c>
      <c r="C83" s="1" t="n">
        <v>46102</v>
      </c>
      <c r="D83" t="inlineStr">
        <is>
          <t>STOCKHOLMS LÄN</t>
        </is>
      </c>
      <c r="E83" t="inlineStr">
        <is>
          <t>ÖSTERÅKER</t>
        </is>
      </c>
      <c r="F83" t="inlineStr">
        <is>
          <t>Övriga Aktiebolag</t>
        </is>
      </c>
      <c r="G83" t="n">
        <v>3.9</v>
      </c>
      <c r="H83" t="n">
        <v>0</v>
      </c>
      <c r="I83" t="n">
        <v>0</v>
      </c>
      <c r="J83" t="n">
        <v>0</v>
      </c>
      <c r="K83" t="n">
        <v>0</v>
      </c>
      <c r="L83" t="n">
        <v>0</v>
      </c>
      <c r="M83" t="n">
        <v>0</v>
      </c>
      <c r="N83" t="n">
        <v>0</v>
      </c>
      <c r="O83" t="n">
        <v>0</v>
      </c>
      <c r="P83" t="n">
        <v>0</v>
      </c>
      <c r="Q83" t="n">
        <v>0</v>
      </c>
      <c r="R83" s="2" t="inlineStr"/>
    </row>
    <row r="84" ht="15" customHeight="1">
      <c r="A84" t="inlineStr">
        <is>
          <t>A 6655-2023</t>
        </is>
      </c>
      <c r="B84" s="1" t="n">
        <v>44966.60668981481</v>
      </c>
      <c r="C84" s="1" t="n">
        <v>46102</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9842-2025</t>
        </is>
      </c>
      <c r="B85" s="1" t="n">
        <v>45716</v>
      </c>
      <c r="C85" s="1" t="n">
        <v>46102</v>
      </c>
      <c r="D85" t="inlineStr">
        <is>
          <t>STOCKHOLMS LÄN</t>
        </is>
      </c>
      <c r="E85" t="inlineStr">
        <is>
          <t>ÖSTERÅKER</t>
        </is>
      </c>
      <c r="G85" t="n">
        <v>4.8</v>
      </c>
      <c r="H85" t="n">
        <v>0</v>
      </c>
      <c r="I85" t="n">
        <v>0</v>
      </c>
      <c r="J85" t="n">
        <v>0</v>
      </c>
      <c r="K85" t="n">
        <v>0</v>
      </c>
      <c r="L85" t="n">
        <v>0</v>
      </c>
      <c r="M85" t="n">
        <v>0</v>
      </c>
      <c r="N85" t="n">
        <v>0</v>
      </c>
      <c r="O85" t="n">
        <v>0</v>
      </c>
      <c r="P85" t="n">
        <v>0</v>
      </c>
      <c r="Q85" t="n">
        <v>0</v>
      </c>
      <c r="R85" s="2" t="inlineStr"/>
    </row>
    <row r="86" ht="15" customHeight="1">
      <c r="A86" t="inlineStr">
        <is>
          <t>A 35656-2025</t>
        </is>
      </c>
      <c r="B86" s="1" t="n">
        <v>45859</v>
      </c>
      <c r="C86" s="1" t="n">
        <v>46102</v>
      </c>
      <c r="D86" t="inlineStr">
        <is>
          <t>STOCKHOLMS LÄN</t>
        </is>
      </c>
      <c r="E86" t="inlineStr">
        <is>
          <t>ÖSTERÅKER</t>
        </is>
      </c>
      <c r="G86" t="n">
        <v>1.5</v>
      </c>
      <c r="H86" t="n">
        <v>0</v>
      </c>
      <c r="I86" t="n">
        <v>0</v>
      </c>
      <c r="J86" t="n">
        <v>0</v>
      </c>
      <c r="K86" t="n">
        <v>0</v>
      </c>
      <c r="L86" t="n">
        <v>0</v>
      </c>
      <c r="M86" t="n">
        <v>0</v>
      </c>
      <c r="N86" t="n">
        <v>0</v>
      </c>
      <c r="O86" t="n">
        <v>0</v>
      </c>
      <c r="P86" t="n">
        <v>0</v>
      </c>
      <c r="Q86" t="n">
        <v>0</v>
      </c>
      <c r="R86" s="2" t="inlineStr"/>
    </row>
    <row r="87" ht="15" customHeight="1">
      <c r="A87" t="inlineStr">
        <is>
          <t>A 35819-2025</t>
        </is>
      </c>
      <c r="B87" s="1" t="n">
        <v>45861</v>
      </c>
      <c r="C87" s="1" t="n">
        <v>46102</v>
      </c>
      <c r="D87" t="inlineStr">
        <is>
          <t>STOCKHOLMS LÄN</t>
        </is>
      </c>
      <c r="E87" t="inlineStr">
        <is>
          <t>ÖSTERÅKER</t>
        </is>
      </c>
      <c r="F87" t="inlineStr">
        <is>
          <t>Övriga Aktiebolag</t>
        </is>
      </c>
      <c r="G87" t="n">
        <v>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46102</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36611-2025</t>
        </is>
      </c>
      <c r="B89" s="1" t="n">
        <v>45870</v>
      </c>
      <c r="C89" s="1" t="n">
        <v>46102</v>
      </c>
      <c r="D89" t="inlineStr">
        <is>
          <t>STOCKHOLMS LÄN</t>
        </is>
      </c>
      <c r="E89" t="inlineStr">
        <is>
          <t>ÖSTERÅKER</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36614-2025</t>
        </is>
      </c>
      <c r="B90" s="1" t="n">
        <v>45870</v>
      </c>
      <c r="C90" s="1" t="n">
        <v>46102</v>
      </c>
      <c r="D90" t="inlineStr">
        <is>
          <t>STOCKHOLMS LÄN</t>
        </is>
      </c>
      <c r="E90" t="inlineStr">
        <is>
          <t>ÖSTERÅKER</t>
        </is>
      </c>
      <c r="G90" t="n">
        <v>1.7</v>
      </c>
      <c r="H90" t="n">
        <v>0</v>
      </c>
      <c r="I90" t="n">
        <v>0</v>
      </c>
      <c r="J90" t="n">
        <v>0</v>
      </c>
      <c r="K90" t="n">
        <v>0</v>
      </c>
      <c r="L90" t="n">
        <v>0</v>
      </c>
      <c r="M90" t="n">
        <v>0</v>
      </c>
      <c r="N90" t="n">
        <v>0</v>
      </c>
      <c r="O90" t="n">
        <v>0</v>
      </c>
      <c r="P90" t="n">
        <v>0</v>
      </c>
      <c r="Q90" t="n">
        <v>0</v>
      </c>
      <c r="R90" s="2" t="inlineStr"/>
    </row>
    <row r="91" ht="15" customHeight="1">
      <c r="A91" t="inlineStr">
        <is>
          <t>A 36612-2025</t>
        </is>
      </c>
      <c r="B91" s="1" t="n">
        <v>45870</v>
      </c>
      <c r="C91" s="1" t="n">
        <v>46102</v>
      </c>
      <c r="D91" t="inlineStr">
        <is>
          <t>STOCKHOLMS LÄN</t>
        </is>
      </c>
      <c r="E91" t="inlineStr">
        <is>
          <t>ÖSTERÅKER</t>
        </is>
      </c>
      <c r="F91" t="inlineStr">
        <is>
          <t>Övriga Aktiebolag</t>
        </is>
      </c>
      <c r="G91" t="n">
        <v>2.1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46102</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46102</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46102</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46102</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46102</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67265-2021</t>
        </is>
      </c>
      <c r="B97" s="1" t="n">
        <v>44523.59277777778</v>
      </c>
      <c r="C97" s="1" t="n">
        <v>46102</v>
      </c>
      <c r="D97" t="inlineStr">
        <is>
          <t>STOCKHOLMS LÄN</t>
        </is>
      </c>
      <c r="E97" t="inlineStr">
        <is>
          <t>ÖSTERÅKER</t>
        </is>
      </c>
      <c r="F97" t="inlineStr">
        <is>
          <t>Kommuner</t>
        </is>
      </c>
      <c r="G97" t="n">
        <v>2.6</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46102</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46102</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28146-2024</t>
        </is>
      </c>
      <c r="B100" s="1" t="n">
        <v>45476</v>
      </c>
      <c r="C100" s="1" t="n">
        <v>46102</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57048-2024</t>
        </is>
      </c>
      <c r="B101" s="1" t="n">
        <v>45629.33938657407</v>
      </c>
      <c r="C101" s="1" t="n">
        <v>46102</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5286-2025</t>
        </is>
      </c>
      <c r="B102" s="1" t="n">
        <v>45692.44144675926</v>
      </c>
      <c r="C102" s="1" t="n">
        <v>46102</v>
      </c>
      <c r="D102" t="inlineStr">
        <is>
          <t>STOCKHOLMS LÄN</t>
        </is>
      </c>
      <c r="E102" t="inlineStr">
        <is>
          <t>ÖSTERÅKER</t>
        </is>
      </c>
      <c r="G102" t="n">
        <v>11.2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46102</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544-2023</t>
        </is>
      </c>
      <c r="B104" s="1" t="n">
        <v>44924</v>
      </c>
      <c r="C104" s="1" t="n">
        <v>46102</v>
      </c>
      <c r="D104" t="inlineStr">
        <is>
          <t>STOCKHOLMS LÄN</t>
        </is>
      </c>
      <c r="E104" t="inlineStr">
        <is>
          <t>ÖSTERÅKER</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3326-2022</t>
        </is>
      </c>
      <c r="B105" s="1" t="n">
        <v>44583</v>
      </c>
      <c r="C105" s="1" t="n">
        <v>46102</v>
      </c>
      <c r="D105" t="inlineStr">
        <is>
          <t>STOCKHOLMS LÄN</t>
        </is>
      </c>
      <c r="E105" t="inlineStr">
        <is>
          <t>ÖSTERÅKER</t>
        </is>
      </c>
      <c r="F105" t="inlineStr">
        <is>
          <t>Övriga Aktiebolag</t>
        </is>
      </c>
      <c r="G105" t="n">
        <v>2.7</v>
      </c>
      <c r="H105" t="n">
        <v>0</v>
      </c>
      <c r="I105" t="n">
        <v>0</v>
      </c>
      <c r="J105" t="n">
        <v>0</v>
      </c>
      <c r="K105" t="n">
        <v>0</v>
      </c>
      <c r="L105" t="n">
        <v>0</v>
      </c>
      <c r="M105" t="n">
        <v>0</v>
      </c>
      <c r="N105" t="n">
        <v>0</v>
      </c>
      <c r="O105" t="n">
        <v>0</v>
      </c>
      <c r="P105" t="n">
        <v>0</v>
      </c>
      <c r="Q105" t="n">
        <v>0</v>
      </c>
      <c r="R105" s="2" t="inlineStr"/>
    </row>
    <row r="106" ht="15" customHeight="1">
      <c r="A106" t="inlineStr">
        <is>
          <t>A 13366-2024</t>
        </is>
      </c>
      <c r="B106" s="1" t="n">
        <v>45387</v>
      </c>
      <c r="C106" s="1" t="n">
        <v>46102</v>
      </c>
      <c r="D106" t="inlineStr">
        <is>
          <t>STOCKHOLMS LÄN</t>
        </is>
      </c>
      <c r="E106" t="inlineStr">
        <is>
          <t>ÖSTERÅKER</t>
        </is>
      </c>
      <c r="G106" t="n">
        <v>13.7</v>
      </c>
      <c r="H106" t="n">
        <v>0</v>
      </c>
      <c r="I106" t="n">
        <v>0</v>
      </c>
      <c r="J106" t="n">
        <v>0</v>
      </c>
      <c r="K106" t="n">
        <v>0</v>
      </c>
      <c r="L106" t="n">
        <v>0</v>
      </c>
      <c r="M106" t="n">
        <v>0</v>
      </c>
      <c r="N106" t="n">
        <v>0</v>
      </c>
      <c r="O106" t="n">
        <v>0</v>
      </c>
      <c r="P106" t="n">
        <v>0</v>
      </c>
      <c r="Q106" t="n">
        <v>0</v>
      </c>
      <c r="R106" s="2" t="inlineStr"/>
    </row>
    <row r="107" ht="15" customHeight="1">
      <c r="A107" t="inlineStr">
        <is>
          <t>A 57055-2024</t>
        </is>
      </c>
      <c r="B107" s="1" t="n">
        <v>45629.34627314815</v>
      </c>
      <c r="C107" s="1" t="n">
        <v>46102</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59379-2022</t>
        </is>
      </c>
      <c r="B108" s="1" t="n">
        <v>44905</v>
      </c>
      <c r="C108" s="1" t="n">
        <v>46102</v>
      </c>
      <c r="D108" t="inlineStr">
        <is>
          <t>STOCKHOLMS LÄN</t>
        </is>
      </c>
      <c r="E108" t="inlineStr">
        <is>
          <t>ÖSTERÅKER</t>
        </is>
      </c>
      <c r="F108" t="inlineStr">
        <is>
          <t>Kommuner</t>
        </is>
      </c>
      <c r="G108" t="n">
        <v>4.7</v>
      </c>
      <c r="H108" t="n">
        <v>0</v>
      </c>
      <c r="I108" t="n">
        <v>0</v>
      </c>
      <c r="J108" t="n">
        <v>0</v>
      </c>
      <c r="K108" t="n">
        <v>0</v>
      </c>
      <c r="L108" t="n">
        <v>0</v>
      </c>
      <c r="M108" t="n">
        <v>0</v>
      </c>
      <c r="N108" t="n">
        <v>0</v>
      </c>
      <c r="O108" t="n">
        <v>0</v>
      </c>
      <c r="P108" t="n">
        <v>0</v>
      </c>
      <c r="Q108" t="n">
        <v>0</v>
      </c>
      <c r="R108" s="2" t="inlineStr"/>
    </row>
    <row r="109" ht="15" customHeight="1">
      <c r="A109" t="inlineStr">
        <is>
          <t>A 46688-2022</t>
        </is>
      </c>
      <c r="B109" s="1" t="n">
        <v>44851</v>
      </c>
      <c r="C109" s="1" t="n">
        <v>46102</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16738-2022</t>
        </is>
      </c>
      <c r="B110" s="1" t="n">
        <v>44673</v>
      </c>
      <c r="C110" s="1" t="n">
        <v>46102</v>
      </c>
      <c r="D110" t="inlineStr">
        <is>
          <t>STOCKHOLMS LÄN</t>
        </is>
      </c>
      <c r="E110" t="inlineStr">
        <is>
          <t>ÖSTERÅKER</t>
        </is>
      </c>
      <c r="G110" t="n">
        <v>1.1</v>
      </c>
      <c r="H110" t="n">
        <v>0</v>
      </c>
      <c r="I110" t="n">
        <v>0</v>
      </c>
      <c r="J110" t="n">
        <v>0</v>
      </c>
      <c r="K110" t="n">
        <v>0</v>
      </c>
      <c r="L110" t="n">
        <v>0</v>
      </c>
      <c r="M110" t="n">
        <v>0</v>
      </c>
      <c r="N110" t="n">
        <v>0</v>
      </c>
      <c r="O110" t="n">
        <v>0</v>
      </c>
      <c r="P110" t="n">
        <v>0</v>
      </c>
      <c r="Q110" t="n">
        <v>0</v>
      </c>
      <c r="R110" s="2" t="inlineStr"/>
    </row>
    <row r="111" ht="15" customHeight="1">
      <c r="A111" t="inlineStr">
        <is>
          <t>A 17196-2022</t>
        </is>
      </c>
      <c r="B111" s="1" t="n">
        <v>44677</v>
      </c>
      <c r="C111" s="1" t="n">
        <v>46102</v>
      </c>
      <c r="D111" t="inlineStr">
        <is>
          <t>STOCKHOLMS LÄN</t>
        </is>
      </c>
      <c r="E111" t="inlineStr">
        <is>
          <t>ÖSTERÅKER</t>
        </is>
      </c>
      <c r="G111" t="n">
        <v>5.9</v>
      </c>
      <c r="H111" t="n">
        <v>0</v>
      </c>
      <c r="I111" t="n">
        <v>0</v>
      </c>
      <c r="J111" t="n">
        <v>0</v>
      </c>
      <c r="K111" t="n">
        <v>0</v>
      </c>
      <c r="L111" t="n">
        <v>0</v>
      </c>
      <c r="M111" t="n">
        <v>0</v>
      </c>
      <c r="N111" t="n">
        <v>0</v>
      </c>
      <c r="O111" t="n">
        <v>0</v>
      </c>
      <c r="P111" t="n">
        <v>0</v>
      </c>
      <c r="Q111" t="n">
        <v>0</v>
      </c>
      <c r="R111" s="2" t="inlineStr"/>
    </row>
    <row r="112" ht="15" customHeight="1">
      <c r="A112" t="inlineStr">
        <is>
          <t>A 3917-2023</t>
        </is>
      </c>
      <c r="B112" s="1" t="n">
        <v>44952</v>
      </c>
      <c r="C112" s="1" t="n">
        <v>46102</v>
      </c>
      <c r="D112" t="inlineStr">
        <is>
          <t>STOCKHOLMS LÄN</t>
        </is>
      </c>
      <c r="E112" t="inlineStr">
        <is>
          <t>ÖSTERÅKER</t>
        </is>
      </c>
      <c r="F112" t="inlineStr">
        <is>
          <t>Kommuner</t>
        </is>
      </c>
      <c r="G112" t="n">
        <v>2.8</v>
      </c>
      <c r="H112" t="n">
        <v>0</v>
      </c>
      <c r="I112" t="n">
        <v>0</v>
      </c>
      <c r="J112" t="n">
        <v>0</v>
      </c>
      <c r="K112" t="n">
        <v>0</v>
      </c>
      <c r="L112" t="n">
        <v>0</v>
      </c>
      <c r="M112" t="n">
        <v>0</v>
      </c>
      <c r="N112" t="n">
        <v>0</v>
      </c>
      <c r="O112" t="n">
        <v>0</v>
      </c>
      <c r="P112" t="n">
        <v>0</v>
      </c>
      <c r="Q112" t="n">
        <v>0</v>
      </c>
      <c r="R112" s="2" t="inlineStr"/>
    </row>
    <row r="113" ht="15" customHeight="1">
      <c r="A113" t="inlineStr">
        <is>
          <t>A 62108-2022</t>
        </is>
      </c>
      <c r="B113" s="1" t="n">
        <v>44920</v>
      </c>
      <c r="C113" s="1" t="n">
        <v>46102</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37244-2024</t>
        </is>
      </c>
      <c r="B114" s="1" t="n">
        <v>45540</v>
      </c>
      <c r="C114" s="1" t="n">
        <v>46102</v>
      </c>
      <c r="D114" t="inlineStr">
        <is>
          <t>STOCKHOLMS LÄN</t>
        </is>
      </c>
      <c r="E114" t="inlineStr">
        <is>
          <t>ÖSTERÅKER</t>
        </is>
      </c>
      <c r="G114" t="n">
        <v>2.6</v>
      </c>
      <c r="H114" t="n">
        <v>0</v>
      </c>
      <c r="I114" t="n">
        <v>0</v>
      </c>
      <c r="J114" t="n">
        <v>0</v>
      </c>
      <c r="K114" t="n">
        <v>0</v>
      </c>
      <c r="L114" t="n">
        <v>0</v>
      </c>
      <c r="M114" t="n">
        <v>0</v>
      </c>
      <c r="N114" t="n">
        <v>0</v>
      </c>
      <c r="O114" t="n">
        <v>0</v>
      </c>
      <c r="P114" t="n">
        <v>0</v>
      </c>
      <c r="Q114" t="n">
        <v>0</v>
      </c>
      <c r="R114" s="2" t="inlineStr"/>
    </row>
    <row r="115" ht="15" customHeight="1">
      <c r="A115" t="inlineStr">
        <is>
          <t>A 21796-2025</t>
        </is>
      </c>
      <c r="B115" s="1" t="n">
        <v>45783.68135416666</v>
      </c>
      <c r="C115" s="1" t="n">
        <v>46102</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c r="A116" t="inlineStr">
        <is>
          <t>A 21786-2025</t>
        </is>
      </c>
      <c r="B116" s="1" t="n">
        <v>45783.67215277778</v>
      </c>
      <c r="C116" s="1" t="n">
        <v>46102</v>
      </c>
      <c r="D116" t="inlineStr">
        <is>
          <t>STOCKHOLMS LÄN</t>
        </is>
      </c>
      <c r="E116" t="inlineStr">
        <is>
          <t>ÖSTERÅKER</t>
        </is>
      </c>
      <c r="G116" t="n">
        <v>3.8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2026-03-21T11:30:14Z</dcterms:created>
  <dcterms:modified xmlns:dcterms="http://purl.org/dc/terms/" xmlns:xsi="http://www.w3.org/2001/XMLSchema-instance" xsi:type="dcterms:W3CDTF">2026-03-21T11:30:14Z</dcterms:modified>
</cp:coreProperties>
</file>