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45836</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45836</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45836</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45836</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45836</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45836</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45836</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45836</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45836</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45836</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61275-2021</t>
        </is>
      </c>
      <c r="B12" s="1" t="n">
        <v>44498</v>
      </c>
      <c r="C12" s="1" t="n">
        <v>45836</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17244-2022</t>
        </is>
      </c>
      <c r="B13" s="1" t="n">
        <v>44678</v>
      </c>
      <c r="C13" s="1" t="n">
        <v>45836</v>
      </c>
      <c r="D13" t="inlineStr">
        <is>
          <t>STOCKHOLMS LÄN</t>
        </is>
      </c>
      <c r="E13" t="inlineStr">
        <is>
          <t>ÖSTERÅKER</t>
        </is>
      </c>
      <c r="G13" t="n">
        <v>1.4</v>
      </c>
      <c r="H13" t="n">
        <v>1</v>
      </c>
      <c r="I13" t="n">
        <v>2</v>
      </c>
      <c r="J13" t="n">
        <v>0</v>
      </c>
      <c r="K13" t="n">
        <v>0</v>
      </c>
      <c r="L13" t="n">
        <v>0</v>
      </c>
      <c r="M13" t="n">
        <v>0</v>
      </c>
      <c r="N13" t="n">
        <v>0</v>
      </c>
      <c r="O13" t="n">
        <v>0</v>
      </c>
      <c r="P13" t="n">
        <v>0</v>
      </c>
      <c r="Q13" t="n">
        <v>2</v>
      </c>
      <c r="R13" s="2" t="inlineStr">
        <is>
          <t>Bronshjon
Grön sköldmossa</t>
        </is>
      </c>
      <c r="S13">
        <f>HYPERLINK("https://klasma.github.io/Logging_0117/artfynd/A 17244-2022 artfynd.xlsx", "A 17244-2022")</f>
        <v/>
      </c>
      <c r="T13">
        <f>HYPERLINK("https://klasma.github.io/Logging_0117/kartor/A 17244-2022 karta.png", "A 17244-2022")</f>
        <v/>
      </c>
      <c r="V13">
        <f>HYPERLINK("https://klasma.github.io/Logging_0117/klagomål/A 17244-2022 FSC-klagomål.docx", "A 17244-2022")</f>
        <v/>
      </c>
      <c r="W13">
        <f>HYPERLINK("https://klasma.github.io/Logging_0117/klagomålsmail/A 17244-2022 FSC-klagomål mail.docx", "A 17244-2022")</f>
        <v/>
      </c>
      <c r="X13">
        <f>HYPERLINK("https://klasma.github.io/Logging_0117/tillsyn/A 17244-2022 tillsynsbegäran.docx", "A 17244-2022")</f>
        <v/>
      </c>
      <c r="Y13">
        <f>HYPERLINK("https://klasma.github.io/Logging_0117/tillsynsmail/A 17244-2022 tillsynsbegäran mail.docx", "A 17244-2022")</f>
        <v/>
      </c>
    </row>
    <row r="14" ht="15" customHeight="1">
      <c r="A14" t="inlineStr">
        <is>
          <t>A 31523-2022</t>
        </is>
      </c>
      <c r="B14" s="1" t="n">
        <v>44775</v>
      </c>
      <c r="C14" s="1" t="n">
        <v>45836</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61357-2022</t>
        </is>
      </c>
      <c r="B15" s="1" t="n">
        <v>44915</v>
      </c>
      <c r="C15" s="1" t="n">
        <v>45836</v>
      </c>
      <c r="D15" t="inlineStr">
        <is>
          <t>STOCKHOLMS LÄN</t>
        </is>
      </c>
      <c r="E15" t="inlineStr">
        <is>
          <t>ÖSTERÅKER</t>
        </is>
      </c>
      <c r="G15" t="n">
        <v>3.5</v>
      </c>
      <c r="H15" t="n">
        <v>0</v>
      </c>
      <c r="I15" t="n">
        <v>2</v>
      </c>
      <c r="J15" t="n">
        <v>0</v>
      </c>
      <c r="K15" t="n">
        <v>0</v>
      </c>
      <c r="L15" t="n">
        <v>0</v>
      </c>
      <c r="M15" t="n">
        <v>0</v>
      </c>
      <c r="N15" t="n">
        <v>0</v>
      </c>
      <c r="O15" t="n">
        <v>0</v>
      </c>
      <c r="P15" t="n">
        <v>0</v>
      </c>
      <c r="Q15" t="n">
        <v>2</v>
      </c>
      <c r="R15" s="2" t="inlineStr">
        <is>
          <t>Dvärgtufs
Slanklav</t>
        </is>
      </c>
      <c r="S15">
        <f>HYPERLINK("https://klasma.github.io/Logging_0117/artfynd/A 61357-2022 artfynd.xlsx", "A 61357-2022")</f>
        <v/>
      </c>
      <c r="T15">
        <f>HYPERLINK("https://klasma.github.io/Logging_0117/kartor/A 61357-2022 karta.png", "A 61357-2022")</f>
        <v/>
      </c>
      <c r="U15">
        <f>HYPERLINK("https://klasma.github.io/Logging_0117/knärot/A 61357-2022 karta knärot.png", "A 61357-2022")</f>
        <v/>
      </c>
      <c r="V15">
        <f>HYPERLINK("https://klasma.github.io/Logging_0117/klagomål/A 61357-2022 FSC-klagomål.docx", "A 61357-2022")</f>
        <v/>
      </c>
      <c r="W15">
        <f>HYPERLINK("https://klasma.github.io/Logging_0117/klagomålsmail/A 61357-2022 FSC-klagomål mail.docx", "A 61357-2022")</f>
        <v/>
      </c>
      <c r="X15">
        <f>HYPERLINK("https://klasma.github.io/Logging_0117/tillsyn/A 61357-2022 tillsynsbegäran.docx", "A 61357-2022")</f>
        <v/>
      </c>
      <c r="Y15">
        <f>HYPERLINK("https://klasma.github.io/Logging_0117/tillsynsmail/A 61357-2022 tillsynsbegäran mail.docx", "A 61357-2022")</f>
        <v/>
      </c>
    </row>
    <row r="16" ht="15" customHeight="1">
      <c r="A16" t="inlineStr">
        <is>
          <t>A 61363-2022</t>
        </is>
      </c>
      <c r="B16" s="1" t="n">
        <v>44915</v>
      </c>
      <c r="C16" s="1" t="n">
        <v>45836</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8622-2024</t>
        </is>
      </c>
      <c r="B17" s="1" t="n">
        <v>45355</v>
      </c>
      <c r="C17" s="1" t="n">
        <v>45836</v>
      </c>
      <c r="D17" t="inlineStr">
        <is>
          <t>STOCKHOLMS LÄN</t>
        </is>
      </c>
      <c r="E17" t="inlineStr">
        <is>
          <t>ÖSTERÅKER</t>
        </is>
      </c>
      <c r="G17" t="n">
        <v>5.3</v>
      </c>
      <c r="H17" t="n">
        <v>2</v>
      </c>
      <c r="I17" t="n">
        <v>0</v>
      </c>
      <c r="J17" t="n">
        <v>1</v>
      </c>
      <c r="K17" t="n">
        <v>0</v>
      </c>
      <c r="L17" t="n">
        <v>0</v>
      </c>
      <c r="M17" t="n">
        <v>0</v>
      </c>
      <c r="N17" t="n">
        <v>0</v>
      </c>
      <c r="O17" t="n">
        <v>1</v>
      </c>
      <c r="P17" t="n">
        <v>0</v>
      </c>
      <c r="Q17" t="n">
        <v>2</v>
      </c>
      <c r="R17" s="2" t="inlineStr">
        <is>
          <t>Svartvit flugsnappare
Blåsippa</t>
        </is>
      </c>
      <c r="S17">
        <f>HYPERLINK("https://klasma.github.io/Logging_0117/artfynd/A 8622-2024 artfynd.xlsx", "A 8622-2024")</f>
        <v/>
      </c>
      <c r="T17">
        <f>HYPERLINK("https://klasma.github.io/Logging_0117/kartor/A 8622-2024 karta.png", "A 8622-2024")</f>
        <v/>
      </c>
      <c r="V17">
        <f>HYPERLINK("https://klasma.github.io/Logging_0117/klagomål/A 8622-2024 FSC-klagomål.docx", "A 8622-2024")</f>
        <v/>
      </c>
      <c r="W17">
        <f>HYPERLINK("https://klasma.github.io/Logging_0117/klagomålsmail/A 8622-2024 FSC-klagomål mail.docx", "A 8622-2024")</f>
        <v/>
      </c>
      <c r="X17">
        <f>HYPERLINK("https://klasma.github.io/Logging_0117/tillsyn/A 8622-2024 tillsynsbegäran.docx", "A 8622-2024")</f>
        <v/>
      </c>
      <c r="Y17">
        <f>HYPERLINK("https://klasma.github.io/Logging_0117/tillsynsmail/A 8622-2024 tillsynsbegäran mail.docx", "A 8622-2024")</f>
        <v/>
      </c>
      <c r="Z17">
        <f>HYPERLINK("https://klasma.github.io/Logging_0117/fåglar/A 8622-2024 prioriterade fågelarter.docx", "A 8622-2024")</f>
        <v/>
      </c>
    </row>
    <row r="18" ht="15" customHeight="1">
      <c r="A18" t="inlineStr">
        <is>
          <t>A 43308-2024</t>
        </is>
      </c>
      <c r="B18" s="1" t="n">
        <v>45568</v>
      </c>
      <c r="C18" s="1" t="n">
        <v>45836</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45836</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68105-2019</t>
        </is>
      </c>
      <c r="B20" s="1" t="n">
        <v>43817</v>
      </c>
      <c r="C20" s="1" t="n">
        <v>45836</v>
      </c>
      <c r="D20" t="inlineStr">
        <is>
          <t>STOCKHOLMS LÄN</t>
        </is>
      </c>
      <c r="E20" t="inlineStr">
        <is>
          <t>ÖSTERÅKER</t>
        </is>
      </c>
      <c r="G20" t="n">
        <v>16.6</v>
      </c>
      <c r="H20" t="n">
        <v>0</v>
      </c>
      <c r="I20" t="n">
        <v>1</v>
      </c>
      <c r="J20" t="n">
        <v>0</v>
      </c>
      <c r="K20" t="n">
        <v>0</v>
      </c>
      <c r="L20" t="n">
        <v>0</v>
      </c>
      <c r="M20" t="n">
        <v>0</v>
      </c>
      <c r="N20" t="n">
        <v>0</v>
      </c>
      <c r="O20" t="n">
        <v>0</v>
      </c>
      <c r="P20" t="n">
        <v>0</v>
      </c>
      <c r="Q20" t="n">
        <v>1</v>
      </c>
      <c r="R20" s="2" t="inlineStr">
        <is>
          <t>Mindre märgborre</t>
        </is>
      </c>
      <c r="S20">
        <f>HYPERLINK("https://klasma.github.io/Logging_0117/artfynd/A 68105-2019 artfynd.xlsx", "A 68105-2019")</f>
        <v/>
      </c>
      <c r="T20">
        <f>HYPERLINK("https://klasma.github.io/Logging_0117/kartor/A 68105-2019 karta.png", "A 68105-2019")</f>
        <v/>
      </c>
      <c r="V20">
        <f>HYPERLINK("https://klasma.github.io/Logging_0117/klagomål/A 68105-2019 FSC-klagomål.docx", "A 68105-2019")</f>
        <v/>
      </c>
      <c r="W20">
        <f>HYPERLINK("https://klasma.github.io/Logging_0117/klagomålsmail/A 68105-2019 FSC-klagomål mail.docx", "A 68105-2019")</f>
        <v/>
      </c>
      <c r="X20">
        <f>HYPERLINK("https://klasma.github.io/Logging_0117/tillsyn/A 68105-2019 tillsynsbegäran.docx", "A 68105-2019")</f>
        <v/>
      </c>
      <c r="Y20">
        <f>HYPERLINK("https://klasma.github.io/Logging_0117/tillsynsmail/A 68105-2019 tillsynsbegäran mail.docx", "A 68105-2019")</f>
        <v/>
      </c>
    </row>
    <row r="21" ht="15" customHeight="1">
      <c r="A21" t="inlineStr">
        <is>
          <t>A 13942-2021</t>
        </is>
      </c>
      <c r="B21" s="1" t="n">
        <v>44277</v>
      </c>
      <c r="C21" s="1" t="n">
        <v>45836</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22172-2022</t>
        </is>
      </c>
      <c r="B22" s="1" t="n">
        <v>44712</v>
      </c>
      <c r="C22" s="1" t="n">
        <v>45836</v>
      </c>
      <c r="D22" t="inlineStr">
        <is>
          <t>STOCKHOLMS LÄN</t>
        </is>
      </c>
      <c r="E22" t="inlineStr">
        <is>
          <t>ÖSTERÅKER</t>
        </is>
      </c>
      <c r="G22" t="n">
        <v>3.7</v>
      </c>
      <c r="H22" t="n">
        <v>1</v>
      </c>
      <c r="I22" t="n">
        <v>0</v>
      </c>
      <c r="J22" t="n">
        <v>1</v>
      </c>
      <c r="K22" t="n">
        <v>0</v>
      </c>
      <c r="L22" t="n">
        <v>0</v>
      </c>
      <c r="M22" t="n">
        <v>0</v>
      </c>
      <c r="N22" t="n">
        <v>0</v>
      </c>
      <c r="O22" t="n">
        <v>1</v>
      </c>
      <c r="P22" t="n">
        <v>0</v>
      </c>
      <c r="Q22" t="n">
        <v>1</v>
      </c>
      <c r="R22" s="2" t="inlineStr">
        <is>
          <t>Kråka</t>
        </is>
      </c>
      <c r="S22">
        <f>HYPERLINK("https://klasma.github.io/Logging_0117/artfynd/A 22172-2022 artfynd.xlsx", "A 22172-2022")</f>
        <v/>
      </c>
      <c r="T22">
        <f>HYPERLINK("https://klasma.github.io/Logging_0117/kartor/A 22172-2022 karta.png", "A 22172-2022")</f>
        <v/>
      </c>
      <c r="V22">
        <f>HYPERLINK("https://klasma.github.io/Logging_0117/klagomål/A 22172-2022 FSC-klagomål.docx", "A 22172-2022")</f>
        <v/>
      </c>
      <c r="W22">
        <f>HYPERLINK("https://klasma.github.io/Logging_0117/klagomålsmail/A 22172-2022 FSC-klagomål mail.docx", "A 22172-2022")</f>
        <v/>
      </c>
      <c r="X22">
        <f>HYPERLINK("https://klasma.github.io/Logging_0117/tillsyn/A 22172-2022 tillsynsbegäran.docx", "A 22172-2022")</f>
        <v/>
      </c>
      <c r="Y22">
        <f>HYPERLINK("https://klasma.github.io/Logging_0117/tillsynsmail/A 22172-2022 tillsynsbegäran mail.docx", "A 22172-2022")</f>
        <v/>
      </c>
      <c r="Z22">
        <f>HYPERLINK("https://klasma.github.io/Logging_0117/fåglar/A 22172-2022 prioriterade fågelarter.docx", "A 22172-2022")</f>
        <v/>
      </c>
    </row>
    <row r="23" ht="15" customHeight="1">
      <c r="A23" t="inlineStr">
        <is>
          <t>A 61372-2022</t>
        </is>
      </c>
      <c r="B23" s="1" t="n">
        <v>44915</v>
      </c>
      <c r="C23" s="1" t="n">
        <v>45836</v>
      </c>
      <c r="D23" t="inlineStr">
        <is>
          <t>STOCKHOLMS LÄN</t>
        </is>
      </c>
      <c r="E23" t="inlineStr">
        <is>
          <t>ÖSTERÅKER</t>
        </is>
      </c>
      <c r="G23" t="n">
        <v>4.3</v>
      </c>
      <c r="H23" t="n">
        <v>0</v>
      </c>
      <c r="I23" t="n">
        <v>1</v>
      </c>
      <c r="J23" t="n">
        <v>0</v>
      </c>
      <c r="K23" t="n">
        <v>0</v>
      </c>
      <c r="L23" t="n">
        <v>0</v>
      </c>
      <c r="M23" t="n">
        <v>0</v>
      </c>
      <c r="N23" t="n">
        <v>0</v>
      </c>
      <c r="O23" t="n">
        <v>0</v>
      </c>
      <c r="P23" t="n">
        <v>0</v>
      </c>
      <c r="Q23" t="n">
        <v>1</v>
      </c>
      <c r="R23" s="2" t="inlineStr">
        <is>
          <t>Mindre märgborre</t>
        </is>
      </c>
      <c r="S23">
        <f>HYPERLINK("https://klasma.github.io/Logging_0117/artfynd/A 61372-2022 artfynd.xlsx", "A 61372-2022")</f>
        <v/>
      </c>
      <c r="T23">
        <f>HYPERLINK("https://klasma.github.io/Logging_0117/kartor/A 61372-2022 karta.png", "A 61372-2022")</f>
        <v/>
      </c>
      <c r="V23">
        <f>HYPERLINK("https://klasma.github.io/Logging_0117/klagomål/A 61372-2022 FSC-klagomål.docx", "A 61372-2022")</f>
        <v/>
      </c>
      <c r="W23">
        <f>HYPERLINK("https://klasma.github.io/Logging_0117/klagomålsmail/A 61372-2022 FSC-klagomål mail.docx", "A 61372-2022")</f>
        <v/>
      </c>
      <c r="X23">
        <f>HYPERLINK("https://klasma.github.io/Logging_0117/tillsyn/A 61372-2022 tillsynsbegäran.docx", "A 61372-2022")</f>
        <v/>
      </c>
      <c r="Y23">
        <f>HYPERLINK("https://klasma.github.io/Logging_0117/tillsynsmail/A 61372-2022 tillsynsbegäran mail.docx", "A 61372-2022")</f>
        <v/>
      </c>
    </row>
    <row r="24" ht="15" customHeight="1">
      <c r="A24" t="inlineStr">
        <is>
          <t>A 61732-2022</t>
        </is>
      </c>
      <c r="B24" s="1" t="n">
        <v>44917</v>
      </c>
      <c r="C24" s="1" t="n">
        <v>45836</v>
      </c>
      <c r="D24" t="inlineStr">
        <is>
          <t>STOCKHOLMS LÄN</t>
        </is>
      </c>
      <c r="E24" t="inlineStr">
        <is>
          <t>ÖSTERÅKER</t>
        </is>
      </c>
      <c r="G24" t="n">
        <v>2.2</v>
      </c>
      <c r="H24" t="n">
        <v>0</v>
      </c>
      <c r="I24" t="n">
        <v>0</v>
      </c>
      <c r="J24" t="n">
        <v>1</v>
      </c>
      <c r="K24" t="n">
        <v>0</v>
      </c>
      <c r="L24" t="n">
        <v>0</v>
      </c>
      <c r="M24" t="n">
        <v>0</v>
      </c>
      <c r="N24" t="n">
        <v>0</v>
      </c>
      <c r="O24" t="n">
        <v>1</v>
      </c>
      <c r="P24" t="n">
        <v>0</v>
      </c>
      <c r="Q24" t="n">
        <v>1</v>
      </c>
      <c r="R24" s="2" t="inlineStr">
        <is>
          <t>Ullticka</t>
        </is>
      </c>
      <c r="S24">
        <f>HYPERLINK("https://klasma.github.io/Logging_0117/artfynd/A 61732-2022 artfynd.xlsx", "A 61732-2022")</f>
        <v/>
      </c>
      <c r="T24">
        <f>HYPERLINK("https://klasma.github.io/Logging_0117/kartor/A 61732-2022 karta.png", "A 61732-2022")</f>
        <v/>
      </c>
      <c r="V24">
        <f>HYPERLINK("https://klasma.github.io/Logging_0117/klagomål/A 61732-2022 FSC-klagomål.docx", "A 61732-2022")</f>
        <v/>
      </c>
      <c r="W24">
        <f>HYPERLINK("https://klasma.github.io/Logging_0117/klagomålsmail/A 61732-2022 FSC-klagomål mail.docx", "A 61732-2022")</f>
        <v/>
      </c>
      <c r="X24">
        <f>HYPERLINK("https://klasma.github.io/Logging_0117/tillsyn/A 61732-2022 tillsynsbegäran.docx", "A 61732-2022")</f>
        <v/>
      </c>
      <c r="Y24">
        <f>HYPERLINK("https://klasma.github.io/Logging_0117/tillsynsmail/A 61732-2022 tillsynsbegäran mail.docx", "A 61732-2022")</f>
        <v/>
      </c>
    </row>
    <row r="25" ht="15" customHeight="1">
      <c r="A25" t="inlineStr">
        <is>
          <t>A 847-2023</t>
        </is>
      </c>
      <c r="B25" s="1" t="n">
        <v>44931</v>
      </c>
      <c r="C25" s="1" t="n">
        <v>45836</v>
      </c>
      <c r="D25" t="inlineStr">
        <is>
          <t>STOCKHOLMS LÄN</t>
        </is>
      </c>
      <c r="E25" t="inlineStr">
        <is>
          <t>ÖSTERÅKER</t>
        </is>
      </c>
      <c r="G25" t="n">
        <v>3</v>
      </c>
      <c r="H25" t="n">
        <v>1</v>
      </c>
      <c r="I25" t="n">
        <v>0</v>
      </c>
      <c r="J25" t="n">
        <v>1</v>
      </c>
      <c r="K25" t="n">
        <v>0</v>
      </c>
      <c r="L25" t="n">
        <v>0</v>
      </c>
      <c r="M25" t="n">
        <v>0</v>
      </c>
      <c r="N25" t="n">
        <v>0</v>
      </c>
      <c r="O25" t="n">
        <v>1</v>
      </c>
      <c r="P25" t="n">
        <v>0</v>
      </c>
      <c r="Q25" t="n">
        <v>1</v>
      </c>
      <c r="R25" s="2" t="inlineStr">
        <is>
          <t>Talltita</t>
        </is>
      </c>
      <c r="S25">
        <f>HYPERLINK("https://klasma.github.io/Logging_0117/artfynd/A 847-2023 artfynd.xlsx", "A 847-2023")</f>
        <v/>
      </c>
      <c r="T25">
        <f>HYPERLINK("https://klasma.github.io/Logging_0117/kartor/A 847-2023 karta.png", "A 847-2023")</f>
        <v/>
      </c>
      <c r="V25">
        <f>HYPERLINK("https://klasma.github.io/Logging_0117/klagomål/A 847-2023 FSC-klagomål.docx", "A 847-2023")</f>
        <v/>
      </c>
      <c r="W25">
        <f>HYPERLINK("https://klasma.github.io/Logging_0117/klagomålsmail/A 847-2023 FSC-klagomål mail.docx", "A 847-2023")</f>
        <v/>
      </c>
      <c r="X25">
        <f>HYPERLINK("https://klasma.github.io/Logging_0117/tillsyn/A 847-2023 tillsynsbegäran.docx", "A 847-2023")</f>
        <v/>
      </c>
      <c r="Y25">
        <f>HYPERLINK("https://klasma.github.io/Logging_0117/tillsynsmail/A 847-2023 tillsynsbegäran mail.docx", "A 847-2023")</f>
        <v/>
      </c>
      <c r="Z25">
        <f>HYPERLINK("https://klasma.github.io/Logging_0117/fåglar/A 847-2023 prioriterade fågelarter.docx", "A 847-2023")</f>
        <v/>
      </c>
    </row>
    <row r="26" ht="15" customHeight="1">
      <c r="A26" t="inlineStr">
        <is>
          <t>A 3919-2023</t>
        </is>
      </c>
      <c r="B26" s="1" t="n">
        <v>44952</v>
      </c>
      <c r="C26" s="1" t="n">
        <v>45836</v>
      </c>
      <c r="D26" t="inlineStr">
        <is>
          <t>STOCKHOLMS LÄN</t>
        </is>
      </c>
      <c r="E26" t="inlineStr">
        <is>
          <t>ÖSTERÅKER</t>
        </is>
      </c>
      <c r="F26" t="inlineStr">
        <is>
          <t>Kommuner</t>
        </is>
      </c>
      <c r="G26" t="n">
        <v>4.9</v>
      </c>
      <c r="H26" t="n">
        <v>0</v>
      </c>
      <c r="I26" t="n">
        <v>0</v>
      </c>
      <c r="J26" t="n">
        <v>1</v>
      </c>
      <c r="K26" t="n">
        <v>0</v>
      </c>
      <c r="L26" t="n">
        <v>0</v>
      </c>
      <c r="M26" t="n">
        <v>0</v>
      </c>
      <c r="N26" t="n">
        <v>0</v>
      </c>
      <c r="O26" t="n">
        <v>1</v>
      </c>
      <c r="P26" t="n">
        <v>0</v>
      </c>
      <c r="Q26" t="n">
        <v>1</v>
      </c>
      <c r="R26" s="2" t="inlineStr">
        <is>
          <t>Tallticka</t>
        </is>
      </c>
      <c r="S26">
        <f>HYPERLINK("https://klasma.github.io/Logging_0117/artfynd/A 3919-2023 artfynd.xlsx", "A 3919-2023")</f>
        <v/>
      </c>
      <c r="T26">
        <f>HYPERLINK("https://klasma.github.io/Logging_0117/kartor/A 3919-2023 karta.png", "A 3919-2023")</f>
        <v/>
      </c>
      <c r="V26">
        <f>HYPERLINK("https://klasma.github.io/Logging_0117/klagomål/A 3919-2023 FSC-klagomål.docx", "A 3919-2023")</f>
        <v/>
      </c>
      <c r="W26">
        <f>HYPERLINK("https://klasma.github.io/Logging_0117/klagomålsmail/A 3919-2023 FSC-klagomål mail.docx", "A 3919-2023")</f>
        <v/>
      </c>
      <c r="X26">
        <f>HYPERLINK("https://klasma.github.io/Logging_0117/tillsyn/A 3919-2023 tillsynsbegäran.docx", "A 3919-2023")</f>
        <v/>
      </c>
      <c r="Y26">
        <f>HYPERLINK("https://klasma.github.io/Logging_0117/tillsynsmail/A 3919-2023 tillsynsbegäran mail.docx", "A 3919-2023")</f>
        <v/>
      </c>
    </row>
    <row r="27" ht="15" customHeight="1">
      <c r="A27" t="inlineStr">
        <is>
          <t>A 3914-2023</t>
        </is>
      </c>
      <c r="B27" s="1" t="n">
        <v>44952</v>
      </c>
      <c r="C27" s="1" t="n">
        <v>45836</v>
      </c>
      <c r="D27" t="inlineStr">
        <is>
          <t>STOCKHOLMS LÄN</t>
        </is>
      </c>
      <c r="E27" t="inlineStr">
        <is>
          <t>ÖSTERÅKER</t>
        </is>
      </c>
      <c r="F27" t="inlineStr">
        <is>
          <t>Kommuner</t>
        </is>
      </c>
      <c r="G27" t="n">
        <v>15.3</v>
      </c>
      <c r="H27" t="n">
        <v>1</v>
      </c>
      <c r="I27" t="n">
        <v>0</v>
      </c>
      <c r="J27" t="n">
        <v>0</v>
      </c>
      <c r="K27" t="n">
        <v>0</v>
      </c>
      <c r="L27" t="n">
        <v>0</v>
      </c>
      <c r="M27" t="n">
        <v>0</v>
      </c>
      <c r="N27" t="n">
        <v>0</v>
      </c>
      <c r="O27" t="n">
        <v>0</v>
      </c>
      <c r="P27" t="n">
        <v>0</v>
      </c>
      <c r="Q27" t="n">
        <v>1</v>
      </c>
      <c r="R27" s="2" t="inlineStr">
        <is>
          <t>Gråkråka</t>
        </is>
      </c>
      <c r="S27">
        <f>HYPERLINK("https://klasma.github.io/Logging_0117/artfynd/A 3914-2023 artfynd.xlsx", "A 3914-2023")</f>
        <v/>
      </c>
      <c r="T27">
        <f>HYPERLINK("https://klasma.github.io/Logging_0117/kartor/A 3914-2023 karta.png", "A 3914-2023")</f>
        <v/>
      </c>
      <c r="V27">
        <f>HYPERLINK("https://klasma.github.io/Logging_0117/klagomål/A 3914-2023 FSC-klagomål.docx", "A 3914-2023")</f>
        <v/>
      </c>
      <c r="W27">
        <f>HYPERLINK("https://klasma.github.io/Logging_0117/klagomålsmail/A 3914-2023 FSC-klagomål mail.docx", "A 3914-2023")</f>
        <v/>
      </c>
      <c r="X27">
        <f>HYPERLINK("https://klasma.github.io/Logging_0117/tillsyn/A 3914-2023 tillsynsbegäran.docx", "A 3914-2023")</f>
        <v/>
      </c>
      <c r="Y27">
        <f>HYPERLINK("https://klasma.github.io/Logging_0117/tillsynsmail/A 3914-2023 tillsynsbegäran mail.docx", "A 3914-2023")</f>
        <v/>
      </c>
    </row>
    <row r="28" ht="15" customHeight="1">
      <c r="A28" t="inlineStr">
        <is>
          <t>A 27921-2025</t>
        </is>
      </c>
      <c r="B28" s="1" t="n">
        <v>45817</v>
      </c>
      <c r="C28" s="1" t="n">
        <v>45836</v>
      </c>
      <c r="D28" t="inlineStr">
        <is>
          <t>STOCKHOLMS LÄN</t>
        </is>
      </c>
      <c r="E28" t="inlineStr">
        <is>
          <t>ÖSTERÅKER</t>
        </is>
      </c>
      <c r="G28" t="n">
        <v>11.8</v>
      </c>
      <c r="H28" t="n">
        <v>1</v>
      </c>
      <c r="I28" t="n">
        <v>0</v>
      </c>
      <c r="J28" t="n">
        <v>0</v>
      </c>
      <c r="K28" t="n">
        <v>0</v>
      </c>
      <c r="L28" t="n">
        <v>0</v>
      </c>
      <c r="M28" t="n">
        <v>0</v>
      </c>
      <c r="N28" t="n">
        <v>0</v>
      </c>
      <c r="O28" t="n">
        <v>0</v>
      </c>
      <c r="P28" t="n">
        <v>0</v>
      </c>
      <c r="Q28" t="n">
        <v>1</v>
      </c>
      <c r="R28" s="2" t="inlineStr">
        <is>
          <t>Mindre vattensalamander</t>
        </is>
      </c>
      <c r="S28">
        <f>HYPERLINK("https://klasma.github.io/Logging_010117/artfynd/A 27921-2025 artfynd.xlsx", "A 27921-2025")</f>
        <v/>
      </c>
      <c r="T28">
        <f>HYPERLINK("https://klasma.github.io/Logging_010117/kartor/A 27921-2025 karta.png", "A 27921-2025")</f>
        <v/>
      </c>
      <c r="V28">
        <f>HYPERLINK("https://klasma.github.io/Logging_010117/klagomål/A 27921-2025 FSC-klagomål.docx", "A 27921-2025")</f>
        <v/>
      </c>
      <c r="W28">
        <f>HYPERLINK("https://klasma.github.io/Logging_010117/klagomålsmail/A 27921-2025 FSC-klagomål mail.docx", "A 27921-2025")</f>
        <v/>
      </c>
      <c r="X28">
        <f>HYPERLINK("https://klasma.github.io/Logging_010117/tillsyn/A 27921-2025 tillsynsbegäran.docx", "A 27921-2025")</f>
        <v/>
      </c>
      <c r="Y28">
        <f>HYPERLINK("https://klasma.github.io/Logging_010117/tillsynsmail/A 27921-2025 tillsynsbegäran mail.docx", "A 27921-2025")</f>
        <v/>
      </c>
    </row>
    <row r="29" ht="15" customHeight="1">
      <c r="A29" t="inlineStr">
        <is>
          <t>A 31716-2025</t>
        </is>
      </c>
      <c r="B29" s="1" t="n">
        <v>45834</v>
      </c>
      <c r="C29" s="1" t="n">
        <v>45836</v>
      </c>
      <c r="D29" t="inlineStr">
        <is>
          <t>STOCKHOLMS LÄN</t>
        </is>
      </c>
      <c r="E29" t="inlineStr">
        <is>
          <t>ÖSTERÅKER</t>
        </is>
      </c>
      <c r="G29" t="n">
        <v>2.8</v>
      </c>
      <c r="H29" t="n">
        <v>1</v>
      </c>
      <c r="I29" t="n">
        <v>0</v>
      </c>
      <c r="J29" t="n">
        <v>0</v>
      </c>
      <c r="K29" t="n">
        <v>0</v>
      </c>
      <c r="L29" t="n">
        <v>0</v>
      </c>
      <c r="M29" t="n">
        <v>0</v>
      </c>
      <c r="N29" t="n">
        <v>0</v>
      </c>
      <c r="O29" t="n">
        <v>0</v>
      </c>
      <c r="P29" t="n">
        <v>0</v>
      </c>
      <c r="Q29" t="n">
        <v>1</v>
      </c>
      <c r="R29" s="2" t="inlineStr">
        <is>
          <t>Revlummer</t>
        </is>
      </c>
      <c r="S29">
        <f>HYPERLINK("https://klasma.github.io/Logging_010117/artfynd/A 31716-2025 artfynd.xlsx", "A 31716-2025")</f>
        <v/>
      </c>
      <c r="T29">
        <f>HYPERLINK("https://klasma.github.io/Logging_010117/kartor/A 31716-2025 karta.png", "A 31716-2025")</f>
        <v/>
      </c>
      <c r="V29">
        <f>HYPERLINK("https://klasma.github.io/Logging_010117/klagomål/A 31716-2025 FSC-klagomål.docx", "A 31716-2025")</f>
        <v/>
      </c>
      <c r="W29">
        <f>HYPERLINK("https://klasma.github.io/Logging_010117/klagomålsmail/A 31716-2025 FSC-klagomål mail.docx", "A 31716-2025")</f>
        <v/>
      </c>
      <c r="X29">
        <f>HYPERLINK("https://klasma.github.io/Logging_010117/tillsyn/A 31716-2025 tillsynsbegäran.docx", "A 31716-2025")</f>
        <v/>
      </c>
      <c r="Y29">
        <f>HYPERLINK("https://klasma.github.io/Logging_010117/tillsynsmail/A 31716-2025 tillsynsbegäran mail.docx", "A 31716-2025")</f>
        <v/>
      </c>
    </row>
    <row r="30" ht="15" customHeight="1">
      <c r="A30" t="inlineStr">
        <is>
          <t>A 19170-2019</t>
        </is>
      </c>
      <c r="B30" s="1" t="n">
        <v>43564</v>
      </c>
      <c r="C30" s="1" t="n">
        <v>45836</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29973-2019</t>
        </is>
      </c>
      <c r="B31" s="1" t="n">
        <v>43633</v>
      </c>
      <c r="C31" s="1" t="n">
        <v>45836</v>
      </c>
      <c r="D31" t="inlineStr">
        <is>
          <t>STOCKHOLMS LÄN</t>
        </is>
      </c>
      <c r="E31" t="inlineStr">
        <is>
          <t>ÖSTERÅKER</t>
        </is>
      </c>
      <c r="G31" t="n">
        <v>0.4</v>
      </c>
      <c r="H31" t="n">
        <v>0</v>
      </c>
      <c r="I31" t="n">
        <v>0</v>
      </c>
      <c r="J31" t="n">
        <v>0</v>
      </c>
      <c r="K31" t="n">
        <v>0</v>
      </c>
      <c r="L31" t="n">
        <v>0</v>
      </c>
      <c r="M31" t="n">
        <v>0</v>
      </c>
      <c r="N31" t="n">
        <v>0</v>
      </c>
      <c r="O31" t="n">
        <v>0</v>
      </c>
      <c r="P31" t="n">
        <v>0</v>
      </c>
      <c r="Q31" t="n">
        <v>0</v>
      </c>
      <c r="R31" s="2" t="inlineStr"/>
    </row>
    <row r="32" ht="15" customHeight="1">
      <c r="A32" t="inlineStr">
        <is>
          <t>A 47242-2019</t>
        </is>
      </c>
      <c r="B32" s="1" t="n">
        <v>43721</v>
      </c>
      <c r="C32" s="1" t="n">
        <v>45836</v>
      </c>
      <c r="D32" t="inlineStr">
        <is>
          <t>STOCKHOLMS LÄN</t>
        </is>
      </c>
      <c r="E32" t="inlineStr">
        <is>
          <t>ÖSTERÅKER</t>
        </is>
      </c>
      <c r="G32" t="n">
        <v>3.7</v>
      </c>
      <c r="H32" t="n">
        <v>0</v>
      </c>
      <c r="I32" t="n">
        <v>0</v>
      </c>
      <c r="J32" t="n">
        <v>0</v>
      </c>
      <c r="K32" t="n">
        <v>0</v>
      </c>
      <c r="L32" t="n">
        <v>0</v>
      </c>
      <c r="M32" t="n">
        <v>0</v>
      </c>
      <c r="N32" t="n">
        <v>0</v>
      </c>
      <c r="O32" t="n">
        <v>0</v>
      </c>
      <c r="P32" t="n">
        <v>0</v>
      </c>
      <c r="Q32" t="n">
        <v>0</v>
      </c>
      <c r="R32" s="2" t="inlineStr"/>
    </row>
    <row r="33" ht="15" customHeight="1">
      <c r="A33" t="inlineStr">
        <is>
          <t>A 48932-2019</t>
        </is>
      </c>
      <c r="B33" s="1" t="n">
        <v>43728</v>
      </c>
      <c r="C33" s="1" t="n">
        <v>45836</v>
      </c>
      <c r="D33" t="inlineStr">
        <is>
          <t>STOCKHOLMS LÄN</t>
        </is>
      </c>
      <c r="E33" t="inlineStr">
        <is>
          <t>ÖSTERÅKER</t>
        </is>
      </c>
      <c r="G33" t="n">
        <v>5.9</v>
      </c>
      <c r="H33" t="n">
        <v>0</v>
      </c>
      <c r="I33" t="n">
        <v>0</v>
      </c>
      <c r="J33" t="n">
        <v>0</v>
      </c>
      <c r="K33" t="n">
        <v>0</v>
      </c>
      <c r="L33" t="n">
        <v>0</v>
      </c>
      <c r="M33" t="n">
        <v>0</v>
      </c>
      <c r="N33" t="n">
        <v>0</v>
      </c>
      <c r="O33" t="n">
        <v>0</v>
      </c>
      <c r="P33" t="n">
        <v>0</v>
      </c>
      <c r="Q33" t="n">
        <v>0</v>
      </c>
      <c r="R33" s="2" t="inlineStr"/>
    </row>
    <row r="34" ht="15" customHeight="1">
      <c r="A34" t="inlineStr">
        <is>
          <t>A 48906-2019</t>
        </is>
      </c>
      <c r="B34" s="1" t="n">
        <v>43728</v>
      </c>
      <c r="C34" s="1" t="n">
        <v>45836</v>
      </c>
      <c r="D34" t="inlineStr">
        <is>
          <t>STOCKHOLMS LÄN</t>
        </is>
      </c>
      <c r="E34" t="inlineStr">
        <is>
          <t>ÖSTERÅKER</t>
        </is>
      </c>
      <c r="G34" t="n">
        <v>6</v>
      </c>
      <c r="H34" t="n">
        <v>0</v>
      </c>
      <c r="I34" t="n">
        <v>0</v>
      </c>
      <c r="J34" t="n">
        <v>0</v>
      </c>
      <c r="K34" t="n">
        <v>0</v>
      </c>
      <c r="L34" t="n">
        <v>0</v>
      </c>
      <c r="M34" t="n">
        <v>0</v>
      </c>
      <c r="N34" t="n">
        <v>0</v>
      </c>
      <c r="O34" t="n">
        <v>0</v>
      </c>
      <c r="P34" t="n">
        <v>0</v>
      </c>
      <c r="Q34" t="n">
        <v>0</v>
      </c>
      <c r="R34" s="2" t="inlineStr"/>
    </row>
    <row r="35" ht="15" customHeight="1">
      <c r="A35" t="inlineStr">
        <is>
          <t>A 52139-2019</t>
        </is>
      </c>
      <c r="B35" s="1" t="n">
        <v>43742</v>
      </c>
      <c r="C35" s="1" t="n">
        <v>45836</v>
      </c>
      <c r="D35" t="inlineStr">
        <is>
          <t>STOCKHOLMS LÄN</t>
        </is>
      </c>
      <c r="E35" t="inlineStr">
        <is>
          <t>ÖSTERÅKER</t>
        </is>
      </c>
      <c r="G35" t="n">
        <v>2.2</v>
      </c>
      <c r="H35" t="n">
        <v>0</v>
      </c>
      <c r="I35" t="n">
        <v>0</v>
      </c>
      <c r="J35" t="n">
        <v>0</v>
      </c>
      <c r="K35" t="n">
        <v>0</v>
      </c>
      <c r="L35" t="n">
        <v>0</v>
      </c>
      <c r="M35" t="n">
        <v>0</v>
      </c>
      <c r="N35" t="n">
        <v>0</v>
      </c>
      <c r="O35" t="n">
        <v>0</v>
      </c>
      <c r="P35" t="n">
        <v>0</v>
      </c>
      <c r="Q35" t="n">
        <v>0</v>
      </c>
      <c r="R35" s="2" t="inlineStr"/>
    </row>
    <row r="36" ht="15" customHeight="1">
      <c r="A36" t="inlineStr">
        <is>
          <t>A 68121-2019</t>
        </is>
      </c>
      <c r="B36" s="1" t="n">
        <v>43817</v>
      </c>
      <c r="C36" s="1" t="n">
        <v>45836</v>
      </c>
      <c r="D36" t="inlineStr">
        <is>
          <t>STOCKHOLMS LÄN</t>
        </is>
      </c>
      <c r="E36" t="inlineStr">
        <is>
          <t>ÖSTERÅKER</t>
        </is>
      </c>
      <c r="G36" t="n">
        <v>4.2</v>
      </c>
      <c r="H36" t="n">
        <v>0</v>
      </c>
      <c r="I36" t="n">
        <v>0</v>
      </c>
      <c r="J36" t="n">
        <v>0</v>
      </c>
      <c r="K36" t="n">
        <v>0</v>
      </c>
      <c r="L36" t="n">
        <v>0</v>
      </c>
      <c r="M36" t="n">
        <v>0</v>
      </c>
      <c r="N36" t="n">
        <v>0</v>
      </c>
      <c r="O36" t="n">
        <v>0</v>
      </c>
      <c r="P36" t="n">
        <v>0</v>
      </c>
      <c r="Q36" t="n">
        <v>0</v>
      </c>
      <c r="R36" s="2" t="inlineStr"/>
    </row>
    <row r="37" ht="15" customHeight="1">
      <c r="A37" t="inlineStr">
        <is>
          <t>A 68123-2019</t>
        </is>
      </c>
      <c r="B37" s="1" t="n">
        <v>43817</v>
      </c>
      <c r="C37" s="1" t="n">
        <v>45836</v>
      </c>
      <c r="D37" t="inlineStr">
        <is>
          <t>STOCKHOLMS LÄN</t>
        </is>
      </c>
      <c r="E37" t="inlineStr">
        <is>
          <t>ÖSTERÅKER</t>
        </is>
      </c>
      <c r="G37" t="n">
        <v>2</v>
      </c>
      <c r="H37" t="n">
        <v>0</v>
      </c>
      <c r="I37" t="n">
        <v>0</v>
      </c>
      <c r="J37" t="n">
        <v>0</v>
      </c>
      <c r="K37" t="n">
        <v>0</v>
      </c>
      <c r="L37" t="n">
        <v>0</v>
      </c>
      <c r="M37" t="n">
        <v>0</v>
      </c>
      <c r="N37" t="n">
        <v>0</v>
      </c>
      <c r="O37" t="n">
        <v>0</v>
      </c>
      <c r="P37" t="n">
        <v>0</v>
      </c>
      <c r="Q37" t="n">
        <v>0</v>
      </c>
      <c r="R37" s="2" t="inlineStr"/>
    </row>
    <row r="38" ht="15" customHeight="1">
      <c r="A38" t="inlineStr">
        <is>
          <t>A 68122-2019</t>
        </is>
      </c>
      <c r="B38" s="1" t="n">
        <v>43817</v>
      </c>
      <c r="C38" s="1" t="n">
        <v>45836</v>
      </c>
      <c r="D38" t="inlineStr">
        <is>
          <t>STOCKHOLMS LÄN</t>
        </is>
      </c>
      <c r="E38" t="inlineStr">
        <is>
          <t>ÖSTERÅKER</t>
        </is>
      </c>
      <c r="G38" t="n">
        <v>4.5</v>
      </c>
      <c r="H38" t="n">
        <v>0</v>
      </c>
      <c r="I38" t="n">
        <v>0</v>
      </c>
      <c r="J38" t="n">
        <v>0</v>
      </c>
      <c r="K38" t="n">
        <v>0</v>
      </c>
      <c r="L38" t="n">
        <v>0</v>
      </c>
      <c r="M38" t="n">
        <v>0</v>
      </c>
      <c r="N38" t="n">
        <v>0</v>
      </c>
      <c r="O38" t="n">
        <v>0</v>
      </c>
      <c r="P38" t="n">
        <v>0</v>
      </c>
      <c r="Q38" t="n">
        <v>0</v>
      </c>
      <c r="R38" s="2" t="inlineStr"/>
    </row>
    <row r="39" ht="15" customHeight="1">
      <c r="A39" t="inlineStr">
        <is>
          <t>A 68104-2019</t>
        </is>
      </c>
      <c r="B39" s="1" t="n">
        <v>43817</v>
      </c>
      <c r="C39" s="1" t="n">
        <v>45836</v>
      </c>
      <c r="D39" t="inlineStr">
        <is>
          <t>STOCKHOLMS LÄN</t>
        </is>
      </c>
      <c r="E39" t="inlineStr">
        <is>
          <t>ÖSTERÅKER</t>
        </is>
      </c>
      <c r="G39" t="n">
        <v>8.4</v>
      </c>
      <c r="H39" t="n">
        <v>0</v>
      </c>
      <c r="I39" t="n">
        <v>0</v>
      </c>
      <c r="J39" t="n">
        <v>0</v>
      </c>
      <c r="K39" t="n">
        <v>0</v>
      </c>
      <c r="L39" t="n">
        <v>0</v>
      </c>
      <c r="M39" t="n">
        <v>0</v>
      </c>
      <c r="N39" t="n">
        <v>0</v>
      </c>
      <c r="O39" t="n">
        <v>0</v>
      </c>
      <c r="P39" t="n">
        <v>0</v>
      </c>
      <c r="Q39" t="n">
        <v>0</v>
      </c>
      <c r="R39" s="2" t="inlineStr"/>
    </row>
    <row r="40" ht="15" customHeight="1">
      <c r="A40" t="inlineStr">
        <is>
          <t>A 5929-2020</t>
        </is>
      </c>
      <c r="B40" s="1" t="n">
        <v>43864</v>
      </c>
      <c r="C40" s="1" t="n">
        <v>45836</v>
      </c>
      <c r="D40" t="inlineStr">
        <is>
          <t>STOCKHOLMS LÄN</t>
        </is>
      </c>
      <c r="E40" t="inlineStr">
        <is>
          <t>ÖSTERÅKER</t>
        </is>
      </c>
      <c r="G40" t="n">
        <v>2.3</v>
      </c>
      <c r="H40" t="n">
        <v>0</v>
      </c>
      <c r="I40" t="n">
        <v>0</v>
      </c>
      <c r="J40" t="n">
        <v>0</v>
      </c>
      <c r="K40" t="n">
        <v>0</v>
      </c>
      <c r="L40" t="n">
        <v>0</v>
      </c>
      <c r="M40" t="n">
        <v>0</v>
      </c>
      <c r="N40" t="n">
        <v>0</v>
      </c>
      <c r="O40" t="n">
        <v>0</v>
      </c>
      <c r="P40" t="n">
        <v>0</v>
      </c>
      <c r="Q40" t="n">
        <v>0</v>
      </c>
      <c r="R40" s="2" t="inlineStr"/>
    </row>
    <row r="41" ht="15" customHeight="1">
      <c r="A41" t="inlineStr">
        <is>
          <t>A 10764-2020</t>
        </is>
      </c>
      <c r="B41" s="1" t="n">
        <v>43888</v>
      </c>
      <c r="C41" s="1" t="n">
        <v>45836</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21374-2020</t>
        </is>
      </c>
      <c r="B42" s="1" t="n">
        <v>43955</v>
      </c>
      <c r="C42" s="1" t="n">
        <v>45836</v>
      </c>
      <c r="D42" t="inlineStr">
        <is>
          <t>STOCKHOLMS LÄN</t>
        </is>
      </c>
      <c r="E42" t="inlineStr">
        <is>
          <t>ÖSTERÅKER</t>
        </is>
      </c>
      <c r="G42" t="n">
        <v>3</v>
      </c>
      <c r="H42" t="n">
        <v>0</v>
      </c>
      <c r="I42" t="n">
        <v>0</v>
      </c>
      <c r="J42" t="n">
        <v>0</v>
      </c>
      <c r="K42" t="n">
        <v>0</v>
      </c>
      <c r="L42" t="n">
        <v>0</v>
      </c>
      <c r="M42" t="n">
        <v>0</v>
      </c>
      <c r="N42" t="n">
        <v>0</v>
      </c>
      <c r="O42" t="n">
        <v>0</v>
      </c>
      <c r="P42" t="n">
        <v>0</v>
      </c>
      <c r="Q42" t="n">
        <v>0</v>
      </c>
      <c r="R42" s="2" t="inlineStr"/>
    </row>
    <row r="43" ht="15" customHeight="1">
      <c r="A43" t="inlineStr">
        <is>
          <t>A 6080-2021</t>
        </is>
      </c>
      <c r="B43" s="1" t="n">
        <v>44232</v>
      </c>
      <c r="C43" s="1" t="n">
        <v>45836</v>
      </c>
      <c r="D43" t="inlineStr">
        <is>
          <t>STOCKHOLMS LÄN</t>
        </is>
      </c>
      <c r="E43" t="inlineStr">
        <is>
          <t>ÖSTERÅKER</t>
        </is>
      </c>
      <c r="G43" t="n">
        <v>5.1</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45836</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13921-2021</t>
        </is>
      </c>
      <c r="B45" s="1" t="n">
        <v>44277</v>
      </c>
      <c r="C45" s="1" t="n">
        <v>45836</v>
      </c>
      <c r="D45" t="inlineStr">
        <is>
          <t>STOCKHOLMS LÄN</t>
        </is>
      </c>
      <c r="E45" t="inlineStr">
        <is>
          <t>ÖSTERÅKER</t>
        </is>
      </c>
      <c r="G45" t="n">
        <v>0.9</v>
      </c>
      <c r="H45" t="n">
        <v>0</v>
      </c>
      <c r="I45" t="n">
        <v>0</v>
      </c>
      <c r="J45" t="n">
        <v>0</v>
      </c>
      <c r="K45" t="n">
        <v>0</v>
      </c>
      <c r="L45" t="n">
        <v>0</v>
      </c>
      <c r="M45" t="n">
        <v>0</v>
      </c>
      <c r="N45" t="n">
        <v>0</v>
      </c>
      <c r="O45" t="n">
        <v>0</v>
      </c>
      <c r="P45" t="n">
        <v>0</v>
      </c>
      <c r="Q45" t="n">
        <v>0</v>
      </c>
      <c r="R45" s="2" t="inlineStr"/>
    </row>
    <row r="46" ht="15" customHeight="1">
      <c r="A46" t="inlineStr">
        <is>
          <t>A 18172-2021</t>
        </is>
      </c>
      <c r="B46" s="1" t="n">
        <v>44302</v>
      </c>
      <c r="C46" s="1" t="n">
        <v>45836</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31075-2021</t>
        </is>
      </c>
      <c r="B47" s="1" t="n">
        <v>44368</v>
      </c>
      <c r="C47" s="1" t="n">
        <v>45836</v>
      </c>
      <c r="D47" t="inlineStr">
        <is>
          <t>STOCKHOLMS LÄN</t>
        </is>
      </c>
      <c r="E47" t="inlineStr">
        <is>
          <t>ÖSTERÅKER</t>
        </is>
      </c>
      <c r="F47" t="inlineStr">
        <is>
          <t>Övriga Aktiebolag</t>
        </is>
      </c>
      <c r="G47" t="n">
        <v>2.9</v>
      </c>
      <c r="H47" t="n">
        <v>0</v>
      </c>
      <c r="I47" t="n">
        <v>0</v>
      </c>
      <c r="J47" t="n">
        <v>0</v>
      </c>
      <c r="K47" t="n">
        <v>0</v>
      </c>
      <c r="L47" t="n">
        <v>0</v>
      </c>
      <c r="M47" t="n">
        <v>0</v>
      </c>
      <c r="N47" t="n">
        <v>0</v>
      </c>
      <c r="O47" t="n">
        <v>0</v>
      </c>
      <c r="P47" t="n">
        <v>0</v>
      </c>
      <c r="Q47" t="n">
        <v>0</v>
      </c>
      <c r="R47" s="2" t="inlineStr"/>
    </row>
    <row r="48" ht="15" customHeight="1">
      <c r="A48" t="inlineStr">
        <is>
          <t>A 67244-2021</t>
        </is>
      </c>
      <c r="B48" s="1" t="n">
        <v>44523</v>
      </c>
      <c r="C48" s="1" t="n">
        <v>45836</v>
      </c>
      <c r="D48" t="inlineStr">
        <is>
          <t>STOCKHOLMS LÄN</t>
        </is>
      </c>
      <c r="E48" t="inlineStr">
        <is>
          <t>ÖSTERÅKER</t>
        </is>
      </c>
      <c r="F48" t="inlineStr">
        <is>
          <t>Kommuner</t>
        </is>
      </c>
      <c r="G48" t="n">
        <v>5.3</v>
      </c>
      <c r="H48" t="n">
        <v>0</v>
      </c>
      <c r="I48" t="n">
        <v>0</v>
      </c>
      <c r="J48" t="n">
        <v>0</v>
      </c>
      <c r="K48" t="n">
        <v>0</v>
      </c>
      <c r="L48" t="n">
        <v>0</v>
      </c>
      <c r="M48" t="n">
        <v>0</v>
      </c>
      <c r="N48" t="n">
        <v>0</v>
      </c>
      <c r="O48" t="n">
        <v>0</v>
      </c>
      <c r="P48" t="n">
        <v>0</v>
      </c>
      <c r="Q48" t="n">
        <v>0</v>
      </c>
      <c r="R48" s="2" t="inlineStr"/>
    </row>
    <row r="49" ht="15" customHeight="1">
      <c r="A49" t="inlineStr">
        <is>
          <t>A 67265-2021</t>
        </is>
      </c>
      <c r="B49" s="1" t="n">
        <v>44523</v>
      </c>
      <c r="C49" s="1" t="n">
        <v>45836</v>
      </c>
      <c r="D49" t="inlineStr">
        <is>
          <t>STOCKHOLMS LÄN</t>
        </is>
      </c>
      <c r="E49" t="inlineStr">
        <is>
          <t>ÖSTERÅKER</t>
        </is>
      </c>
      <c r="F49" t="inlineStr">
        <is>
          <t>Kommuner</t>
        </is>
      </c>
      <c r="G49" t="n">
        <v>2.6</v>
      </c>
      <c r="H49" t="n">
        <v>0</v>
      </c>
      <c r="I49" t="n">
        <v>0</v>
      </c>
      <c r="J49" t="n">
        <v>0</v>
      </c>
      <c r="K49" t="n">
        <v>0</v>
      </c>
      <c r="L49" t="n">
        <v>0</v>
      </c>
      <c r="M49" t="n">
        <v>0</v>
      </c>
      <c r="N49" t="n">
        <v>0</v>
      </c>
      <c r="O49" t="n">
        <v>0</v>
      </c>
      <c r="P49" t="n">
        <v>0</v>
      </c>
      <c r="Q49" t="n">
        <v>0</v>
      </c>
      <c r="R49" s="2" t="inlineStr"/>
    </row>
    <row r="50" ht="15" customHeight="1">
      <c r="A50" t="inlineStr">
        <is>
          <t>A 72508-2021</t>
        </is>
      </c>
      <c r="B50" s="1" t="n">
        <v>44544</v>
      </c>
      <c r="C50" s="1" t="n">
        <v>45836</v>
      </c>
      <c r="D50" t="inlineStr">
        <is>
          <t>STOCKHOLMS LÄN</t>
        </is>
      </c>
      <c r="E50" t="inlineStr">
        <is>
          <t>ÖSTERÅKER</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72515-2021</t>
        </is>
      </c>
      <c r="B51" s="1" t="n">
        <v>44546</v>
      </c>
      <c r="C51" s="1" t="n">
        <v>45836</v>
      </c>
      <c r="D51" t="inlineStr">
        <is>
          <t>STOCKHOLMS LÄN</t>
        </is>
      </c>
      <c r="E51" t="inlineStr">
        <is>
          <t>ÖSTERÅKER</t>
        </is>
      </c>
      <c r="F51" t="inlineStr">
        <is>
          <t>Övriga Aktiebolag</t>
        </is>
      </c>
      <c r="G51" t="n">
        <v>3.8</v>
      </c>
      <c r="H51" t="n">
        <v>0</v>
      </c>
      <c r="I51" t="n">
        <v>0</v>
      </c>
      <c r="J51" t="n">
        <v>0</v>
      </c>
      <c r="K51" t="n">
        <v>0</v>
      </c>
      <c r="L51" t="n">
        <v>0</v>
      </c>
      <c r="M51" t="n">
        <v>0</v>
      </c>
      <c r="N51" t="n">
        <v>0</v>
      </c>
      <c r="O51" t="n">
        <v>0</v>
      </c>
      <c r="P51" t="n">
        <v>0</v>
      </c>
      <c r="Q51" t="n">
        <v>0</v>
      </c>
      <c r="R51" s="2" t="inlineStr"/>
    </row>
    <row r="52" ht="15" customHeight="1">
      <c r="A52" t="inlineStr">
        <is>
          <t>A 456-2022</t>
        </is>
      </c>
      <c r="B52" s="1" t="n">
        <v>44565</v>
      </c>
      <c r="C52" s="1" t="n">
        <v>45836</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470-2022</t>
        </is>
      </c>
      <c r="B53" s="1" t="n">
        <v>44565</v>
      </c>
      <c r="C53" s="1" t="n">
        <v>45836</v>
      </c>
      <c r="D53" t="inlineStr">
        <is>
          <t>STOCKHOLMS LÄN</t>
        </is>
      </c>
      <c r="E53" t="inlineStr">
        <is>
          <t>ÖSTERÅKER</t>
        </is>
      </c>
      <c r="F53" t="inlineStr">
        <is>
          <t>Övriga Aktiebolag</t>
        </is>
      </c>
      <c r="G53" t="n">
        <v>4.6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45836</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838-2022</t>
        </is>
      </c>
      <c r="B55" s="1" t="n">
        <v>44569</v>
      </c>
      <c r="C55" s="1" t="n">
        <v>45836</v>
      </c>
      <c r="D55" t="inlineStr">
        <is>
          <t>STOCKHOLMS LÄN</t>
        </is>
      </c>
      <c r="E55" t="inlineStr">
        <is>
          <t>ÖSTERÅKER</t>
        </is>
      </c>
      <c r="F55" t="inlineStr">
        <is>
          <t>Övriga Aktiebolag</t>
        </is>
      </c>
      <c r="G55" t="n">
        <v>4.9</v>
      </c>
      <c r="H55" t="n">
        <v>0</v>
      </c>
      <c r="I55" t="n">
        <v>0</v>
      </c>
      <c r="J55" t="n">
        <v>0</v>
      </c>
      <c r="K55" t="n">
        <v>0</v>
      </c>
      <c r="L55" t="n">
        <v>0</v>
      </c>
      <c r="M55" t="n">
        <v>0</v>
      </c>
      <c r="N55" t="n">
        <v>0</v>
      </c>
      <c r="O55" t="n">
        <v>0</v>
      </c>
      <c r="P55" t="n">
        <v>0</v>
      </c>
      <c r="Q55" t="n">
        <v>0</v>
      </c>
      <c r="R55" s="2" t="inlineStr"/>
    </row>
    <row r="56" ht="15" customHeight="1">
      <c r="A56" t="inlineStr">
        <is>
          <t>A 865-2022</t>
        </is>
      </c>
      <c r="B56" s="1" t="n">
        <v>44569</v>
      </c>
      <c r="C56" s="1" t="n">
        <v>45836</v>
      </c>
      <c r="D56" t="inlineStr">
        <is>
          <t>STOCKHOLMS LÄN</t>
        </is>
      </c>
      <c r="E56" t="inlineStr">
        <is>
          <t>ÖSTERÅKER</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848-2022</t>
        </is>
      </c>
      <c r="B57" s="1" t="n">
        <v>44569</v>
      </c>
      <c r="C57" s="1" t="n">
        <v>45836</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844-2022</t>
        </is>
      </c>
      <c r="B58" s="1" t="n">
        <v>44569</v>
      </c>
      <c r="C58" s="1" t="n">
        <v>45836</v>
      </c>
      <c r="D58" t="inlineStr">
        <is>
          <t>STOCKHOLMS LÄN</t>
        </is>
      </c>
      <c r="E58" t="inlineStr">
        <is>
          <t>ÖSTERÅKER</t>
        </is>
      </c>
      <c r="F58" t="inlineStr">
        <is>
          <t>Övriga Aktiebolag</t>
        </is>
      </c>
      <c r="G58" t="n">
        <v>2.3</v>
      </c>
      <c r="H58" t="n">
        <v>0</v>
      </c>
      <c r="I58" t="n">
        <v>0</v>
      </c>
      <c r="J58" t="n">
        <v>0</v>
      </c>
      <c r="K58" t="n">
        <v>0</v>
      </c>
      <c r="L58" t="n">
        <v>0</v>
      </c>
      <c r="M58" t="n">
        <v>0</v>
      </c>
      <c r="N58" t="n">
        <v>0</v>
      </c>
      <c r="O58" t="n">
        <v>0</v>
      </c>
      <c r="P58" t="n">
        <v>0</v>
      </c>
      <c r="Q58" t="n">
        <v>0</v>
      </c>
      <c r="R58" s="2" t="inlineStr"/>
    </row>
    <row r="59" ht="15" customHeight="1">
      <c r="A59" t="inlineStr">
        <is>
          <t>A 1353-2022</t>
        </is>
      </c>
      <c r="B59" s="1" t="n">
        <v>44572</v>
      </c>
      <c r="C59" s="1" t="n">
        <v>45836</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1910-2022</t>
        </is>
      </c>
      <c r="B60" s="1" t="n">
        <v>44575</v>
      </c>
      <c r="C60" s="1" t="n">
        <v>45836</v>
      </c>
      <c r="D60" t="inlineStr">
        <is>
          <t>STOCKHOLMS LÄN</t>
        </is>
      </c>
      <c r="E60" t="inlineStr">
        <is>
          <t>ÖSTERÅKER</t>
        </is>
      </c>
      <c r="F60" t="inlineStr">
        <is>
          <t>Övriga Aktiebolag</t>
        </is>
      </c>
      <c r="G60" t="n">
        <v>2.6</v>
      </c>
      <c r="H60" t="n">
        <v>0</v>
      </c>
      <c r="I60" t="n">
        <v>0</v>
      </c>
      <c r="J60" t="n">
        <v>0</v>
      </c>
      <c r="K60" t="n">
        <v>0</v>
      </c>
      <c r="L60" t="n">
        <v>0</v>
      </c>
      <c r="M60" t="n">
        <v>0</v>
      </c>
      <c r="N60" t="n">
        <v>0</v>
      </c>
      <c r="O60" t="n">
        <v>0</v>
      </c>
      <c r="P60" t="n">
        <v>0</v>
      </c>
      <c r="Q60" t="n">
        <v>0</v>
      </c>
      <c r="R60" s="2" t="inlineStr"/>
    </row>
    <row r="61" ht="15" customHeight="1">
      <c r="A61" t="inlineStr">
        <is>
          <t>A 2148-2022</t>
        </is>
      </c>
      <c r="B61" s="1" t="n">
        <v>44575</v>
      </c>
      <c r="C61" s="1" t="n">
        <v>45836</v>
      </c>
      <c r="D61" t="inlineStr">
        <is>
          <t>STOCKHOLMS LÄN</t>
        </is>
      </c>
      <c r="E61" t="inlineStr">
        <is>
          <t>ÖSTERÅKER</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2570-2022</t>
        </is>
      </c>
      <c r="B62" s="1" t="n">
        <v>44580</v>
      </c>
      <c r="C62" s="1" t="n">
        <v>45836</v>
      </c>
      <c r="D62" t="inlineStr">
        <is>
          <t>STOCKHOLMS LÄN</t>
        </is>
      </c>
      <c r="E62" t="inlineStr">
        <is>
          <t>ÖSTERÅKER</t>
        </is>
      </c>
      <c r="F62" t="inlineStr">
        <is>
          <t>Övriga Aktiebolag</t>
        </is>
      </c>
      <c r="G62" t="n">
        <v>1.7</v>
      </c>
      <c r="H62" t="n">
        <v>0</v>
      </c>
      <c r="I62" t="n">
        <v>0</v>
      </c>
      <c r="J62" t="n">
        <v>0</v>
      </c>
      <c r="K62" t="n">
        <v>0</v>
      </c>
      <c r="L62" t="n">
        <v>0</v>
      </c>
      <c r="M62" t="n">
        <v>0</v>
      </c>
      <c r="N62" t="n">
        <v>0</v>
      </c>
      <c r="O62" t="n">
        <v>0</v>
      </c>
      <c r="P62" t="n">
        <v>0</v>
      </c>
      <c r="Q62" t="n">
        <v>0</v>
      </c>
      <c r="R62" s="2" t="inlineStr"/>
    </row>
    <row r="63" ht="15" customHeight="1">
      <c r="A63" t="inlineStr">
        <is>
          <t>A 3154-2022</t>
        </is>
      </c>
      <c r="B63" s="1" t="n">
        <v>44582</v>
      </c>
      <c r="C63" s="1" t="n">
        <v>45836</v>
      </c>
      <c r="D63" t="inlineStr">
        <is>
          <t>STOCKHOLMS LÄN</t>
        </is>
      </c>
      <c r="E63" t="inlineStr">
        <is>
          <t>ÖSTERÅKER</t>
        </is>
      </c>
      <c r="F63" t="inlineStr">
        <is>
          <t>Övriga Aktiebolag</t>
        </is>
      </c>
      <c r="G63" t="n">
        <v>11.1</v>
      </c>
      <c r="H63" t="n">
        <v>0</v>
      </c>
      <c r="I63" t="n">
        <v>0</v>
      </c>
      <c r="J63" t="n">
        <v>0</v>
      </c>
      <c r="K63" t="n">
        <v>0</v>
      </c>
      <c r="L63" t="n">
        <v>0</v>
      </c>
      <c r="M63" t="n">
        <v>0</v>
      </c>
      <c r="N63" t="n">
        <v>0</v>
      </c>
      <c r="O63" t="n">
        <v>0</v>
      </c>
      <c r="P63" t="n">
        <v>0</v>
      </c>
      <c r="Q63" t="n">
        <v>0</v>
      </c>
      <c r="R63" s="2" t="inlineStr"/>
    </row>
    <row r="64" ht="15" customHeight="1">
      <c r="A64" t="inlineStr">
        <is>
          <t>A 3326-2022</t>
        </is>
      </c>
      <c r="B64" s="1" t="n">
        <v>44583</v>
      </c>
      <c r="C64" s="1" t="n">
        <v>45836</v>
      </c>
      <c r="D64" t="inlineStr">
        <is>
          <t>STOCKHOLMS LÄN</t>
        </is>
      </c>
      <c r="E64" t="inlineStr">
        <is>
          <t>ÖSTERÅKER</t>
        </is>
      </c>
      <c r="F64" t="inlineStr">
        <is>
          <t>Övriga Aktiebolag</t>
        </is>
      </c>
      <c r="G64" t="n">
        <v>2.7</v>
      </c>
      <c r="H64" t="n">
        <v>0</v>
      </c>
      <c r="I64" t="n">
        <v>0</v>
      </c>
      <c r="J64" t="n">
        <v>0</v>
      </c>
      <c r="K64" t="n">
        <v>0</v>
      </c>
      <c r="L64" t="n">
        <v>0</v>
      </c>
      <c r="M64" t="n">
        <v>0</v>
      </c>
      <c r="N64" t="n">
        <v>0</v>
      </c>
      <c r="O64" t="n">
        <v>0</v>
      </c>
      <c r="P64" t="n">
        <v>0</v>
      </c>
      <c r="Q64" t="n">
        <v>0</v>
      </c>
      <c r="R64" s="2" t="inlineStr"/>
    </row>
    <row r="65" ht="15" customHeight="1">
      <c r="A65" t="inlineStr">
        <is>
          <t>A 7834-2022</t>
        </is>
      </c>
      <c r="B65" s="1" t="n">
        <v>44608</v>
      </c>
      <c r="C65" s="1" t="n">
        <v>45836</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10082-2022</t>
        </is>
      </c>
      <c r="B66" s="1" t="n">
        <v>44621</v>
      </c>
      <c r="C66" s="1" t="n">
        <v>45836</v>
      </c>
      <c r="D66" t="inlineStr">
        <is>
          <t>STOCKHOLMS LÄN</t>
        </is>
      </c>
      <c r="E66" t="inlineStr">
        <is>
          <t>ÖSTERÅKER</t>
        </is>
      </c>
      <c r="G66" t="n">
        <v>6</v>
      </c>
      <c r="H66" t="n">
        <v>0</v>
      </c>
      <c r="I66" t="n">
        <v>0</v>
      </c>
      <c r="J66" t="n">
        <v>0</v>
      </c>
      <c r="K66" t="n">
        <v>0</v>
      </c>
      <c r="L66" t="n">
        <v>0</v>
      </c>
      <c r="M66" t="n">
        <v>0</v>
      </c>
      <c r="N66" t="n">
        <v>0</v>
      </c>
      <c r="O66" t="n">
        <v>0</v>
      </c>
      <c r="P66" t="n">
        <v>0</v>
      </c>
      <c r="Q66" t="n">
        <v>0</v>
      </c>
      <c r="R66" s="2" t="inlineStr"/>
    </row>
    <row r="67" ht="15" customHeight="1">
      <c r="A67" t="inlineStr">
        <is>
          <t>A 15131-2022</t>
        </is>
      </c>
      <c r="B67" s="1" t="n">
        <v>44658</v>
      </c>
      <c r="C67" s="1" t="n">
        <v>45836</v>
      </c>
      <c r="D67" t="inlineStr">
        <is>
          <t>STOCKHOLMS LÄN</t>
        </is>
      </c>
      <c r="E67" t="inlineStr">
        <is>
          <t>ÖSTERÅKER</t>
        </is>
      </c>
      <c r="G67" t="n">
        <v>4.6</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45836</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16789-2022</t>
        </is>
      </c>
      <c r="B69" s="1" t="n">
        <v>44673</v>
      </c>
      <c r="C69" s="1" t="n">
        <v>45836</v>
      </c>
      <c r="D69" t="inlineStr">
        <is>
          <t>STOCKHOLMS LÄN</t>
        </is>
      </c>
      <c r="E69" t="inlineStr">
        <is>
          <t>ÖSTERÅKER</t>
        </is>
      </c>
      <c r="G69" t="n">
        <v>4.3</v>
      </c>
      <c r="H69" t="n">
        <v>0</v>
      </c>
      <c r="I69" t="n">
        <v>0</v>
      </c>
      <c r="J69" t="n">
        <v>0</v>
      </c>
      <c r="K69" t="n">
        <v>0</v>
      </c>
      <c r="L69" t="n">
        <v>0</v>
      </c>
      <c r="M69" t="n">
        <v>0</v>
      </c>
      <c r="N69" t="n">
        <v>0</v>
      </c>
      <c r="O69" t="n">
        <v>0</v>
      </c>
      <c r="P69" t="n">
        <v>0</v>
      </c>
      <c r="Q69" t="n">
        <v>0</v>
      </c>
      <c r="R69" s="2" t="inlineStr"/>
    </row>
    <row r="70" ht="15" customHeight="1">
      <c r="A70" t="inlineStr">
        <is>
          <t>A 16824-2022</t>
        </is>
      </c>
      <c r="B70" s="1" t="n">
        <v>44673</v>
      </c>
      <c r="C70" s="1" t="n">
        <v>45836</v>
      </c>
      <c r="D70" t="inlineStr">
        <is>
          <t>STOCKHOLMS LÄN</t>
        </is>
      </c>
      <c r="E70" t="inlineStr">
        <is>
          <t>ÖSTERÅKER</t>
        </is>
      </c>
      <c r="G70" t="n">
        <v>10.8</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45836</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16738-2022</t>
        </is>
      </c>
      <c r="B72" s="1" t="n">
        <v>44673</v>
      </c>
      <c r="C72" s="1" t="n">
        <v>45836</v>
      </c>
      <c r="D72" t="inlineStr">
        <is>
          <t>STOCKHOLMS LÄN</t>
        </is>
      </c>
      <c r="E72" t="inlineStr">
        <is>
          <t>ÖSTERÅKER</t>
        </is>
      </c>
      <c r="G72" t="n">
        <v>1.1</v>
      </c>
      <c r="H72" t="n">
        <v>0</v>
      </c>
      <c r="I72" t="n">
        <v>0</v>
      </c>
      <c r="J72" t="n">
        <v>0</v>
      </c>
      <c r="K72" t="n">
        <v>0</v>
      </c>
      <c r="L72" t="n">
        <v>0</v>
      </c>
      <c r="M72" t="n">
        <v>0</v>
      </c>
      <c r="N72" t="n">
        <v>0</v>
      </c>
      <c r="O72" t="n">
        <v>0</v>
      </c>
      <c r="P72" t="n">
        <v>0</v>
      </c>
      <c r="Q72" t="n">
        <v>0</v>
      </c>
      <c r="R72" s="2" t="inlineStr"/>
    </row>
    <row r="73" ht="15" customHeight="1">
      <c r="A73" t="inlineStr">
        <is>
          <t>A 17173-2022</t>
        </is>
      </c>
      <c r="B73" s="1" t="n">
        <v>44677</v>
      </c>
      <c r="C73" s="1" t="n">
        <v>45836</v>
      </c>
      <c r="D73" t="inlineStr">
        <is>
          <t>STOCKHOLMS LÄN</t>
        </is>
      </c>
      <c r="E73" t="inlineStr">
        <is>
          <t>ÖSTERÅKER</t>
        </is>
      </c>
      <c r="G73" t="n">
        <v>2.8</v>
      </c>
      <c r="H73" t="n">
        <v>0</v>
      </c>
      <c r="I73" t="n">
        <v>0</v>
      </c>
      <c r="J73" t="n">
        <v>0</v>
      </c>
      <c r="K73" t="n">
        <v>0</v>
      </c>
      <c r="L73" t="n">
        <v>0</v>
      </c>
      <c r="M73" t="n">
        <v>0</v>
      </c>
      <c r="N73" t="n">
        <v>0</v>
      </c>
      <c r="O73" t="n">
        <v>0</v>
      </c>
      <c r="P73" t="n">
        <v>0</v>
      </c>
      <c r="Q73" t="n">
        <v>0</v>
      </c>
      <c r="R73" s="2" t="inlineStr"/>
    </row>
    <row r="74" ht="15" customHeight="1">
      <c r="A74" t="inlineStr">
        <is>
          <t>A 17196-2022</t>
        </is>
      </c>
      <c r="B74" s="1" t="n">
        <v>44677</v>
      </c>
      <c r="C74" s="1" t="n">
        <v>45836</v>
      </c>
      <c r="D74" t="inlineStr">
        <is>
          <t>STOCKHOLMS LÄN</t>
        </is>
      </c>
      <c r="E74" t="inlineStr">
        <is>
          <t>ÖSTERÅKER</t>
        </is>
      </c>
      <c r="G74" t="n">
        <v>5.9</v>
      </c>
      <c r="H74" t="n">
        <v>0</v>
      </c>
      <c r="I74" t="n">
        <v>0</v>
      </c>
      <c r="J74" t="n">
        <v>0</v>
      </c>
      <c r="K74" t="n">
        <v>0</v>
      </c>
      <c r="L74" t="n">
        <v>0</v>
      </c>
      <c r="M74" t="n">
        <v>0</v>
      </c>
      <c r="N74" t="n">
        <v>0</v>
      </c>
      <c r="O74" t="n">
        <v>0</v>
      </c>
      <c r="P74" t="n">
        <v>0</v>
      </c>
      <c r="Q74" t="n">
        <v>0</v>
      </c>
      <c r="R74" s="2" t="inlineStr"/>
    </row>
    <row r="75" ht="15" customHeight="1">
      <c r="A75" t="inlineStr">
        <is>
          <t>A 17184-2022</t>
        </is>
      </c>
      <c r="B75" s="1" t="n">
        <v>44677</v>
      </c>
      <c r="C75" s="1" t="n">
        <v>45836</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17263-2022</t>
        </is>
      </c>
      <c r="B76" s="1" t="n">
        <v>44678</v>
      </c>
      <c r="C76" s="1" t="n">
        <v>45836</v>
      </c>
      <c r="D76" t="inlineStr">
        <is>
          <t>STOCKHOLMS LÄN</t>
        </is>
      </c>
      <c r="E76" t="inlineStr">
        <is>
          <t>ÖSTERÅKER</t>
        </is>
      </c>
      <c r="G76" t="n">
        <v>2.4</v>
      </c>
      <c r="H76" t="n">
        <v>0</v>
      </c>
      <c r="I76" t="n">
        <v>0</v>
      </c>
      <c r="J76" t="n">
        <v>0</v>
      </c>
      <c r="K76" t="n">
        <v>0</v>
      </c>
      <c r="L76" t="n">
        <v>0</v>
      </c>
      <c r="M76" t="n">
        <v>0</v>
      </c>
      <c r="N76" t="n">
        <v>0</v>
      </c>
      <c r="O76" t="n">
        <v>0</v>
      </c>
      <c r="P76" t="n">
        <v>0</v>
      </c>
      <c r="Q76" t="n">
        <v>0</v>
      </c>
      <c r="R76" s="2" t="inlineStr"/>
    </row>
    <row r="77" ht="15" customHeight="1">
      <c r="A77" t="inlineStr">
        <is>
          <t>A 18091-2022</t>
        </is>
      </c>
      <c r="B77" s="1" t="n">
        <v>44684</v>
      </c>
      <c r="C77" s="1" t="n">
        <v>45836</v>
      </c>
      <c r="D77" t="inlineStr">
        <is>
          <t>STOCKHOLMS LÄN</t>
        </is>
      </c>
      <c r="E77" t="inlineStr">
        <is>
          <t>ÖSTERÅKER</t>
        </is>
      </c>
      <c r="G77" t="n">
        <v>6.1</v>
      </c>
      <c r="H77" t="n">
        <v>0</v>
      </c>
      <c r="I77" t="n">
        <v>0</v>
      </c>
      <c r="J77" t="n">
        <v>0</v>
      </c>
      <c r="K77" t="n">
        <v>0</v>
      </c>
      <c r="L77" t="n">
        <v>0</v>
      </c>
      <c r="M77" t="n">
        <v>0</v>
      </c>
      <c r="N77" t="n">
        <v>0</v>
      </c>
      <c r="O77" t="n">
        <v>0</v>
      </c>
      <c r="P77" t="n">
        <v>0</v>
      </c>
      <c r="Q77" t="n">
        <v>0</v>
      </c>
      <c r="R77" s="2" t="inlineStr"/>
    </row>
    <row r="78" ht="15" customHeight="1">
      <c r="A78" t="inlineStr">
        <is>
          <t>A 19944-2022</t>
        </is>
      </c>
      <c r="B78" s="1" t="n">
        <v>44697</v>
      </c>
      <c r="C78" s="1" t="n">
        <v>45836</v>
      </c>
      <c r="D78" t="inlineStr">
        <is>
          <t>STOCKHOLMS LÄN</t>
        </is>
      </c>
      <c r="E78" t="inlineStr">
        <is>
          <t>ÖSTERÅKER</t>
        </is>
      </c>
      <c r="G78" t="n">
        <v>3.5</v>
      </c>
      <c r="H78" t="n">
        <v>0</v>
      </c>
      <c r="I78" t="n">
        <v>0</v>
      </c>
      <c r="J78" t="n">
        <v>0</v>
      </c>
      <c r="K78" t="n">
        <v>0</v>
      </c>
      <c r="L78" t="n">
        <v>0</v>
      </c>
      <c r="M78" t="n">
        <v>0</v>
      </c>
      <c r="N78" t="n">
        <v>0</v>
      </c>
      <c r="O78" t="n">
        <v>0</v>
      </c>
      <c r="P78" t="n">
        <v>0</v>
      </c>
      <c r="Q78" t="n">
        <v>0</v>
      </c>
      <c r="R78" s="2" t="inlineStr"/>
    </row>
    <row r="79" ht="15" customHeight="1">
      <c r="A79" t="inlineStr">
        <is>
          <t>A 19934-2022</t>
        </is>
      </c>
      <c r="B79" s="1" t="n">
        <v>44697</v>
      </c>
      <c r="C79" s="1" t="n">
        <v>45836</v>
      </c>
      <c r="D79" t="inlineStr">
        <is>
          <t>STOCKHOLMS LÄN</t>
        </is>
      </c>
      <c r="E79" t="inlineStr">
        <is>
          <t>ÖSTERÅKER</t>
        </is>
      </c>
      <c r="G79" t="n">
        <v>0.3</v>
      </c>
      <c r="H79" t="n">
        <v>0</v>
      </c>
      <c r="I79" t="n">
        <v>0</v>
      </c>
      <c r="J79" t="n">
        <v>0</v>
      </c>
      <c r="K79" t="n">
        <v>0</v>
      </c>
      <c r="L79" t="n">
        <v>0</v>
      </c>
      <c r="M79" t="n">
        <v>0</v>
      </c>
      <c r="N79" t="n">
        <v>0</v>
      </c>
      <c r="O79" t="n">
        <v>0</v>
      </c>
      <c r="P79" t="n">
        <v>0</v>
      </c>
      <c r="Q79" t="n">
        <v>0</v>
      </c>
      <c r="R79" s="2" t="inlineStr"/>
    </row>
    <row r="80" ht="15" customHeight="1">
      <c r="A80" t="inlineStr">
        <is>
          <t>A 28399-2022</t>
        </is>
      </c>
      <c r="B80" s="1" t="n">
        <v>44747</v>
      </c>
      <c r="C80" s="1" t="n">
        <v>45836</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28405-2022</t>
        </is>
      </c>
      <c r="B81" s="1" t="n">
        <v>44747</v>
      </c>
      <c r="C81" s="1" t="n">
        <v>45836</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28964-2022</t>
        </is>
      </c>
      <c r="B82" s="1" t="n">
        <v>44749</v>
      </c>
      <c r="C82" s="1" t="n">
        <v>45836</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31575-2022</t>
        </is>
      </c>
      <c r="B83" s="1" t="n">
        <v>44775</v>
      </c>
      <c r="C83" s="1" t="n">
        <v>45836</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45836</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45836</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61310-2022</t>
        </is>
      </c>
      <c r="B86" s="1" t="n">
        <v>44915</v>
      </c>
      <c r="C86" s="1" t="n">
        <v>45836</v>
      </c>
      <c r="D86" t="inlineStr">
        <is>
          <t>STOCKHOLMS LÄN</t>
        </is>
      </c>
      <c r="E86" t="inlineStr">
        <is>
          <t>ÖSTERÅKER</t>
        </is>
      </c>
      <c r="G86" t="n">
        <v>10.5</v>
      </c>
      <c r="H86" t="n">
        <v>0</v>
      </c>
      <c r="I86" t="n">
        <v>0</v>
      </c>
      <c r="J86" t="n">
        <v>0</v>
      </c>
      <c r="K86" t="n">
        <v>0</v>
      </c>
      <c r="L86" t="n">
        <v>0</v>
      </c>
      <c r="M86" t="n">
        <v>0</v>
      </c>
      <c r="N86" t="n">
        <v>0</v>
      </c>
      <c r="O86" t="n">
        <v>0</v>
      </c>
      <c r="P86" t="n">
        <v>0</v>
      </c>
      <c r="Q86" t="n">
        <v>0</v>
      </c>
      <c r="R86" s="2" t="inlineStr"/>
    </row>
    <row r="87" ht="15" customHeight="1">
      <c r="A87" t="inlineStr">
        <is>
          <t>A 61360-2022</t>
        </is>
      </c>
      <c r="B87" s="1" t="n">
        <v>44915</v>
      </c>
      <c r="C87" s="1" t="n">
        <v>45836</v>
      </c>
      <c r="D87" t="inlineStr">
        <is>
          <t>STOCKHOLMS LÄN</t>
        </is>
      </c>
      <c r="E87" t="inlineStr">
        <is>
          <t>ÖSTERÅKER</t>
        </is>
      </c>
      <c r="G87" t="n">
        <v>2.3</v>
      </c>
      <c r="H87" t="n">
        <v>0</v>
      </c>
      <c r="I87" t="n">
        <v>0</v>
      </c>
      <c r="J87" t="n">
        <v>0</v>
      </c>
      <c r="K87" t="n">
        <v>0</v>
      </c>
      <c r="L87" t="n">
        <v>0</v>
      </c>
      <c r="M87" t="n">
        <v>0</v>
      </c>
      <c r="N87" t="n">
        <v>0</v>
      </c>
      <c r="O87" t="n">
        <v>0</v>
      </c>
      <c r="P87" t="n">
        <v>0</v>
      </c>
      <c r="Q87" t="n">
        <v>0</v>
      </c>
      <c r="R87" s="2" t="inlineStr"/>
    </row>
    <row r="88" ht="15" customHeight="1">
      <c r="A88" t="inlineStr">
        <is>
          <t>A 61323-2022</t>
        </is>
      </c>
      <c r="B88" s="1" t="n">
        <v>44915</v>
      </c>
      <c r="C88" s="1" t="n">
        <v>45836</v>
      </c>
      <c r="D88" t="inlineStr">
        <is>
          <t>STOCKHOLMS LÄN</t>
        </is>
      </c>
      <c r="E88" t="inlineStr">
        <is>
          <t>ÖSTERÅKER</t>
        </is>
      </c>
      <c r="G88" t="n">
        <v>2.7</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45836</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61389-2022</t>
        </is>
      </c>
      <c r="B90" s="1" t="n">
        <v>44915</v>
      </c>
      <c r="C90" s="1" t="n">
        <v>45836</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61746-2022</t>
        </is>
      </c>
      <c r="B91" s="1" t="n">
        <v>44917</v>
      </c>
      <c r="C91" s="1" t="n">
        <v>45836</v>
      </c>
      <c r="D91" t="inlineStr">
        <is>
          <t>STOCKHOLMS LÄN</t>
        </is>
      </c>
      <c r="E91" t="inlineStr">
        <is>
          <t>ÖSTERÅKER</t>
        </is>
      </c>
      <c r="G91" t="n">
        <v>0.4</v>
      </c>
      <c r="H91" t="n">
        <v>0</v>
      </c>
      <c r="I91" t="n">
        <v>0</v>
      </c>
      <c r="J91" t="n">
        <v>0</v>
      </c>
      <c r="K91" t="n">
        <v>0</v>
      </c>
      <c r="L91" t="n">
        <v>0</v>
      </c>
      <c r="M91" t="n">
        <v>0</v>
      </c>
      <c r="N91" t="n">
        <v>0</v>
      </c>
      <c r="O91" t="n">
        <v>0</v>
      </c>
      <c r="P91" t="n">
        <v>0</v>
      </c>
      <c r="Q91" t="n">
        <v>0</v>
      </c>
      <c r="R91" s="2" t="inlineStr"/>
    </row>
    <row r="92" ht="15" customHeight="1">
      <c r="A92" t="inlineStr">
        <is>
          <t>A 61710-2022</t>
        </is>
      </c>
      <c r="B92" s="1" t="n">
        <v>44917</v>
      </c>
      <c r="C92" s="1" t="n">
        <v>45836</v>
      </c>
      <c r="D92" t="inlineStr">
        <is>
          <t>STOCKHOLMS LÄN</t>
        </is>
      </c>
      <c r="E92" t="inlineStr">
        <is>
          <t>ÖSTERÅKER</t>
        </is>
      </c>
      <c r="G92" t="n">
        <v>6.2</v>
      </c>
      <c r="H92" t="n">
        <v>0</v>
      </c>
      <c r="I92" t="n">
        <v>0</v>
      </c>
      <c r="J92" t="n">
        <v>0</v>
      </c>
      <c r="K92" t="n">
        <v>0</v>
      </c>
      <c r="L92" t="n">
        <v>0</v>
      </c>
      <c r="M92" t="n">
        <v>0</v>
      </c>
      <c r="N92" t="n">
        <v>0</v>
      </c>
      <c r="O92" t="n">
        <v>0</v>
      </c>
      <c r="P92" t="n">
        <v>0</v>
      </c>
      <c r="Q92" t="n">
        <v>0</v>
      </c>
      <c r="R92" s="2" t="inlineStr"/>
    </row>
    <row r="93" ht="15" customHeight="1">
      <c r="A93" t="inlineStr">
        <is>
          <t>A 62108-2022</t>
        </is>
      </c>
      <c r="B93" s="1" t="n">
        <v>44920</v>
      </c>
      <c r="C93" s="1" t="n">
        <v>45836</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45836</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1136-2023</t>
        </is>
      </c>
      <c r="B95" s="1" t="n">
        <v>44935</v>
      </c>
      <c r="C95" s="1" t="n">
        <v>45836</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1605-2023</t>
        </is>
      </c>
      <c r="B96" s="1" t="n">
        <v>44937</v>
      </c>
      <c r="C96" s="1" t="n">
        <v>45836</v>
      </c>
      <c r="D96" t="inlineStr">
        <is>
          <t>STOCKHOLMS LÄN</t>
        </is>
      </c>
      <c r="E96" t="inlineStr">
        <is>
          <t>ÖSTERÅKER</t>
        </is>
      </c>
      <c r="G96" t="n">
        <v>2.9</v>
      </c>
      <c r="H96" t="n">
        <v>0</v>
      </c>
      <c r="I96" t="n">
        <v>0</v>
      </c>
      <c r="J96" t="n">
        <v>0</v>
      </c>
      <c r="K96" t="n">
        <v>0</v>
      </c>
      <c r="L96" t="n">
        <v>0</v>
      </c>
      <c r="M96" t="n">
        <v>0</v>
      </c>
      <c r="N96" t="n">
        <v>0</v>
      </c>
      <c r="O96" t="n">
        <v>0</v>
      </c>
      <c r="P96" t="n">
        <v>0</v>
      </c>
      <c r="Q96" t="n">
        <v>0</v>
      </c>
      <c r="R96" s="2" t="inlineStr"/>
    </row>
    <row r="97" ht="15" customHeight="1">
      <c r="A97" t="inlineStr">
        <is>
          <t>A 1603-2023</t>
        </is>
      </c>
      <c r="B97" s="1" t="n">
        <v>44937</v>
      </c>
      <c r="C97" s="1" t="n">
        <v>45836</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45836</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45836</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3917-2023</t>
        </is>
      </c>
      <c r="B100" s="1" t="n">
        <v>44952</v>
      </c>
      <c r="C100" s="1" t="n">
        <v>45836</v>
      </c>
      <c r="D100" t="inlineStr">
        <is>
          <t>STOCKHOLMS LÄN</t>
        </is>
      </c>
      <c r="E100" t="inlineStr">
        <is>
          <t>ÖSTERÅKER</t>
        </is>
      </c>
      <c r="F100" t="inlineStr">
        <is>
          <t>Kommuner</t>
        </is>
      </c>
      <c r="G100" t="n">
        <v>2.8</v>
      </c>
      <c r="H100" t="n">
        <v>0</v>
      </c>
      <c r="I100" t="n">
        <v>0</v>
      </c>
      <c r="J100" t="n">
        <v>0</v>
      </c>
      <c r="K100" t="n">
        <v>0</v>
      </c>
      <c r="L100" t="n">
        <v>0</v>
      </c>
      <c r="M100" t="n">
        <v>0</v>
      </c>
      <c r="N100" t="n">
        <v>0</v>
      </c>
      <c r="O100" t="n">
        <v>0</v>
      </c>
      <c r="P100" t="n">
        <v>0</v>
      </c>
      <c r="Q100" t="n">
        <v>0</v>
      </c>
      <c r="R100" s="2" t="inlineStr"/>
    </row>
    <row r="101" ht="15" customHeight="1">
      <c r="A101" t="inlineStr">
        <is>
          <t>A 5681-2023</t>
        </is>
      </c>
      <c r="B101" s="1" t="n">
        <v>44960</v>
      </c>
      <c r="C101" s="1" t="n">
        <v>45836</v>
      </c>
      <c r="D101" t="inlineStr">
        <is>
          <t>STOCKHOLMS LÄN</t>
        </is>
      </c>
      <c r="E101" t="inlineStr">
        <is>
          <t>ÖSTERÅKER</t>
        </is>
      </c>
      <c r="G101" t="n">
        <v>6.4</v>
      </c>
      <c r="H101" t="n">
        <v>0</v>
      </c>
      <c r="I101" t="n">
        <v>0</v>
      </c>
      <c r="J101" t="n">
        <v>0</v>
      </c>
      <c r="K101" t="n">
        <v>0</v>
      </c>
      <c r="L101" t="n">
        <v>0</v>
      </c>
      <c r="M101" t="n">
        <v>0</v>
      </c>
      <c r="N101" t="n">
        <v>0</v>
      </c>
      <c r="O101" t="n">
        <v>0</v>
      </c>
      <c r="P101" t="n">
        <v>0</v>
      </c>
      <c r="Q101" t="n">
        <v>0</v>
      </c>
      <c r="R101" s="2" t="inlineStr"/>
    </row>
    <row r="102" ht="15" customHeight="1">
      <c r="A102" t="inlineStr">
        <is>
          <t>A 6582-2023</t>
        </is>
      </c>
      <c r="B102" s="1" t="n">
        <v>44966</v>
      </c>
      <c r="C102" s="1" t="n">
        <v>45836</v>
      </c>
      <c r="D102" t="inlineStr">
        <is>
          <t>STOCKHOLMS LÄN</t>
        </is>
      </c>
      <c r="E102" t="inlineStr">
        <is>
          <t>ÖSTERÅKER</t>
        </is>
      </c>
      <c r="G102" t="n">
        <v>2.6</v>
      </c>
      <c r="H102" t="n">
        <v>0</v>
      </c>
      <c r="I102" t="n">
        <v>0</v>
      </c>
      <c r="J102" t="n">
        <v>0</v>
      </c>
      <c r="K102" t="n">
        <v>0</v>
      </c>
      <c r="L102" t="n">
        <v>0</v>
      </c>
      <c r="M102" t="n">
        <v>0</v>
      </c>
      <c r="N102" t="n">
        <v>0</v>
      </c>
      <c r="O102" t="n">
        <v>0</v>
      </c>
      <c r="P102" t="n">
        <v>0</v>
      </c>
      <c r="Q102" t="n">
        <v>0</v>
      </c>
      <c r="R102" s="2" t="inlineStr"/>
    </row>
    <row r="103" ht="15" customHeight="1">
      <c r="A103" t="inlineStr">
        <is>
          <t>A 6655-2023</t>
        </is>
      </c>
      <c r="B103" s="1" t="n">
        <v>44966</v>
      </c>
      <c r="C103" s="1" t="n">
        <v>45836</v>
      </c>
      <c r="D103" t="inlineStr">
        <is>
          <t>STOCKHOLMS LÄN</t>
        </is>
      </c>
      <c r="E103" t="inlineStr">
        <is>
          <t>ÖSTERÅKER</t>
        </is>
      </c>
      <c r="G103" t="n">
        <v>0.8</v>
      </c>
      <c r="H103" t="n">
        <v>0</v>
      </c>
      <c r="I103" t="n">
        <v>0</v>
      </c>
      <c r="J103" t="n">
        <v>0</v>
      </c>
      <c r="K103" t="n">
        <v>0</v>
      </c>
      <c r="L103" t="n">
        <v>0</v>
      </c>
      <c r="M103" t="n">
        <v>0</v>
      </c>
      <c r="N103" t="n">
        <v>0</v>
      </c>
      <c r="O103" t="n">
        <v>0</v>
      </c>
      <c r="P103" t="n">
        <v>0</v>
      </c>
      <c r="Q103" t="n">
        <v>0</v>
      </c>
      <c r="R103" s="2" t="inlineStr"/>
    </row>
    <row r="104" ht="15" customHeight="1">
      <c r="A104" t="inlineStr">
        <is>
          <t>A 8796-2023</t>
        </is>
      </c>
      <c r="B104" s="1" t="n">
        <v>44978</v>
      </c>
      <c r="C104" s="1" t="n">
        <v>45836</v>
      </c>
      <c r="D104" t="inlineStr">
        <is>
          <t>STOCKHOLMS LÄN</t>
        </is>
      </c>
      <c r="E104" t="inlineStr">
        <is>
          <t>ÖSTERÅKER</t>
        </is>
      </c>
      <c r="G104" t="n">
        <v>2.5</v>
      </c>
      <c r="H104" t="n">
        <v>0</v>
      </c>
      <c r="I104" t="n">
        <v>0</v>
      </c>
      <c r="J104" t="n">
        <v>0</v>
      </c>
      <c r="K104" t="n">
        <v>0</v>
      </c>
      <c r="L104" t="n">
        <v>0</v>
      </c>
      <c r="M104" t="n">
        <v>0</v>
      </c>
      <c r="N104" t="n">
        <v>0</v>
      </c>
      <c r="O104" t="n">
        <v>0</v>
      </c>
      <c r="P104" t="n">
        <v>0</v>
      </c>
      <c r="Q104" t="n">
        <v>0</v>
      </c>
      <c r="R104" s="2" t="inlineStr"/>
    </row>
    <row r="105" ht="15" customHeight="1">
      <c r="A105" t="inlineStr">
        <is>
          <t>A 8802-2023</t>
        </is>
      </c>
      <c r="B105" s="1" t="n">
        <v>44978</v>
      </c>
      <c r="C105" s="1" t="n">
        <v>45836</v>
      </c>
      <c r="D105" t="inlineStr">
        <is>
          <t>STOCKHOLMS LÄN</t>
        </is>
      </c>
      <c r="E105" t="inlineStr">
        <is>
          <t>ÖSTERÅKER</t>
        </is>
      </c>
      <c r="G105" t="n">
        <v>4.5</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v>
      </c>
      <c r="C106" s="1" t="n">
        <v>45836</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24499-2023</t>
        </is>
      </c>
      <c r="B107" s="1" t="n">
        <v>45082</v>
      </c>
      <c r="C107" s="1" t="n">
        <v>45836</v>
      </c>
      <c r="D107" t="inlineStr">
        <is>
          <t>STOCKHOLMS LÄN</t>
        </is>
      </c>
      <c r="E107" t="inlineStr">
        <is>
          <t>ÖSTERÅKER</t>
        </is>
      </c>
      <c r="G107" t="n">
        <v>0.1</v>
      </c>
      <c r="H107" t="n">
        <v>0</v>
      </c>
      <c r="I107" t="n">
        <v>0</v>
      </c>
      <c r="J107" t="n">
        <v>0</v>
      </c>
      <c r="K107" t="n">
        <v>0</v>
      </c>
      <c r="L107" t="n">
        <v>0</v>
      </c>
      <c r="M107" t="n">
        <v>0</v>
      </c>
      <c r="N107" t="n">
        <v>0</v>
      </c>
      <c r="O107" t="n">
        <v>0</v>
      </c>
      <c r="P107" t="n">
        <v>0</v>
      </c>
      <c r="Q107" t="n">
        <v>0</v>
      </c>
      <c r="R107" s="2" t="inlineStr"/>
    </row>
    <row r="108" ht="15" customHeight="1">
      <c r="A108" t="inlineStr">
        <is>
          <t>A 24512-2023</t>
        </is>
      </c>
      <c r="B108" s="1" t="n">
        <v>45082</v>
      </c>
      <c r="C108" s="1" t="n">
        <v>45836</v>
      </c>
      <c r="D108" t="inlineStr">
        <is>
          <t>STOCKHOLMS LÄN</t>
        </is>
      </c>
      <c r="E108" t="inlineStr">
        <is>
          <t>ÖSTERÅKER</t>
        </is>
      </c>
      <c r="G108" t="n">
        <v>1.6</v>
      </c>
      <c r="H108" t="n">
        <v>0</v>
      </c>
      <c r="I108" t="n">
        <v>0</v>
      </c>
      <c r="J108" t="n">
        <v>0</v>
      </c>
      <c r="K108" t="n">
        <v>0</v>
      </c>
      <c r="L108" t="n">
        <v>0</v>
      </c>
      <c r="M108" t="n">
        <v>0</v>
      </c>
      <c r="N108" t="n">
        <v>0</v>
      </c>
      <c r="O108" t="n">
        <v>0</v>
      </c>
      <c r="P108" t="n">
        <v>0</v>
      </c>
      <c r="Q108" t="n">
        <v>0</v>
      </c>
      <c r="R108" s="2" t="inlineStr"/>
    </row>
    <row r="109" ht="15" customHeight="1">
      <c r="A109" t="inlineStr">
        <is>
          <t>A 31134-2023</t>
        </is>
      </c>
      <c r="B109" s="1" t="n">
        <v>45113</v>
      </c>
      <c r="C109" s="1" t="n">
        <v>45836</v>
      </c>
      <c r="D109" t="inlineStr">
        <is>
          <t>STOCKHOLMS LÄN</t>
        </is>
      </c>
      <c r="E109" t="inlineStr">
        <is>
          <t>ÖSTERÅKER</t>
        </is>
      </c>
      <c r="G109" t="n">
        <v>2.1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45836</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37459-2023</t>
        </is>
      </c>
      <c r="B111" s="1" t="n">
        <v>45156</v>
      </c>
      <c r="C111" s="1" t="n">
        <v>45836</v>
      </c>
      <c r="D111" t="inlineStr">
        <is>
          <t>STOCKHOLMS LÄN</t>
        </is>
      </c>
      <c r="E111" t="inlineStr">
        <is>
          <t>ÖSTERÅKER</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39394-2023</t>
        </is>
      </c>
      <c r="B112" s="1" t="n">
        <v>45166</v>
      </c>
      <c r="C112" s="1" t="n">
        <v>45836</v>
      </c>
      <c r="D112" t="inlineStr">
        <is>
          <t>STOCKHOLMS LÄN</t>
        </is>
      </c>
      <c r="E112" t="inlineStr">
        <is>
          <t>ÖSTERÅKER</t>
        </is>
      </c>
      <c r="G112" t="n">
        <v>0.4</v>
      </c>
      <c r="H112" t="n">
        <v>0</v>
      </c>
      <c r="I112" t="n">
        <v>0</v>
      </c>
      <c r="J112" t="n">
        <v>0</v>
      </c>
      <c r="K112" t="n">
        <v>0</v>
      </c>
      <c r="L112" t="n">
        <v>0</v>
      </c>
      <c r="M112" t="n">
        <v>0</v>
      </c>
      <c r="N112" t="n">
        <v>0</v>
      </c>
      <c r="O112" t="n">
        <v>0</v>
      </c>
      <c r="P112" t="n">
        <v>0</v>
      </c>
      <c r="Q112" t="n">
        <v>0</v>
      </c>
      <c r="R112" s="2" t="inlineStr"/>
    </row>
    <row r="113" ht="15" customHeight="1">
      <c r="A113" t="inlineStr">
        <is>
          <t>A 39398-2023</t>
        </is>
      </c>
      <c r="B113" s="1" t="n">
        <v>45166</v>
      </c>
      <c r="C113" s="1" t="n">
        <v>45836</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ht="15" customHeight="1">
      <c r="A114" t="inlineStr">
        <is>
          <t>A 49388-2023</t>
        </is>
      </c>
      <c r="B114" s="1" t="n">
        <v>45211</v>
      </c>
      <c r="C114" s="1" t="n">
        <v>45836</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row r="115" ht="15" customHeight="1">
      <c r="A115" t="inlineStr">
        <is>
          <t>A 60297-2023</t>
        </is>
      </c>
      <c r="B115" s="1" t="n">
        <v>45258</v>
      </c>
      <c r="C115" s="1" t="n">
        <v>45836</v>
      </c>
      <c r="D115" t="inlineStr">
        <is>
          <t>STOCKHOLMS LÄN</t>
        </is>
      </c>
      <c r="E115" t="inlineStr">
        <is>
          <t>ÖSTERÅKER</t>
        </is>
      </c>
      <c r="G115" t="n">
        <v>1.5</v>
      </c>
      <c r="H115" t="n">
        <v>0</v>
      </c>
      <c r="I115" t="n">
        <v>0</v>
      </c>
      <c r="J115" t="n">
        <v>0</v>
      </c>
      <c r="K115" t="n">
        <v>0</v>
      </c>
      <c r="L115" t="n">
        <v>0</v>
      </c>
      <c r="M115" t="n">
        <v>0</v>
      </c>
      <c r="N115" t="n">
        <v>0</v>
      </c>
      <c r="O115" t="n">
        <v>0</v>
      </c>
      <c r="P115" t="n">
        <v>0</v>
      </c>
      <c r="Q115" t="n">
        <v>0</v>
      </c>
      <c r="R115" s="2" t="inlineStr"/>
    </row>
    <row r="116" ht="15" customHeight="1">
      <c r="A116" t="inlineStr">
        <is>
          <t>A 845-2024</t>
        </is>
      </c>
      <c r="B116" s="1" t="n">
        <v>45300</v>
      </c>
      <c r="C116" s="1" t="n">
        <v>45836</v>
      </c>
      <c r="D116" t="inlineStr">
        <is>
          <t>STOCKHOLMS LÄN</t>
        </is>
      </c>
      <c r="E116" t="inlineStr">
        <is>
          <t>ÖSTERÅKER</t>
        </is>
      </c>
      <c r="G116" t="n">
        <v>10.1</v>
      </c>
      <c r="H116" t="n">
        <v>0</v>
      </c>
      <c r="I116" t="n">
        <v>0</v>
      </c>
      <c r="J116" t="n">
        <v>0</v>
      </c>
      <c r="K116" t="n">
        <v>0</v>
      </c>
      <c r="L116" t="n">
        <v>0</v>
      </c>
      <c r="M116" t="n">
        <v>0</v>
      </c>
      <c r="N116" t="n">
        <v>0</v>
      </c>
      <c r="O116" t="n">
        <v>0</v>
      </c>
      <c r="P116" t="n">
        <v>0</v>
      </c>
      <c r="Q116" t="n">
        <v>0</v>
      </c>
      <c r="R116" s="2" t="inlineStr"/>
    </row>
    <row r="117" ht="15" customHeight="1">
      <c r="A117" t="inlineStr">
        <is>
          <t>A 13378-2024</t>
        </is>
      </c>
      <c r="B117" s="1" t="n">
        <v>45387</v>
      </c>
      <c r="C117" s="1" t="n">
        <v>45836</v>
      </c>
      <c r="D117" t="inlineStr">
        <is>
          <t>STOCKHOLMS LÄN</t>
        </is>
      </c>
      <c r="E117" t="inlineStr">
        <is>
          <t>ÖSTERÅKER</t>
        </is>
      </c>
      <c r="G117" t="n">
        <v>6.8</v>
      </c>
      <c r="H117" t="n">
        <v>0</v>
      </c>
      <c r="I117" t="n">
        <v>0</v>
      </c>
      <c r="J117" t="n">
        <v>0</v>
      </c>
      <c r="K117" t="n">
        <v>0</v>
      </c>
      <c r="L117" t="n">
        <v>0</v>
      </c>
      <c r="M117" t="n">
        <v>0</v>
      </c>
      <c r="N117" t="n">
        <v>0</v>
      </c>
      <c r="O117" t="n">
        <v>0</v>
      </c>
      <c r="P117" t="n">
        <v>0</v>
      </c>
      <c r="Q117" t="n">
        <v>0</v>
      </c>
      <c r="R117" s="2" t="inlineStr"/>
    </row>
    <row r="118" ht="15" customHeight="1">
      <c r="A118" t="inlineStr">
        <is>
          <t>A 13366-2024</t>
        </is>
      </c>
      <c r="B118" s="1" t="n">
        <v>45387</v>
      </c>
      <c r="C118" s="1" t="n">
        <v>45836</v>
      </c>
      <c r="D118" t="inlineStr">
        <is>
          <t>STOCKHOLMS LÄN</t>
        </is>
      </c>
      <c r="E118" t="inlineStr">
        <is>
          <t>ÖSTERÅKER</t>
        </is>
      </c>
      <c r="G118" t="n">
        <v>13.7</v>
      </c>
      <c r="H118" t="n">
        <v>0</v>
      </c>
      <c r="I118" t="n">
        <v>0</v>
      </c>
      <c r="J118" t="n">
        <v>0</v>
      </c>
      <c r="K118" t="n">
        <v>0</v>
      </c>
      <c r="L118" t="n">
        <v>0</v>
      </c>
      <c r="M118" t="n">
        <v>0</v>
      </c>
      <c r="N118" t="n">
        <v>0</v>
      </c>
      <c r="O118" t="n">
        <v>0</v>
      </c>
      <c r="P118" t="n">
        <v>0</v>
      </c>
      <c r="Q118" t="n">
        <v>0</v>
      </c>
      <c r="R118" s="2" t="inlineStr"/>
    </row>
    <row r="119" ht="15" customHeight="1">
      <c r="A119" t="inlineStr">
        <is>
          <t>A 13518-2024</t>
        </is>
      </c>
      <c r="B119" s="1" t="n">
        <v>45387</v>
      </c>
      <c r="C119" s="1" t="n">
        <v>45836</v>
      </c>
      <c r="D119" t="inlineStr">
        <is>
          <t>STOCKHOLMS LÄN</t>
        </is>
      </c>
      <c r="E119" t="inlineStr">
        <is>
          <t>ÖSTERÅKER</t>
        </is>
      </c>
      <c r="G119" t="n">
        <v>14.9</v>
      </c>
      <c r="H119" t="n">
        <v>0</v>
      </c>
      <c r="I119" t="n">
        <v>0</v>
      </c>
      <c r="J119" t="n">
        <v>0</v>
      </c>
      <c r="K119" t="n">
        <v>0</v>
      </c>
      <c r="L119" t="n">
        <v>0</v>
      </c>
      <c r="M119" t="n">
        <v>0</v>
      </c>
      <c r="N119" t="n">
        <v>0</v>
      </c>
      <c r="O119" t="n">
        <v>0</v>
      </c>
      <c r="P119" t="n">
        <v>0</v>
      </c>
      <c r="Q119" t="n">
        <v>0</v>
      </c>
      <c r="R119" s="2" t="inlineStr"/>
    </row>
    <row r="120" ht="15" customHeight="1">
      <c r="A120" t="inlineStr">
        <is>
          <t>A 14776-2024</t>
        </is>
      </c>
      <c r="B120" s="1" t="n">
        <v>45397</v>
      </c>
      <c r="C120" s="1" t="n">
        <v>45836</v>
      </c>
      <c r="D120" t="inlineStr">
        <is>
          <t>STOCKHOLMS LÄN</t>
        </is>
      </c>
      <c r="E120" t="inlineStr">
        <is>
          <t>ÖSTERÅKER</t>
        </is>
      </c>
      <c r="G120" t="n">
        <v>13.6</v>
      </c>
      <c r="H120" t="n">
        <v>0</v>
      </c>
      <c r="I120" t="n">
        <v>0</v>
      </c>
      <c r="J120" t="n">
        <v>0</v>
      </c>
      <c r="K120" t="n">
        <v>0</v>
      </c>
      <c r="L120" t="n">
        <v>0</v>
      </c>
      <c r="M120" t="n">
        <v>0</v>
      </c>
      <c r="N120" t="n">
        <v>0</v>
      </c>
      <c r="O120" t="n">
        <v>0</v>
      </c>
      <c r="P120" t="n">
        <v>0</v>
      </c>
      <c r="Q120" t="n">
        <v>0</v>
      </c>
      <c r="R120" s="2" t="inlineStr"/>
    </row>
    <row r="121" ht="15" customHeight="1">
      <c r="A121" t="inlineStr">
        <is>
          <t>A 18113-2024</t>
        </is>
      </c>
      <c r="B121" s="1" t="n">
        <v>45420</v>
      </c>
      <c r="C121" s="1" t="n">
        <v>45836</v>
      </c>
      <c r="D121" t="inlineStr">
        <is>
          <t>STOCKHOLMS LÄN</t>
        </is>
      </c>
      <c r="E121" t="inlineStr">
        <is>
          <t>ÖSTERÅKER</t>
        </is>
      </c>
      <c r="G121" t="n">
        <v>6.5</v>
      </c>
      <c r="H121" t="n">
        <v>0</v>
      </c>
      <c r="I121" t="n">
        <v>0</v>
      </c>
      <c r="J121" t="n">
        <v>0</v>
      </c>
      <c r="K121" t="n">
        <v>0</v>
      </c>
      <c r="L121" t="n">
        <v>0</v>
      </c>
      <c r="M121" t="n">
        <v>0</v>
      </c>
      <c r="N121" t="n">
        <v>0</v>
      </c>
      <c r="O121" t="n">
        <v>0</v>
      </c>
      <c r="P121" t="n">
        <v>0</v>
      </c>
      <c r="Q121" t="n">
        <v>0</v>
      </c>
      <c r="R121" s="2" t="inlineStr"/>
    </row>
    <row r="122" ht="15" customHeight="1">
      <c r="A122" t="inlineStr">
        <is>
          <t>A 19404-2024</t>
        </is>
      </c>
      <c r="B122" s="1" t="n">
        <v>45428</v>
      </c>
      <c r="C122" s="1" t="n">
        <v>45836</v>
      </c>
      <c r="D122" t="inlineStr">
        <is>
          <t>STOCKHOLMS LÄN</t>
        </is>
      </c>
      <c r="E122" t="inlineStr">
        <is>
          <t>ÖSTERÅKER</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22080-2024</t>
        </is>
      </c>
      <c r="B123" s="1" t="n">
        <v>45443</v>
      </c>
      <c r="C123" s="1" t="n">
        <v>45836</v>
      </c>
      <c r="D123" t="inlineStr">
        <is>
          <t>STOCKHOLMS LÄN</t>
        </is>
      </c>
      <c r="E123" t="inlineStr">
        <is>
          <t>ÖSTERÅKER</t>
        </is>
      </c>
      <c r="F123" t="inlineStr">
        <is>
          <t>Övriga Aktiebolag</t>
        </is>
      </c>
      <c r="G123" t="n">
        <v>2.1</v>
      </c>
      <c r="H123" t="n">
        <v>0</v>
      </c>
      <c r="I123" t="n">
        <v>0</v>
      </c>
      <c r="J123" t="n">
        <v>0</v>
      </c>
      <c r="K123" t="n">
        <v>0</v>
      </c>
      <c r="L123" t="n">
        <v>0</v>
      </c>
      <c r="M123" t="n">
        <v>0</v>
      </c>
      <c r="N123" t="n">
        <v>0</v>
      </c>
      <c r="O123" t="n">
        <v>0</v>
      </c>
      <c r="P123" t="n">
        <v>0</v>
      </c>
      <c r="Q123" t="n">
        <v>0</v>
      </c>
      <c r="R123" s="2" t="inlineStr"/>
    </row>
    <row r="124" ht="15" customHeight="1">
      <c r="A124" t="inlineStr">
        <is>
          <t>A 22162-2024</t>
        </is>
      </c>
      <c r="B124" s="1" t="n">
        <v>45443</v>
      </c>
      <c r="C124" s="1" t="n">
        <v>45836</v>
      </c>
      <c r="D124" t="inlineStr">
        <is>
          <t>STOCKHOLMS LÄN</t>
        </is>
      </c>
      <c r="E124" t="inlineStr">
        <is>
          <t>ÖSTERÅKER</t>
        </is>
      </c>
      <c r="F124" t="inlineStr">
        <is>
          <t>Övriga Aktiebolag</t>
        </is>
      </c>
      <c r="G124" t="n">
        <v>4.5</v>
      </c>
      <c r="H124" t="n">
        <v>0</v>
      </c>
      <c r="I124" t="n">
        <v>0</v>
      </c>
      <c r="J124" t="n">
        <v>0</v>
      </c>
      <c r="K124" t="n">
        <v>0</v>
      </c>
      <c r="L124" t="n">
        <v>0</v>
      </c>
      <c r="M124" t="n">
        <v>0</v>
      </c>
      <c r="N124" t="n">
        <v>0</v>
      </c>
      <c r="O124" t="n">
        <v>0</v>
      </c>
      <c r="P124" t="n">
        <v>0</v>
      </c>
      <c r="Q124" t="n">
        <v>0</v>
      </c>
      <c r="R124" s="2" t="inlineStr"/>
    </row>
    <row r="125" ht="15" customHeight="1">
      <c r="A125" t="inlineStr">
        <is>
          <t>A 22505-2024</t>
        </is>
      </c>
      <c r="B125" s="1" t="n">
        <v>45447</v>
      </c>
      <c r="C125" s="1" t="n">
        <v>45836</v>
      </c>
      <c r="D125" t="inlineStr">
        <is>
          <t>STOCKHOLMS LÄN</t>
        </is>
      </c>
      <c r="E125" t="inlineStr">
        <is>
          <t>ÖSTERÅKER</t>
        </is>
      </c>
      <c r="G125" t="n">
        <v>5.5</v>
      </c>
      <c r="H125" t="n">
        <v>0</v>
      </c>
      <c r="I125" t="n">
        <v>0</v>
      </c>
      <c r="J125" t="n">
        <v>0</v>
      </c>
      <c r="K125" t="n">
        <v>0</v>
      </c>
      <c r="L125" t="n">
        <v>0</v>
      </c>
      <c r="M125" t="n">
        <v>0</v>
      </c>
      <c r="N125" t="n">
        <v>0</v>
      </c>
      <c r="O125" t="n">
        <v>0</v>
      </c>
      <c r="P125" t="n">
        <v>0</v>
      </c>
      <c r="Q125" t="n">
        <v>0</v>
      </c>
      <c r="R125" s="2" t="inlineStr"/>
    </row>
    <row r="126" ht="15" customHeight="1">
      <c r="A126" t="inlineStr">
        <is>
          <t>A 22528-2024</t>
        </is>
      </c>
      <c r="B126" s="1" t="n">
        <v>45447</v>
      </c>
      <c r="C126" s="1" t="n">
        <v>45836</v>
      </c>
      <c r="D126" t="inlineStr">
        <is>
          <t>STOCKHOLMS LÄN</t>
        </is>
      </c>
      <c r="E126" t="inlineStr">
        <is>
          <t>ÖSTERÅKER</t>
        </is>
      </c>
      <c r="F126" t="inlineStr">
        <is>
          <t>Övriga Aktiebolag</t>
        </is>
      </c>
      <c r="G126" t="n">
        <v>1.4</v>
      </c>
      <c r="H126" t="n">
        <v>0</v>
      </c>
      <c r="I126" t="n">
        <v>0</v>
      </c>
      <c r="J126" t="n">
        <v>0</v>
      </c>
      <c r="K126" t="n">
        <v>0</v>
      </c>
      <c r="L126" t="n">
        <v>0</v>
      </c>
      <c r="M126" t="n">
        <v>0</v>
      </c>
      <c r="N126" t="n">
        <v>0</v>
      </c>
      <c r="O126" t="n">
        <v>0</v>
      </c>
      <c r="P126" t="n">
        <v>0</v>
      </c>
      <c r="Q126" t="n">
        <v>0</v>
      </c>
      <c r="R126" s="2" t="inlineStr"/>
    </row>
    <row r="127" ht="15" customHeight="1">
      <c r="A127" t="inlineStr">
        <is>
          <t>A 23144-2024</t>
        </is>
      </c>
      <c r="B127" s="1" t="n">
        <v>45450</v>
      </c>
      <c r="C127" s="1" t="n">
        <v>45836</v>
      </c>
      <c r="D127" t="inlineStr">
        <is>
          <t>STOCKHOLMS LÄN</t>
        </is>
      </c>
      <c r="E127" t="inlineStr">
        <is>
          <t>ÖSTERÅKER</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24931-2024</t>
        </is>
      </c>
      <c r="B128" s="1" t="n">
        <v>45461</v>
      </c>
      <c r="C128" s="1" t="n">
        <v>45836</v>
      </c>
      <c r="D128" t="inlineStr">
        <is>
          <t>STOCKHOLMS LÄN</t>
        </is>
      </c>
      <c r="E128" t="inlineStr">
        <is>
          <t>ÖSTERÅKER</t>
        </is>
      </c>
      <c r="G128" t="n">
        <v>4.2</v>
      </c>
      <c r="H128" t="n">
        <v>0</v>
      </c>
      <c r="I128" t="n">
        <v>0</v>
      </c>
      <c r="J128" t="n">
        <v>0</v>
      </c>
      <c r="K128" t="n">
        <v>0</v>
      </c>
      <c r="L128" t="n">
        <v>0</v>
      </c>
      <c r="M128" t="n">
        <v>0</v>
      </c>
      <c r="N128" t="n">
        <v>0</v>
      </c>
      <c r="O128" t="n">
        <v>0</v>
      </c>
      <c r="P128" t="n">
        <v>0</v>
      </c>
      <c r="Q128" t="n">
        <v>0</v>
      </c>
      <c r="R128" s="2" t="inlineStr"/>
    </row>
    <row r="129" ht="15" customHeight="1">
      <c r="A129" t="inlineStr">
        <is>
          <t>A 24937-2024</t>
        </is>
      </c>
      <c r="B129" s="1" t="n">
        <v>45461</v>
      </c>
      <c r="C129" s="1" t="n">
        <v>45836</v>
      </c>
      <c r="D129" t="inlineStr">
        <is>
          <t>STOCKHOLMS LÄN</t>
        </is>
      </c>
      <c r="E129" t="inlineStr">
        <is>
          <t>ÖSTERÅKER</t>
        </is>
      </c>
      <c r="G129" t="n">
        <v>9.800000000000001</v>
      </c>
      <c r="H129" t="n">
        <v>0</v>
      </c>
      <c r="I129" t="n">
        <v>0</v>
      </c>
      <c r="J129" t="n">
        <v>0</v>
      </c>
      <c r="K129" t="n">
        <v>0</v>
      </c>
      <c r="L129" t="n">
        <v>0</v>
      </c>
      <c r="M129" t="n">
        <v>0</v>
      </c>
      <c r="N129" t="n">
        <v>0</v>
      </c>
      <c r="O129" t="n">
        <v>0</v>
      </c>
      <c r="P129" t="n">
        <v>0</v>
      </c>
      <c r="Q129" t="n">
        <v>0</v>
      </c>
      <c r="R129" s="2" t="inlineStr"/>
    </row>
    <row r="130" ht="15" customHeight="1">
      <c r="A130" t="inlineStr">
        <is>
          <t>A 24915-2024</t>
        </is>
      </c>
      <c r="B130" s="1" t="n">
        <v>45461</v>
      </c>
      <c r="C130" s="1" t="n">
        <v>45836</v>
      </c>
      <c r="D130" t="inlineStr">
        <is>
          <t>STOCKHOLMS LÄN</t>
        </is>
      </c>
      <c r="E130" t="inlineStr">
        <is>
          <t>ÖSTERÅKER</t>
        </is>
      </c>
      <c r="G130" t="n">
        <v>6.8</v>
      </c>
      <c r="H130" t="n">
        <v>0</v>
      </c>
      <c r="I130" t="n">
        <v>0</v>
      </c>
      <c r="J130" t="n">
        <v>0</v>
      </c>
      <c r="K130" t="n">
        <v>0</v>
      </c>
      <c r="L130" t="n">
        <v>0</v>
      </c>
      <c r="M130" t="n">
        <v>0</v>
      </c>
      <c r="N130" t="n">
        <v>0</v>
      </c>
      <c r="O130" t="n">
        <v>0</v>
      </c>
      <c r="P130" t="n">
        <v>0</v>
      </c>
      <c r="Q130" t="n">
        <v>0</v>
      </c>
      <c r="R130" s="2" t="inlineStr"/>
    </row>
    <row r="131" ht="15" customHeight="1">
      <c r="A131" t="inlineStr">
        <is>
          <t>A 28143-2024</t>
        </is>
      </c>
      <c r="B131" s="1" t="n">
        <v>45476</v>
      </c>
      <c r="C131" s="1" t="n">
        <v>45836</v>
      </c>
      <c r="D131" t="inlineStr">
        <is>
          <t>STOCKHOLMS LÄN</t>
        </is>
      </c>
      <c r="E131" t="inlineStr">
        <is>
          <t>ÖSTERÅKER</t>
        </is>
      </c>
      <c r="F131" t="inlineStr">
        <is>
          <t>Övriga Aktiebolag</t>
        </is>
      </c>
      <c r="G131" t="n">
        <v>2.2</v>
      </c>
      <c r="H131" t="n">
        <v>0</v>
      </c>
      <c r="I131" t="n">
        <v>0</v>
      </c>
      <c r="J131" t="n">
        <v>0</v>
      </c>
      <c r="K131" t="n">
        <v>0</v>
      </c>
      <c r="L131" t="n">
        <v>0</v>
      </c>
      <c r="M131" t="n">
        <v>0</v>
      </c>
      <c r="N131" t="n">
        <v>0</v>
      </c>
      <c r="O131" t="n">
        <v>0</v>
      </c>
      <c r="P131" t="n">
        <v>0</v>
      </c>
      <c r="Q131" t="n">
        <v>0</v>
      </c>
      <c r="R131" s="2" t="inlineStr"/>
    </row>
    <row r="132" ht="15" customHeight="1">
      <c r="A132" t="inlineStr">
        <is>
          <t>A 28147-2024</t>
        </is>
      </c>
      <c r="B132" s="1" t="n">
        <v>45476</v>
      </c>
      <c r="C132" s="1" t="n">
        <v>45836</v>
      </c>
      <c r="D132" t="inlineStr">
        <is>
          <t>STOCKHOLMS LÄN</t>
        </is>
      </c>
      <c r="E132" t="inlineStr">
        <is>
          <t>ÖSTERÅKER</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28144-2024</t>
        </is>
      </c>
      <c r="B133" s="1" t="n">
        <v>45476</v>
      </c>
      <c r="C133" s="1" t="n">
        <v>45836</v>
      </c>
      <c r="D133" t="inlineStr">
        <is>
          <t>STOCKHOLMS LÄN</t>
        </is>
      </c>
      <c r="E133" t="inlineStr">
        <is>
          <t>ÖSTERÅKER</t>
        </is>
      </c>
      <c r="F133" t="inlineStr">
        <is>
          <t>Övriga Aktiebolag</t>
        </is>
      </c>
      <c r="G133" t="n">
        <v>5.4</v>
      </c>
      <c r="H133" t="n">
        <v>0</v>
      </c>
      <c r="I133" t="n">
        <v>0</v>
      </c>
      <c r="J133" t="n">
        <v>0</v>
      </c>
      <c r="K133" t="n">
        <v>0</v>
      </c>
      <c r="L133" t="n">
        <v>0</v>
      </c>
      <c r="M133" t="n">
        <v>0</v>
      </c>
      <c r="N133" t="n">
        <v>0</v>
      </c>
      <c r="O133" t="n">
        <v>0</v>
      </c>
      <c r="P133" t="n">
        <v>0</v>
      </c>
      <c r="Q133" t="n">
        <v>0</v>
      </c>
      <c r="R133" s="2" t="inlineStr"/>
    </row>
    <row r="134" ht="15" customHeight="1">
      <c r="A134" t="inlineStr">
        <is>
          <t>A 28146-2024</t>
        </is>
      </c>
      <c r="B134" s="1" t="n">
        <v>45476</v>
      </c>
      <c r="C134" s="1" t="n">
        <v>45836</v>
      </c>
      <c r="D134" t="inlineStr">
        <is>
          <t>STOCKHOLMS LÄN</t>
        </is>
      </c>
      <c r="E134" t="inlineStr">
        <is>
          <t>ÖSTERÅKER</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31013-2024</t>
        </is>
      </c>
      <c r="B135" s="1" t="n">
        <v>45499</v>
      </c>
      <c r="C135" s="1" t="n">
        <v>45836</v>
      </c>
      <c r="D135" t="inlineStr">
        <is>
          <t>STOCKHOLMS LÄN</t>
        </is>
      </c>
      <c r="E135" t="inlineStr">
        <is>
          <t>ÖSTERÅKER</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30949-2024</t>
        </is>
      </c>
      <c r="B136" s="1" t="n">
        <v>45499</v>
      </c>
      <c r="C136" s="1" t="n">
        <v>45836</v>
      </c>
      <c r="D136" t="inlineStr">
        <is>
          <t>STOCKHOLMS LÄN</t>
        </is>
      </c>
      <c r="E136" t="inlineStr">
        <is>
          <t>ÖSTERÅKER</t>
        </is>
      </c>
      <c r="F136" t="inlineStr">
        <is>
          <t>Övriga Aktiebolag</t>
        </is>
      </c>
      <c r="G136" t="n">
        <v>3.2</v>
      </c>
      <c r="H136" t="n">
        <v>0</v>
      </c>
      <c r="I136" t="n">
        <v>0</v>
      </c>
      <c r="J136" t="n">
        <v>0</v>
      </c>
      <c r="K136" t="n">
        <v>0</v>
      </c>
      <c r="L136" t="n">
        <v>0</v>
      </c>
      <c r="M136" t="n">
        <v>0</v>
      </c>
      <c r="N136" t="n">
        <v>0</v>
      </c>
      <c r="O136" t="n">
        <v>0</v>
      </c>
      <c r="P136" t="n">
        <v>0</v>
      </c>
      <c r="Q136" t="n">
        <v>0</v>
      </c>
      <c r="R136" s="2" t="inlineStr"/>
    </row>
    <row r="137" ht="15" customHeight="1">
      <c r="A137" t="inlineStr">
        <is>
          <t>A 33158-2024</t>
        </is>
      </c>
      <c r="B137" s="1" t="n">
        <v>45518</v>
      </c>
      <c r="C137" s="1" t="n">
        <v>45836</v>
      </c>
      <c r="D137" t="inlineStr">
        <is>
          <t>STOCKHOLMS LÄN</t>
        </is>
      </c>
      <c r="E137" t="inlineStr">
        <is>
          <t>ÖSTERÅKER</t>
        </is>
      </c>
      <c r="G137" t="n">
        <v>1.6</v>
      </c>
      <c r="H137" t="n">
        <v>0</v>
      </c>
      <c r="I137" t="n">
        <v>0</v>
      </c>
      <c r="J137" t="n">
        <v>0</v>
      </c>
      <c r="K137" t="n">
        <v>0</v>
      </c>
      <c r="L137" t="n">
        <v>0</v>
      </c>
      <c r="M137" t="n">
        <v>0</v>
      </c>
      <c r="N137" t="n">
        <v>0</v>
      </c>
      <c r="O137" t="n">
        <v>0</v>
      </c>
      <c r="P137" t="n">
        <v>0</v>
      </c>
      <c r="Q137" t="n">
        <v>0</v>
      </c>
      <c r="R137" s="2" t="inlineStr"/>
    </row>
    <row r="138" ht="15" customHeight="1">
      <c r="A138" t="inlineStr">
        <is>
          <t>A 37244-2024</t>
        </is>
      </c>
      <c r="B138" s="1" t="n">
        <v>45540</v>
      </c>
      <c r="C138" s="1" t="n">
        <v>45836</v>
      </c>
      <c r="D138" t="inlineStr">
        <is>
          <t>STOCKHOLMS LÄN</t>
        </is>
      </c>
      <c r="E138" t="inlineStr">
        <is>
          <t>ÖSTERÅKER</t>
        </is>
      </c>
      <c r="G138" t="n">
        <v>2.6</v>
      </c>
      <c r="H138" t="n">
        <v>0</v>
      </c>
      <c r="I138" t="n">
        <v>0</v>
      </c>
      <c r="J138" t="n">
        <v>0</v>
      </c>
      <c r="K138" t="n">
        <v>0</v>
      </c>
      <c r="L138" t="n">
        <v>0</v>
      </c>
      <c r="M138" t="n">
        <v>0</v>
      </c>
      <c r="N138" t="n">
        <v>0</v>
      </c>
      <c r="O138" t="n">
        <v>0</v>
      </c>
      <c r="P138" t="n">
        <v>0</v>
      </c>
      <c r="Q138" t="n">
        <v>0</v>
      </c>
      <c r="R138" s="2" t="inlineStr"/>
    </row>
    <row r="139" ht="15" customHeight="1">
      <c r="A139" t="inlineStr">
        <is>
          <t>A 56166-2024</t>
        </is>
      </c>
      <c r="B139" s="1" t="n">
        <v>45624</v>
      </c>
      <c r="C139" s="1" t="n">
        <v>45836</v>
      </c>
      <c r="D139" t="inlineStr">
        <is>
          <t>STOCKHOLMS LÄN</t>
        </is>
      </c>
      <c r="E139" t="inlineStr">
        <is>
          <t>ÖSTERÅKER</t>
        </is>
      </c>
      <c r="G139" t="n">
        <v>5.2</v>
      </c>
      <c r="H139" t="n">
        <v>0</v>
      </c>
      <c r="I139" t="n">
        <v>0</v>
      </c>
      <c r="J139" t="n">
        <v>0</v>
      </c>
      <c r="K139" t="n">
        <v>0</v>
      </c>
      <c r="L139" t="n">
        <v>0</v>
      </c>
      <c r="M139" t="n">
        <v>0</v>
      </c>
      <c r="N139" t="n">
        <v>0</v>
      </c>
      <c r="O139" t="n">
        <v>0</v>
      </c>
      <c r="P139" t="n">
        <v>0</v>
      </c>
      <c r="Q139" t="n">
        <v>0</v>
      </c>
      <c r="R139" s="2" t="inlineStr"/>
    </row>
    <row r="140" ht="15" customHeight="1">
      <c r="A140" t="inlineStr">
        <is>
          <t>A 56909-2024</t>
        </is>
      </c>
      <c r="B140" s="1" t="n">
        <v>45628</v>
      </c>
      <c r="C140" s="1" t="n">
        <v>45836</v>
      </c>
      <c r="D140" t="inlineStr">
        <is>
          <t>STOCKHOLMS LÄN</t>
        </is>
      </c>
      <c r="E140" t="inlineStr">
        <is>
          <t>ÖSTERÅKER</t>
        </is>
      </c>
      <c r="G140" t="n">
        <v>1</v>
      </c>
      <c r="H140" t="n">
        <v>0</v>
      </c>
      <c r="I140" t="n">
        <v>0</v>
      </c>
      <c r="J140" t="n">
        <v>0</v>
      </c>
      <c r="K140" t="n">
        <v>0</v>
      </c>
      <c r="L140" t="n">
        <v>0</v>
      </c>
      <c r="M140" t="n">
        <v>0</v>
      </c>
      <c r="N140" t="n">
        <v>0</v>
      </c>
      <c r="O140" t="n">
        <v>0</v>
      </c>
      <c r="P140" t="n">
        <v>0</v>
      </c>
      <c r="Q140" t="n">
        <v>0</v>
      </c>
      <c r="R140" s="2" t="inlineStr"/>
    </row>
    <row r="141" ht="15" customHeight="1">
      <c r="A141" t="inlineStr">
        <is>
          <t>A 57048-2024</t>
        </is>
      </c>
      <c r="B141" s="1" t="n">
        <v>45629</v>
      </c>
      <c r="C141" s="1" t="n">
        <v>45836</v>
      </c>
      <c r="D141" t="inlineStr">
        <is>
          <t>STOCKHOLMS LÄN</t>
        </is>
      </c>
      <c r="E141" t="inlineStr">
        <is>
          <t>ÖSTERÅKER</t>
        </is>
      </c>
      <c r="G141" t="n">
        <v>3</v>
      </c>
      <c r="H141" t="n">
        <v>0</v>
      </c>
      <c r="I141" t="n">
        <v>0</v>
      </c>
      <c r="J141" t="n">
        <v>0</v>
      </c>
      <c r="K141" t="n">
        <v>0</v>
      </c>
      <c r="L141" t="n">
        <v>0</v>
      </c>
      <c r="M141" t="n">
        <v>0</v>
      </c>
      <c r="N141" t="n">
        <v>0</v>
      </c>
      <c r="O141" t="n">
        <v>0</v>
      </c>
      <c r="P141" t="n">
        <v>0</v>
      </c>
      <c r="Q141" t="n">
        <v>0</v>
      </c>
      <c r="R141" s="2" t="inlineStr"/>
    </row>
    <row r="142" ht="15" customHeight="1">
      <c r="A142" t="inlineStr">
        <is>
          <t>A 57050-2024</t>
        </is>
      </c>
      <c r="B142" s="1" t="n">
        <v>45629</v>
      </c>
      <c r="C142" s="1" t="n">
        <v>45836</v>
      </c>
      <c r="D142" t="inlineStr">
        <is>
          <t>STOCKHOLMS LÄN</t>
        </is>
      </c>
      <c r="E142" t="inlineStr">
        <is>
          <t>ÖSTERÅKER</t>
        </is>
      </c>
      <c r="G142" t="n">
        <v>0.8</v>
      </c>
      <c r="H142" t="n">
        <v>0</v>
      </c>
      <c r="I142" t="n">
        <v>0</v>
      </c>
      <c r="J142" t="n">
        <v>0</v>
      </c>
      <c r="K142" t="n">
        <v>0</v>
      </c>
      <c r="L142" t="n">
        <v>0</v>
      </c>
      <c r="M142" t="n">
        <v>0</v>
      </c>
      <c r="N142" t="n">
        <v>0</v>
      </c>
      <c r="O142" t="n">
        <v>0</v>
      </c>
      <c r="P142" t="n">
        <v>0</v>
      </c>
      <c r="Q142" t="n">
        <v>0</v>
      </c>
      <c r="R142" s="2" t="inlineStr"/>
    </row>
    <row r="143" ht="15" customHeight="1">
      <c r="A143" t="inlineStr">
        <is>
          <t>A 57055-2024</t>
        </is>
      </c>
      <c r="B143" s="1" t="n">
        <v>45629</v>
      </c>
      <c r="C143" s="1" t="n">
        <v>45836</v>
      </c>
      <c r="D143" t="inlineStr">
        <is>
          <t>STOCKHOLMS LÄN</t>
        </is>
      </c>
      <c r="E143" t="inlineStr">
        <is>
          <t>ÖSTERÅKER</t>
        </is>
      </c>
      <c r="G143" t="n">
        <v>0.5</v>
      </c>
      <c r="H143" t="n">
        <v>0</v>
      </c>
      <c r="I143" t="n">
        <v>0</v>
      </c>
      <c r="J143" t="n">
        <v>0</v>
      </c>
      <c r="K143" t="n">
        <v>0</v>
      </c>
      <c r="L143" t="n">
        <v>0</v>
      </c>
      <c r="M143" t="n">
        <v>0</v>
      </c>
      <c r="N143" t="n">
        <v>0</v>
      </c>
      <c r="O143" t="n">
        <v>0</v>
      </c>
      <c r="P143" t="n">
        <v>0</v>
      </c>
      <c r="Q143" t="n">
        <v>0</v>
      </c>
      <c r="R143" s="2" t="inlineStr"/>
    </row>
    <row r="144" ht="15" customHeight="1">
      <c r="A144" t="inlineStr">
        <is>
          <t>A 5286-2025</t>
        </is>
      </c>
      <c r="B144" s="1" t="n">
        <v>45692</v>
      </c>
      <c r="C144" s="1" t="n">
        <v>45836</v>
      </c>
      <c r="D144" t="inlineStr">
        <is>
          <t>STOCKHOLMS LÄN</t>
        </is>
      </c>
      <c r="E144" t="inlineStr">
        <is>
          <t>ÖSTERÅKER</t>
        </is>
      </c>
      <c r="G144" t="n">
        <v>11.2</v>
      </c>
      <c r="H144" t="n">
        <v>0</v>
      </c>
      <c r="I144" t="n">
        <v>0</v>
      </c>
      <c r="J144" t="n">
        <v>0</v>
      </c>
      <c r="K144" t="n">
        <v>0</v>
      </c>
      <c r="L144" t="n">
        <v>0</v>
      </c>
      <c r="M144" t="n">
        <v>0</v>
      </c>
      <c r="N144" t="n">
        <v>0</v>
      </c>
      <c r="O144" t="n">
        <v>0</v>
      </c>
      <c r="P144" t="n">
        <v>0</v>
      </c>
      <c r="Q144" t="n">
        <v>0</v>
      </c>
      <c r="R144" s="2" t="inlineStr"/>
    </row>
    <row r="145" ht="15" customHeight="1">
      <c r="A145" t="inlineStr">
        <is>
          <t>A 5279-2025</t>
        </is>
      </c>
      <c r="B145" s="1" t="n">
        <v>45692</v>
      </c>
      <c r="C145" s="1" t="n">
        <v>45836</v>
      </c>
      <c r="D145" t="inlineStr">
        <is>
          <t>STOCKHOLMS LÄN</t>
        </is>
      </c>
      <c r="E145" t="inlineStr">
        <is>
          <t>ÖSTERÅKER</t>
        </is>
      </c>
      <c r="G145" t="n">
        <v>2.4</v>
      </c>
      <c r="H145" t="n">
        <v>0</v>
      </c>
      <c r="I145" t="n">
        <v>0</v>
      </c>
      <c r="J145" t="n">
        <v>0</v>
      </c>
      <c r="K145" t="n">
        <v>0</v>
      </c>
      <c r="L145" t="n">
        <v>0</v>
      </c>
      <c r="M145" t="n">
        <v>0</v>
      </c>
      <c r="N145" t="n">
        <v>0</v>
      </c>
      <c r="O145" t="n">
        <v>0</v>
      </c>
      <c r="P145" t="n">
        <v>0</v>
      </c>
      <c r="Q145" t="n">
        <v>0</v>
      </c>
      <c r="R145" s="2" t="inlineStr"/>
    </row>
    <row r="146" ht="15" customHeight="1">
      <c r="A146" t="inlineStr">
        <is>
          <t>A 9842-2025</t>
        </is>
      </c>
      <c r="B146" s="1" t="n">
        <v>45716</v>
      </c>
      <c r="C146" s="1" t="n">
        <v>45836</v>
      </c>
      <c r="D146" t="inlineStr">
        <is>
          <t>STOCKHOLMS LÄN</t>
        </is>
      </c>
      <c r="E146" t="inlineStr">
        <is>
          <t>ÖSTERÅKER</t>
        </is>
      </c>
      <c r="G146" t="n">
        <v>4.8</v>
      </c>
      <c r="H146" t="n">
        <v>0</v>
      </c>
      <c r="I146" t="n">
        <v>0</v>
      </c>
      <c r="J146" t="n">
        <v>0</v>
      </c>
      <c r="K146" t="n">
        <v>0</v>
      </c>
      <c r="L146" t="n">
        <v>0</v>
      </c>
      <c r="M146" t="n">
        <v>0</v>
      </c>
      <c r="N146" t="n">
        <v>0</v>
      </c>
      <c r="O146" t="n">
        <v>0</v>
      </c>
      <c r="P146" t="n">
        <v>0</v>
      </c>
      <c r="Q146" t="n">
        <v>0</v>
      </c>
      <c r="R146" s="2" t="inlineStr"/>
    </row>
    <row r="147" ht="15" customHeight="1">
      <c r="A147" t="inlineStr">
        <is>
          <t>A 9865-2025</t>
        </is>
      </c>
      <c r="B147" s="1" t="n">
        <v>45716</v>
      </c>
      <c r="C147" s="1" t="n">
        <v>45836</v>
      </c>
      <c r="D147" t="inlineStr">
        <is>
          <t>STOCKHOLMS LÄN</t>
        </is>
      </c>
      <c r="E147" t="inlineStr">
        <is>
          <t>ÖSTERÅKER</t>
        </is>
      </c>
      <c r="G147" t="n">
        <v>7</v>
      </c>
      <c r="H147" t="n">
        <v>0</v>
      </c>
      <c r="I147" t="n">
        <v>0</v>
      </c>
      <c r="J147" t="n">
        <v>0</v>
      </c>
      <c r="K147" t="n">
        <v>0</v>
      </c>
      <c r="L147" t="n">
        <v>0</v>
      </c>
      <c r="M147" t="n">
        <v>0</v>
      </c>
      <c r="N147" t="n">
        <v>0</v>
      </c>
      <c r="O147" t="n">
        <v>0</v>
      </c>
      <c r="P147" t="n">
        <v>0</v>
      </c>
      <c r="Q147" t="n">
        <v>0</v>
      </c>
      <c r="R147" s="2" t="inlineStr"/>
    </row>
    <row r="148" ht="15" customHeight="1">
      <c r="A148" t="inlineStr">
        <is>
          <t>A 10185-2025</t>
        </is>
      </c>
      <c r="B148" s="1" t="n">
        <v>45719</v>
      </c>
      <c r="C148" s="1" t="n">
        <v>45836</v>
      </c>
      <c r="D148" t="inlineStr">
        <is>
          <t>STOCKHOLMS LÄN</t>
        </is>
      </c>
      <c r="E148" t="inlineStr">
        <is>
          <t>ÖSTERÅKER</t>
        </is>
      </c>
      <c r="G148" t="n">
        <v>4.1</v>
      </c>
      <c r="H148" t="n">
        <v>0</v>
      </c>
      <c r="I148" t="n">
        <v>0</v>
      </c>
      <c r="J148" t="n">
        <v>0</v>
      </c>
      <c r="K148" t="n">
        <v>0</v>
      </c>
      <c r="L148" t="n">
        <v>0</v>
      </c>
      <c r="M148" t="n">
        <v>0</v>
      </c>
      <c r="N148" t="n">
        <v>0</v>
      </c>
      <c r="O148" t="n">
        <v>0</v>
      </c>
      <c r="P148" t="n">
        <v>0</v>
      </c>
      <c r="Q148" t="n">
        <v>0</v>
      </c>
      <c r="R148" s="2" t="inlineStr"/>
    </row>
    <row r="149" ht="15" customHeight="1">
      <c r="A149" t="inlineStr">
        <is>
          <t>A 10202-2025</t>
        </is>
      </c>
      <c r="B149" s="1" t="n">
        <v>45719</v>
      </c>
      <c r="C149" s="1" t="n">
        <v>45836</v>
      </c>
      <c r="D149" t="inlineStr">
        <is>
          <t>STOCKHOLMS LÄN</t>
        </is>
      </c>
      <c r="E149" t="inlineStr">
        <is>
          <t>ÖSTERÅKER</t>
        </is>
      </c>
      <c r="G149" t="n">
        <v>4.1</v>
      </c>
      <c r="H149" t="n">
        <v>0</v>
      </c>
      <c r="I149" t="n">
        <v>0</v>
      </c>
      <c r="J149" t="n">
        <v>0</v>
      </c>
      <c r="K149" t="n">
        <v>0</v>
      </c>
      <c r="L149" t="n">
        <v>0</v>
      </c>
      <c r="M149" t="n">
        <v>0</v>
      </c>
      <c r="N149" t="n">
        <v>0</v>
      </c>
      <c r="O149" t="n">
        <v>0</v>
      </c>
      <c r="P149" t="n">
        <v>0</v>
      </c>
      <c r="Q149" t="n">
        <v>0</v>
      </c>
      <c r="R149" s="2" t="inlineStr"/>
    </row>
    <row r="150" ht="15" customHeight="1">
      <c r="A150" t="inlineStr">
        <is>
          <t>A 12154-2025</t>
        </is>
      </c>
      <c r="B150" s="1" t="n">
        <v>45729</v>
      </c>
      <c r="C150" s="1" t="n">
        <v>45836</v>
      </c>
      <c r="D150" t="inlineStr">
        <is>
          <t>STOCKHOLMS LÄN</t>
        </is>
      </c>
      <c r="E150" t="inlineStr">
        <is>
          <t>ÖSTERÅKER</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12679-2025</t>
        </is>
      </c>
      <c r="B151" s="1" t="n">
        <v>45733</v>
      </c>
      <c r="C151" s="1" t="n">
        <v>45836</v>
      </c>
      <c r="D151" t="inlineStr">
        <is>
          <t>STOCKHOLMS LÄN</t>
        </is>
      </c>
      <c r="E151" t="inlineStr">
        <is>
          <t>ÖSTERÅKER</t>
        </is>
      </c>
      <c r="G151" t="n">
        <v>0.5</v>
      </c>
      <c r="H151" t="n">
        <v>0</v>
      </c>
      <c r="I151" t="n">
        <v>0</v>
      </c>
      <c r="J151" t="n">
        <v>0</v>
      </c>
      <c r="K151" t="n">
        <v>0</v>
      </c>
      <c r="L151" t="n">
        <v>0</v>
      </c>
      <c r="M151" t="n">
        <v>0</v>
      </c>
      <c r="N151" t="n">
        <v>0</v>
      </c>
      <c r="O151" t="n">
        <v>0</v>
      </c>
      <c r="P151" t="n">
        <v>0</v>
      </c>
      <c r="Q151" t="n">
        <v>0</v>
      </c>
      <c r="R151" s="2" t="inlineStr"/>
    </row>
    <row r="152" ht="15" customHeight="1">
      <c r="A152" t="inlineStr">
        <is>
          <t>A 17353-2025</t>
        </is>
      </c>
      <c r="B152" s="1" t="n">
        <v>45756</v>
      </c>
      <c r="C152" s="1" t="n">
        <v>45836</v>
      </c>
      <c r="D152" t="inlineStr">
        <is>
          <t>STOCKHOLMS LÄN</t>
        </is>
      </c>
      <c r="E152" t="inlineStr">
        <is>
          <t>ÖSTERÅKER</t>
        </is>
      </c>
      <c r="F152" t="inlineStr">
        <is>
          <t>Övriga Aktiebolag</t>
        </is>
      </c>
      <c r="G152" t="n">
        <v>5.5</v>
      </c>
      <c r="H152" t="n">
        <v>0</v>
      </c>
      <c r="I152" t="n">
        <v>0</v>
      </c>
      <c r="J152" t="n">
        <v>0</v>
      </c>
      <c r="K152" t="n">
        <v>0</v>
      </c>
      <c r="L152" t="n">
        <v>0</v>
      </c>
      <c r="M152" t="n">
        <v>0</v>
      </c>
      <c r="N152" t="n">
        <v>0</v>
      </c>
      <c r="O152" t="n">
        <v>0</v>
      </c>
      <c r="P152" t="n">
        <v>0</v>
      </c>
      <c r="Q152" t="n">
        <v>0</v>
      </c>
      <c r="R152" s="2" t="inlineStr"/>
    </row>
    <row r="153" ht="15" customHeight="1">
      <c r="A153" t="inlineStr">
        <is>
          <t>A 21786-2025</t>
        </is>
      </c>
      <c r="B153" s="1" t="n">
        <v>45783</v>
      </c>
      <c r="C153" s="1" t="n">
        <v>45836</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ht="15" customHeight="1">
      <c r="A154" t="inlineStr">
        <is>
          <t>A 21796-2025</t>
        </is>
      </c>
      <c r="B154" s="1" t="n">
        <v>45783</v>
      </c>
      <c r="C154" s="1" t="n">
        <v>45836</v>
      </c>
      <c r="D154" t="inlineStr">
        <is>
          <t>STOCKHOLMS LÄN</t>
        </is>
      </c>
      <c r="E154" t="inlineStr">
        <is>
          <t>ÖSTERÅKER</t>
        </is>
      </c>
      <c r="G154" t="n">
        <v>2.5</v>
      </c>
      <c r="H154" t="n">
        <v>0</v>
      </c>
      <c r="I154" t="n">
        <v>0</v>
      </c>
      <c r="J154" t="n">
        <v>0</v>
      </c>
      <c r="K154" t="n">
        <v>0</v>
      </c>
      <c r="L154" t="n">
        <v>0</v>
      </c>
      <c r="M154" t="n">
        <v>0</v>
      </c>
      <c r="N154" t="n">
        <v>0</v>
      </c>
      <c r="O154" t="n">
        <v>0</v>
      </c>
      <c r="P154" t="n">
        <v>0</v>
      </c>
      <c r="Q154" t="n">
        <v>0</v>
      </c>
      <c r="R154" s="2" t="inlineStr"/>
    </row>
    <row r="155" ht="15" customHeight="1">
      <c r="A155" t="inlineStr">
        <is>
          <t>A 27137-2025</t>
        </is>
      </c>
      <c r="B155" s="1" t="n">
        <v>45812</v>
      </c>
      <c r="C155" s="1" t="n">
        <v>45836</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27948-2025</t>
        </is>
      </c>
      <c r="B156" s="1" t="n">
        <v>45817</v>
      </c>
      <c r="C156" s="1" t="n">
        <v>45836</v>
      </c>
      <c r="D156" t="inlineStr">
        <is>
          <t>STOCKHOLMS LÄN</t>
        </is>
      </c>
      <c r="E156" t="inlineStr">
        <is>
          <t>ÖSTERÅKER</t>
        </is>
      </c>
      <c r="G156" t="n">
        <v>5.6</v>
      </c>
      <c r="H156" t="n">
        <v>0</v>
      </c>
      <c r="I156" t="n">
        <v>0</v>
      </c>
      <c r="J156" t="n">
        <v>0</v>
      </c>
      <c r="K156" t="n">
        <v>0</v>
      </c>
      <c r="L156" t="n">
        <v>0</v>
      </c>
      <c r="M156" t="n">
        <v>0</v>
      </c>
      <c r="N156" t="n">
        <v>0</v>
      </c>
      <c r="O156" t="n">
        <v>0</v>
      </c>
      <c r="P156" t="n">
        <v>0</v>
      </c>
      <c r="Q156" t="n">
        <v>0</v>
      </c>
      <c r="R156" s="2" t="inlineStr"/>
    </row>
    <row r="157">
      <c r="A157" t="inlineStr">
        <is>
          <t>A 31456-2025</t>
        </is>
      </c>
      <c r="B157" s="1" t="n">
        <v>45833</v>
      </c>
      <c r="C157" s="1" t="n">
        <v>45836</v>
      </c>
      <c r="D157" t="inlineStr">
        <is>
          <t>STOCKHOLMS LÄN</t>
        </is>
      </c>
      <c r="E157" t="inlineStr">
        <is>
          <t>ÖSTERÅKER</t>
        </is>
      </c>
      <c r="G157" t="n">
        <v>4.3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2025-06-28T19:12:48Z</dcterms:created>
  <dcterms:modified xmlns:dcterms="http://purl.org/dc/terms/" xmlns:xsi="http://www.w3.org/2001/XMLSchema-instance" xsi:type="dcterms:W3CDTF">2025-06-28T19:12:48Z</dcterms:modified>
</cp:coreProperties>
</file>