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45936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45936</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45936</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45936</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36366-2025</t>
        </is>
      </c>
      <c r="B11" s="1" t="n">
        <v>45868</v>
      </c>
      <c r="C11" s="1" t="n">
        <v>45936</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54703-2024</t>
        </is>
      </c>
      <c r="B12" s="1" t="n">
        <v>45618</v>
      </c>
      <c r="C12" s="1" t="n">
        <v>45936</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34721-2025</t>
        </is>
      </c>
      <c r="B13" s="1" t="n">
        <v>45848</v>
      </c>
      <c r="C13" s="1" t="n">
        <v>45936</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43308-2024</t>
        </is>
      </c>
      <c r="B14" s="1" t="n">
        <v>45568</v>
      </c>
      <c r="C14" s="1" t="n">
        <v>45936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31523-2022</t>
        </is>
      </c>
      <c r="B15" s="1" t="n">
        <v>44775.22490740741</v>
      </c>
      <c r="C15" s="1" t="n">
        <v>45936</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45936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45936</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38968-2025</t>
        </is>
      </c>
      <c r="B18" s="1" t="n">
        <v>45887.70863425926</v>
      </c>
      <c r="C18" s="1" t="n">
        <v>45936</v>
      </c>
      <c r="D18" t="inlineStr">
        <is>
          <t>STOCKHOLMS LÄN</t>
        </is>
      </c>
      <c r="E18" t="inlineStr">
        <is>
          <t>ÖSTERÅKER</t>
        </is>
      </c>
      <c r="G18" t="n">
        <v>7.2</v>
      </c>
      <c r="H18" t="n">
        <v>0</v>
      </c>
      <c r="I18" t="n">
        <v>1</v>
      </c>
      <c r="J18" t="n">
        <v>0</v>
      </c>
      <c r="K18" t="n">
        <v>0</v>
      </c>
      <c r="L18" t="n">
        <v>0</v>
      </c>
      <c r="M18" t="n">
        <v>0</v>
      </c>
      <c r="N18" t="n">
        <v>0</v>
      </c>
      <c r="O18" t="n">
        <v>0</v>
      </c>
      <c r="P18" t="n">
        <v>0</v>
      </c>
      <c r="Q18" t="n">
        <v>1</v>
      </c>
      <c r="R18" s="2" t="inlineStr">
        <is>
          <t>Fjällig taggsvamp s.str.</t>
        </is>
      </c>
      <c r="S18">
        <f>HYPERLINK("https://klasma.github.io/Logging_0117/artfynd/A 38968-2025 artfynd.xlsx", "A 38968-2025")</f>
        <v/>
      </c>
      <c r="T18">
        <f>HYPERLINK("https://klasma.github.io/Logging_0117/kartor/A 38968-2025 karta.png", "A 38968-2025")</f>
        <v/>
      </c>
      <c r="V18">
        <f>HYPERLINK("https://klasma.github.io/Logging_0117/klagomål/A 38968-2025 FSC-klagomål.docx", "A 38968-2025")</f>
        <v/>
      </c>
      <c r="W18">
        <f>HYPERLINK("https://klasma.github.io/Logging_0117/klagomålsmail/A 38968-2025 FSC-klagomål mail.docx", "A 38968-2025")</f>
        <v/>
      </c>
      <c r="X18">
        <f>HYPERLINK("https://klasma.github.io/Logging_0117/tillsyn/A 38968-2025 tillsynsbegäran.docx", "A 38968-2025")</f>
        <v/>
      </c>
      <c r="Y18">
        <f>HYPERLINK("https://klasma.github.io/Logging_0117/tillsynsmail/A 38968-2025 tillsynsbegäran mail.docx", "A 38968-2025")</f>
        <v/>
      </c>
    </row>
    <row r="19" ht="15" customHeight="1">
      <c r="A19" t="inlineStr">
        <is>
          <t>A 3914-2023</t>
        </is>
      </c>
      <c r="B19" s="1" t="n">
        <v>44952.30934027778</v>
      </c>
      <c r="C19" s="1" t="n">
        <v>45936</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27921-2025</t>
        </is>
      </c>
      <c r="B20" s="1" t="n">
        <v>45817.4846875</v>
      </c>
      <c r="C20" s="1" t="n">
        <v>45936</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13942-2021</t>
        </is>
      </c>
      <c r="B21" s="1" t="n">
        <v>44277</v>
      </c>
      <c r="C21" s="1" t="n">
        <v>45936</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31716-2025</t>
        </is>
      </c>
      <c r="B22" s="1" t="n">
        <v>45834</v>
      </c>
      <c r="C22" s="1" t="n">
        <v>45936</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45936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45936</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45936</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45936</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45936</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45936</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45936</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45936</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28399-2022</t>
        </is>
      </c>
      <c r="B38" s="1" t="n">
        <v>44747</v>
      </c>
      <c r="C38" s="1" t="n">
        <v>45936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45936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45936</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45936</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61710-2022</t>
        </is>
      </c>
      <c r="B42" s="1" t="n">
        <v>44917</v>
      </c>
      <c r="C42" s="1" t="n">
        <v>45936</v>
      </c>
      <c r="D42" t="inlineStr">
        <is>
          <t>STOCKHOLMS LÄN</t>
        </is>
      </c>
      <c r="E42" t="inlineStr">
        <is>
          <t>ÖSTERÅKER</t>
        </is>
      </c>
      <c r="G42" t="n">
        <v>6.2</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45936</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3817-2023</t>
        </is>
      </c>
      <c r="B44" s="1" t="n">
        <v>44951</v>
      </c>
      <c r="C44" s="1" t="n">
        <v>45936</v>
      </c>
      <c r="D44" t="inlineStr">
        <is>
          <t>STOCKHOLMS LÄN</t>
        </is>
      </c>
      <c r="E44" t="inlineStr">
        <is>
          <t>ÖSTERÅKER</t>
        </is>
      </c>
      <c r="F44" t="inlineStr">
        <is>
          <t>Kommuner</t>
        </is>
      </c>
      <c r="G44" t="n">
        <v>4.7</v>
      </c>
      <c r="H44" t="n">
        <v>0</v>
      </c>
      <c r="I44" t="n">
        <v>0</v>
      </c>
      <c r="J44" t="n">
        <v>0</v>
      </c>
      <c r="K44" t="n">
        <v>0</v>
      </c>
      <c r="L44" t="n">
        <v>0</v>
      </c>
      <c r="M44" t="n">
        <v>0</v>
      </c>
      <c r="N44" t="n">
        <v>0</v>
      </c>
      <c r="O44" t="n">
        <v>0</v>
      </c>
      <c r="P44" t="n">
        <v>0</v>
      </c>
      <c r="Q44" t="n">
        <v>0</v>
      </c>
      <c r="R44" s="2" t="inlineStr"/>
    </row>
    <row r="45" ht="15" customHeight="1">
      <c r="A45" t="inlineStr">
        <is>
          <t>A 544-2023</t>
        </is>
      </c>
      <c r="B45" s="1" t="n">
        <v>44924</v>
      </c>
      <c r="C45" s="1" t="n">
        <v>45936</v>
      </c>
      <c r="D45" t="inlineStr">
        <is>
          <t>STOCKHOLMS LÄN</t>
        </is>
      </c>
      <c r="E45" t="inlineStr">
        <is>
          <t>ÖSTERÅKER</t>
        </is>
      </c>
      <c r="F45" t="inlineStr">
        <is>
          <t>Övriga Aktiebolag</t>
        </is>
      </c>
      <c r="G45" t="n">
        <v>0.9</v>
      </c>
      <c r="H45" t="n">
        <v>0</v>
      </c>
      <c r="I45" t="n">
        <v>0</v>
      </c>
      <c r="J45" t="n">
        <v>0</v>
      </c>
      <c r="K45" t="n">
        <v>0</v>
      </c>
      <c r="L45" t="n">
        <v>0</v>
      </c>
      <c r="M45" t="n">
        <v>0</v>
      </c>
      <c r="N45" t="n">
        <v>0</v>
      </c>
      <c r="O45" t="n">
        <v>0</v>
      </c>
      <c r="P45" t="n">
        <v>0</v>
      </c>
      <c r="Q45" t="n">
        <v>0</v>
      </c>
      <c r="R45" s="2" t="inlineStr"/>
    </row>
    <row r="46" ht="15" customHeight="1">
      <c r="A46" t="inlineStr">
        <is>
          <t>A 17173-2022</t>
        </is>
      </c>
      <c r="B46" s="1" t="n">
        <v>44677</v>
      </c>
      <c r="C46" s="1" t="n">
        <v>45936</v>
      </c>
      <c r="D46" t="inlineStr">
        <is>
          <t>STOCKHOLMS LÄN</t>
        </is>
      </c>
      <c r="E46" t="inlineStr">
        <is>
          <t>ÖSTERÅKER</t>
        </is>
      </c>
      <c r="G46" t="n">
        <v>2.8</v>
      </c>
      <c r="H46" t="n">
        <v>0</v>
      </c>
      <c r="I46" t="n">
        <v>0</v>
      </c>
      <c r="J46" t="n">
        <v>0</v>
      </c>
      <c r="K46" t="n">
        <v>0</v>
      </c>
      <c r="L46" t="n">
        <v>0</v>
      </c>
      <c r="M46" t="n">
        <v>0</v>
      </c>
      <c r="N46" t="n">
        <v>0</v>
      </c>
      <c r="O46" t="n">
        <v>0</v>
      </c>
      <c r="P46" t="n">
        <v>0</v>
      </c>
      <c r="Q46" t="n">
        <v>0</v>
      </c>
      <c r="R46" s="2" t="inlineStr"/>
    </row>
    <row r="47" ht="15" customHeight="1">
      <c r="A47" t="inlineStr">
        <is>
          <t>A 3326-2022</t>
        </is>
      </c>
      <c r="B47" s="1" t="n">
        <v>44583</v>
      </c>
      <c r="C47" s="1" t="n">
        <v>45936</v>
      </c>
      <c r="D47" t="inlineStr">
        <is>
          <t>STOCKHOLMS LÄN</t>
        </is>
      </c>
      <c r="E47" t="inlineStr">
        <is>
          <t>ÖSTERÅKER</t>
        </is>
      </c>
      <c r="F47" t="inlineStr">
        <is>
          <t>Övriga Aktiebolag</t>
        </is>
      </c>
      <c r="G47" t="n">
        <v>2.7</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45936</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45936</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45936</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36614-2025</t>
        </is>
      </c>
      <c r="B51" s="1" t="n">
        <v>45870</v>
      </c>
      <c r="C51" s="1" t="n">
        <v>45936</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37037-2023</t>
        </is>
      </c>
      <c r="B52" s="1" t="n">
        <v>45155</v>
      </c>
      <c r="C52" s="1" t="n">
        <v>45936</v>
      </c>
      <c r="D52" t="inlineStr">
        <is>
          <t>STOCKHOLMS LÄN</t>
        </is>
      </c>
      <c r="E52" t="inlineStr">
        <is>
          <t>ÖSTERÅKER</t>
        </is>
      </c>
      <c r="G52" t="n">
        <v>2</v>
      </c>
      <c r="H52" t="n">
        <v>0</v>
      </c>
      <c r="I52" t="n">
        <v>0</v>
      </c>
      <c r="J52" t="n">
        <v>0</v>
      </c>
      <c r="K52" t="n">
        <v>0</v>
      </c>
      <c r="L52" t="n">
        <v>0</v>
      </c>
      <c r="M52" t="n">
        <v>0</v>
      </c>
      <c r="N52" t="n">
        <v>0</v>
      </c>
      <c r="O52" t="n">
        <v>0</v>
      </c>
      <c r="P52" t="n">
        <v>0</v>
      </c>
      <c r="Q52" t="n">
        <v>0</v>
      </c>
      <c r="R52" s="2" t="inlineStr"/>
    </row>
    <row r="53" ht="15" customHeight="1">
      <c r="A53" t="inlineStr">
        <is>
          <t>A 36612-2025</t>
        </is>
      </c>
      <c r="B53" s="1" t="n">
        <v>45870</v>
      </c>
      <c r="C53" s="1" t="n">
        <v>45936</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13366-2024</t>
        </is>
      </c>
      <c r="B54" s="1" t="n">
        <v>45387</v>
      </c>
      <c r="C54" s="1" t="n">
        <v>45936</v>
      </c>
      <c r="D54" t="inlineStr">
        <is>
          <t>STOCKHOLMS LÄN</t>
        </is>
      </c>
      <c r="E54" t="inlineStr">
        <is>
          <t>ÖSTERÅKER</t>
        </is>
      </c>
      <c r="G54" t="n">
        <v>13.7</v>
      </c>
      <c r="H54" t="n">
        <v>0</v>
      </c>
      <c r="I54" t="n">
        <v>0</v>
      </c>
      <c r="J54" t="n">
        <v>0</v>
      </c>
      <c r="K54" t="n">
        <v>0</v>
      </c>
      <c r="L54" t="n">
        <v>0</v>
      </c>
      <c r="M54" t="n">
        <v>0</v>
      </c>
      <c r="N54" t="n">
        <v>0</v>
      </c>
      <c r="O54" t="n">
        <v>0</v>
      </c>
      <c r="P54" t="n">
        <v>0</v>
      </c>
      <c r="Q54" t="n">
        <v>0</v>
      </c>
      <c r="R54" s="2" t="inlineStr"/>
    </row>
    <row r="55" ht="15" customHeight="1">
      <c r="A55" t="inlineStr">
        <is>
          <t>A 3828-2023</t>
        </is>
      </c>
      <c r="B55" s="1" t="n">
        <v>44951</v>
      </c>
      <c r="C55" s="1" t="n">
        <v>45936</v>
      </c>
      <c r="D55" t="inlineStr">
        <is>
          <t>STOCKHOLMS LÄN</t>
        </is>
      </c>
      <c r="E55" t="inlineStr">
        <is>
          <t>ÖSTERÅKER</t>
        </is>
      </c>
      <c r="F55" t="inlineStr">
        <is>
          <t>Kommuner</t>
        </is>
      </c>
      <c r="G55" t="n">
        <v>3.2</v>
      </c>
      <c r="H55" t="n">
        <v>0</v>
      </c>
      <c r="I55" t="n">
        <v>0</v>
      </c>
      <c r="J55" t="n">
        <v>0</v>
      </c>
      <c r="K55" t="n">
        <v>0</v>
      </c>
      <c r="L55" t="n">
        <v>0</v>
      </c>
      <c r="M55" t="n">
        <v>0</v>
      </c>
      <c r="N55" t="n">
        <v>0</v>
      </c>
      <c r="O55" t="n">
        <v>0</v>
      </c>
      <c r="P55" t="n">
        <v>0</v>
      </c>
      <c r="Q55" t="n">
        <v>0</v>
      </c>
      <c r="R55" s="2" t="inlineStr"/>
    </row>
    <row r="56" ht="15" customHeight="1">
      <c r="A56" t="inlineStr">
        <is>
          <t>A 28143-2024</t>
        </is>
      </c>
      <c r="B56" s="1" t="n">
        <v>45476</v>
      </c>
      <c r="C56" s="1" t="n">
        <v>45936</v>
      </c>
      <c r="D56" t="inlineStr">
        <is>
          <t>STOCKHOLMS LÄN</t>
        </is>
      </c>
      <c r="E56" t="inlineStr">
        <is>
          <t>ÖSTERÅKER</t>
        </is>
      </c>
      <c r="F56" t="inlineStr">
        <is>
          <t>Övriga Aktiebolag</t>
        </is>
      </c>
      <c r="G56" t="n">
        <v>2.2</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45936</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59379-2022</t>
        </is>
      </c>
      <c r="B58" s="1" t="n">
        <v>44905</v>
      </c>
      <c r="C58" s="1" t="n">
        <v>45936</v>
      </c>
      <c r="D58" t="inlineStr">
        <is>
          <t>STOCKHOLMS LÄN</t>
        </is>
      </c>
      <c r="E58" t="inlineStr">
        <is>
          <t>ÖSTERÅKER</t>
        </is>
      </c>
      <c r="F58" t="inlineStr">
        <is>
          <t>Kommuner</t>
        </is>
      </c>
      <c r="G58" t="n">
        <v>4.7</v>
      </c>
      <c r="H58" t="n">
        <v>0</v>
      </c>
      <c r="I58" t="n">
        <v>0</v>
      </c>
      <c r="J58" t="n">
        <v>0</v>
      </c>
      <c r="K58" t="n">
        <v>0</v>
      </c>
      <c r="L58" t="n">
        <v>0</v>
      </c>
      <c r="M58" t="n">
        <v>0</v>
      </c>
      <c r="N58" t="n">
        <v>0</v>
      </c>
      <c r="O58" t="n">
        <v>0</v>
      </c>
      <c r="P58" t="n">
        <v>0</v>
      </c>
      <c r="Q58" t="n">
        <v>0</v>
      </c>
      <c r="R58" s="2" t="inlineStr"/>
    </row>
    <row r="59" ht="15" customHeight="1">
      <c r="A59" t="inlineStr">
        <is>
          <t>A 46688-2022</t>
        </is>
      </c>
      <c r="B59" s="1" t="n">
        <v>44851</v>
      </c>
      <c r="C59" s="1" t="n">
        <v>45936</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33158-2024</t>
        </is>
      </c>
      <c r="B60" s="1" t="n">
        <v>45518</v>
      </c>
      <c r="C60" s="1" t="n">
        <v>45936</v>
      </c>
      <c r="D60" t="inlineStr">
        <is>
          <t>STOCKHOLMS LÄN</t>
        </is>
      </c>
      <c r="E60" t="inlineStr">
        <is>
          <t>ÖSTERÅKER</t>
        </is>
      </c>
      <c r="G60" t="n">
        <v>1.6</v>
      </c>
      <c r="H60" t="n">
        <v>0</v>
      </c>
      <c r="I60" t="n">
        <v>0</v>
      </c>
      <c r="J60" t="n">
        <v>0</v>
      </c>
      <c r="K60" t="n">
        <v>0</v>
      </c>
      <c r="L60" t="n">
        <v>0</v>
      </c>
      <c r="M60" t="n">
        <v>0</v>
      </c>
      <c r="N60" t="n">
        <v>0</v>
      </c>
      <c r="O60" t="n">
        <v>0</v>
      </c>
      <c r="P60" t="n">
        <v>0</v>
      </c>
      <c r="Q60" t="n">
        <v>0</v>
      </c>
      <c r="R60" s="2" t="inlineStr"/>
    </row>
    <row r="61" ht="15" customHeight="1">
      <c r="A61" t="inlineStr">
        <is>
          <t>A 16738-2022</t>
        </is>
      </c>
      <c r="B61" s="1" t="n">
        <v>44673</v>
      </c>
      <c r="C61" s="1" t="n">
        <v>45936</v>
      </c>
      <c r="D61" t="inlineStr">
        <is>
          <t>STOCKHOLMS LÄN</t>
        </is>
      </c>
      <c r="E61" t="inlineStr">
        <is>
          <t>ÖSTERÅKER</t>
        </is>
      </c>
      <c r="G61" t="n">
        <v>1.1</v>
      </c>
      <c r="H61" t="n">
        <v>0</v>
      </c>
      <c r="I61" t="n">
        <v>0</v>
      </c>
      <c r="J61" t="n">
        <v>0</v>
      </c>
      <c r="K61" t="n">
        <v>0</v>
      </c>
      <c r="L61" t="n">
        <v>0</v>
      </c>
      <c r="M61" t="n">
        <v>0</v>
      </c>
      <c r="N61" t="n">
        <v>0</v>
      </c>
      <c r="O61" t="n">
        <v>0</v>
      </c>
      <c r="P61" t="n">
        <v>0</v>
      </c>
      <c r="Q61" t="n">
        <v>0</v>
      </c>
      <c r="R61" s="2" t="inlineStr"/>
    </row>
    <row r="62" ht="15" customHeight="1">
      <c r="A62" t="inlineStr">
        <is>
          <t>A 14776-2024</t>
        </is>
      </c>
      <c r="B62" s="1" t="n">
        <v>45397</v>
      </c>
      <c r="C62" s="1" t="n">
        <v>45936</v>
      </c>
      <c r="D62" t="inlineStr">
        <is>
          <t>STOCKHOLMS LÄN</t>
        </is>
      </c>
      <c r="E62" t="inlineStr">
        <is>
          <t>ÖSTERÅKER</t>
        </is>
      </c>
      <c r="G62" t="n">
        <v>13.6</v>
      </c>
      <c r="H62" t="n">
        <v>0</v>
      </c>
      <c r="I62" t="n">
        <v>0</v>
      </c>
      <c r="J62" t="n">
        <v>0</v>
      </c>
      <c r="K62" t="n">
        <v>0</v>
      </c>
      <c r="L62" t="n">
        <v>0</v>
      </c>
      <c r="M62" t="n">
        <v>0</v>
      </c>
      <c r="N62" t="n">
        <v>0</v>
      </c>
      <c r="O62" t="n">
        <v>0</v>
      </c>
      <c r="P62" t="n">
        <v>0</v>
      </c>
      <c r="Q62" t="n">
        <v>0</v>
      </c>
      <c r="R62" s="2" t="inlineStr"/>
    </row>
    <row r="63" ht="15" customHeight="1">
      <c r="A63" t="inlineStr">
        <is>
          <t>A 17196-2022</t>
        </is>
      </c>
      <c r="B63" s="1" t="n">
        <v>44677</v>
      </c>
      <c r="C63" s="1" t="n">
        <v>45936</v>
      </c>
      <c r="D63" t="inlineStr">
        <is>
          <t>STOCKHOLMS LÄN</t>
        </is>
      </c>
      <c r="E63" t="inlineStr">
        <is>
          <t>ÖSTERÅKER</t>
        </is>
      </c>
      <c r="G63" t="n">
        <v>5.9</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45936</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62108-2022</t>
        </is>
      </c>
      <c r="B65" s="1" t="n">
        <v>44920</v>
      </c>
      <c r="C65" s="1" t="n">
        <v>45936</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9865-2025</t>
        </is>
      </c>
      <c r="B66" s="1" t="n">
        <v>45716</v>
      </c>
      <c r="C66" s="1" t="n">
        <v>45936</v>
      </c>
      <c r="D66" t="inlineStr">
        <is>
          <t>STOCKHOLMS LÄN</t>
        </is>
      </c>
      <c r="E66" t="inlineStr">
        <is>
          <t>ÖSTERÅKER</t>
        </is>
      </c>
      <c r="G66" t="n">
        <v>7</v>
      </c>
      <c r="H66" t="n">
        <v>0</v>
      </c>
      <c r="I66" t="n">
        <v>0</v>
      </c>
      <c r="J66" t="n">
        <v>0</v>
      </c>
      <c r="K66" t="n">
        <v>0</v>
      </c>
      <c r="L66" t="n">
        <v>0</v>
      </c>
      <c r="M66" t="n">
        <v>0</v>
      </c>
      <c r="N66" t="n">
        <v>0</v>
      </c>
      <c r="O66" t="n">
        <v>0</v>
      </c>
      <c r="P66" t="n">
        <v>0</v>
      </c>
      <c r="Q66" t="n">
        <v>0</v>
      </c>
      <c r="R66" s="2" t="inlineStr"/>
    </row>
    <row r="67" ht="15" customHeight="1">
      <c r="A67" t="inlineStr">
        <is>
          <t>A 39394-2023</t>
        </is>
      </c>
      <c r="B67" s="1" t="n">
        <v>45166</v>
      </c>
      <c r="C67" s="1" t="n">
        <v>45936</v>
      </c>
      <c r="D67" t="inlineStr">
        <is>
          <t>STOCKHOLMS LÄN</t>
        </is>
      </c>
      <c r="E67" t="inlineStr">
        <is>
          <t>ÖSTERÅKER</t>
        </is>
      </c>
      <c r="G67" t="n">
        <v>0.4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45936</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45936</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17353-2025</t>
        </is>
      </c>
      <c r="B70" s="1" t="n">
        <v>45756</v>
      </c>
      <c r="C70" s="1" t="n">
        <v>45936</v>
      </c>
      <c r="D70" t="inlineStr">
        <is>
          <t>STOCKHOLMS LÄN</t>
        </is>
      </c>
      <c r="E70" t="inlineStr">
        <is>
          <t>ÖSTERÅKER</t>
        </is>
      </c>
      <c r="F70" t="inlineStr">
        <is>
          <t>Övriga Aktiebolag</t>
        </is>
      </c>
      <c r="G70" t="n">
        <v>5.5</v>
      </c>
      <c r="H70" t="n">
        <v>0</v>
      </c>
      <c r="I70" t="n">
        <v>0</v>
      </c>
      <c r="J70" t="n">
        <v>0</v>
      </c>
      <c r="K70" t="n">
        <v>0</v>
      </c>
      <c r="L70" t="n">
        <v>0</v>
      </c>
      <c r="M70" t="n">
        <v>0</v>
      </c>
      <c r="N70" t="n">
        <v>0</v>
      </c>
      <c r="O70" t="n">
        <v>0</v>
      </c>
      <c r="P70" t="n">
        <v>0</v>
      </c>
      <c r="Q70" t="n">
        <v>0</v>
      </c>
      <c r="R70" s="2" t="inlineStr"/>
    </row>
    <row r="71" ht="15" customHeight="1">
      <c r="A71" t="inlineStr">
        <is>
          <t>A 61360-2022</t>
        </is>
      </c>
      <c r="B71" s="1" t="n">
        <v>44915</v>
      </c>
      <c r="C71" s="1" t="n">
        <v>45936</v>
      </c>
      <c r="D71" t="inlineStr">
        <is>
          <t>STOCKHOLMS LÄN</t>
        </is>
      </c>
      <c r="E71" t="inlineStr">
        <is>
          <t>ÖSTERÅKER</t>
        </is>
      </c>
      <c r="G71" t="n">
        <v>2.3</v>
      </c>
      <c r="H71" t="n">
        <v>0</v>
      </c>
      <c r="I71" t="n">
        <v>0</v>
      </c>
      <c r="J71" t="n">
        <v>0</v>
      </c>
      <c r="K71" t="n">
        <v>0</v>
      </c>
      <c r="L71" t="n">
        <v>0</v>
      </c>
      <c r="M71" t="n">
        <v>0</v>
      </c>
      <c r="N71" t="n">
        <v>0</v>
      </c>
      <c r="O71" t="n">
        <v>0</v>
      </c>
      <c r="P71" t="n">
        <v>0</v>
      </c>
      <c r="Q71" t="n">
        <v>0</v>
      </c>
      <c r="R71" s="2" t="inlineStr"/>
    </row>
    <row r="72" ht="15" customHeight="1">
      <c r="A72" t="inlineStr">
        <is>
          <t>A 61323-2022</t>
        </is>
      </c>
      <c r="B72" s="1" t="n">
        <v>44915</v>
      </c>
      <c r="C72" s="1" t="n">
        <v>45936</v>
      </c>
      <c r="D72" t="inlineStr">
        <is>
          <t>STOCKHOLMS LÄN</t>
        </is>
      </c>
      <c r="E72" t="inlineStr">
        <is>
          <t>ÖSTERÅKER</t>
        </is>
      </c>
      <c r="G72" t="n">
        <v>2.7</v>
      </c>
      <c r="H72" t="n">
        <v>0</v>
      </c>
      <c r="I72" t="n">
        <v>0</v>
      </c>
      <c r="J72" t="n">
        <v>0</v>
      </c>
      <c r="K72" t="n">
        <v>0</v>
      </c>
      <c r="L72" t="n">
        <v>0</v>
      </c>
      <c r="M72" t="n">
        <v>0</v>
      </c>
      <c r="N72" t="n">
        <v>0</v>
      </c>
      <c r="O72" t="n">
        <v>0</v>
      </c>
      <c r="P72" t="n">
        <v>0</v>
      </c>
      <c r="Q72" t="n">
        <v>0</v>
      </c>
      <c r="R72" s="2" t="inlineStr"/>
    </row>
    <row r="73" ht="15" customHeight="1">
      <c r="A73" t="inlineStr">
        <is>
          <t>A 37244-2024</t>
        </is>
      </c>
      <c r="B73" s="1" t="n">
        <v>45540</v>
      </c>
      <c r="C73" s="1" t="n">
        <v>45936</v>
      </c>
      <c r="D73" t="inlineStr">
        <is>
          <t>STOCKHOLMS LÄN</t>
        </is>
      </c>
      <c r="E73" t="inlineStr">
        <is>
          <t>ÖSTERÅKER</t>
        </is>
      </c>
      <c r="G73" t="n">
        <v>2.6</v>
      </c>
      <c r="H73" t="n">
        <v>0</v>
      </c>
      <c r="I73" t="n">
        <v>0</v>
      </c>
      <c r="J73" t="n">
        <v>0</v>
      </c>
      <c r="K73" t="n">
        <v>0</v>
      </c>
      <c r="L73" t="n">
        <v>0</v>
      </c>
      <c r="M73" t="n">
        <v>0</v>
      </c>
      <c r="N73" t="n">
        <v>0</v>
      </c>
      <c r="O73" t="n">
        <v>0</v>
      </c>
      <c r="P73" t="n">
        <v>0</v>
      </c>
      <c r="Q73" t="n">
        <v>0</v>
      </c>
      <c r="R73" s="2" t="inlineStr"/>
    </row>
    <row r="74" ht="15" customHeight="1">
      <c r="A74" t="inlineStr">
        <is>
          <t>A 23144-2024</t>
        </is>
      </c>
      <c r="B74" s="1" t="n">
        <v>45450.63202546296</v>
      </c>
      <c r="C74" s="1" t="n">
        <v>45936</v>
      </c>
      <c r="D74" t="inlineStr">
        <is>
          <t>STOCKHOLMS LÄN</t>
        </is>
      </c>
      <c r="E74" t="inlineStr">
        <is>
          <t>ÖSTERÅKER</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22080-2024</t>
        </is>
      </c>
      <c r="B75" s="1" t="n">
        <v>45443.64962962963</v>
      </c>
      <c r="C75" s="1" t="n">
        <v>45936</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34713-2025</t>
        </is>
      </c>
      <c r="B76" s="1" t="n">
        <v>45848</v>
      </c>
      <c r="C76" s="1" t="n">
        <v>45936</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21796-2025</t>
        </is>
      </c>
      <c r="B77" s="1" t="n">
        <v>45783.68135416666</v>
      </c>
      <c r="C77" s="1" t="n">
        <v>45936</v>
      </c>
      <c r="D77" t="inlineStr">
        <is>
          <t>STOCKHOLMS LÄN</t>
        </is>
      </c>
      <c r="E77" t="inlineStr">
        <is>
          <t>ÖSTERÅKER</t>
        </is>
      </c>
      <c r="G77" t="n">
        <v>2.5</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45936</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16728-2022</t>
        </is>
      </c>
      <c r="B79" s="1" t="n">
        <v>44673</v>
      </c>
      <c r="C79" s="1" t="n">
        <v>45936</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13118-2021</t>
        </is>
      </c>
      <c r="B80" s="1" t="n">
        <v>44272</v>
      </c>
      <c r="C80" s="1" t="n">
        <v>45936</v>
      </c>
      <c r="D80" t="inlineStr">
        <is>
          <t>STOCKHOLMS LÄN</t>
        </is>
      </c>
      <c r="E80" t="inlineStr">
        <is>
          <t>ÖSTERÅKER</t>
        </is>
      </c>
      <c r="F80" t="inlineStr">
        <is>
          <t>Kyrkan</t>
        </is>
      </c>
      <c r="G80" t="n">
        <v>4</v>
      </c>
      <c r="H80" t="n">
        <v>0</v>
      </c>
      <c r="I80" t="n">
        <v>0</v>
      </c>
      <c r="J80" t="n">
        <v>0</v>
      </c>
      <c r="K80" t="n">
        <v>0</v>
      </c>
      <c r="L80" t="n">
        <v>0</v>
      </c>
      <c r="M80" t="n">
        <v>0</v>
      </c>
      <c r="N80" t="n">
        <v>0</v>
      </c>
      <c r="O80" t="n">
        <v>0</v>
      </c>
      <c r="P80" t="n">
        <v>0</v>
      </c>
      <c r="Q80" t="n">
        <v>0</v>
      </c>
      <c r="R80" s="2" t="inlineStr"/>
    </row>
    <row r="81" ht="15" customHeight="1">
      <c r="A81" t="inlineStr">
        <is>
          <t>A 1136-2023</t>
        </is>
      </c>
      <c r="B81" s="1" t="n">
        <v>44935</v>
      </c>
      <c r="C81" s="1" t="n">
        <v>45936</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45936</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45936</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45936</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45936</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45936</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45936</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27948-2025</t>
        </is>
      </c>
      <c r="B88" s="1" t="n">
        <v>45817.52460648148</v>
      </c>
      <c r="C88" s="1" t="n">
        <v>45936</v>
      </c>
      <c r="D88" t="inlineStr">
        <is>
          <t>STOCKHOLMS LÄN</t>
        </is>
      </c>
      <c r="E88" t="inlineStr">
        <is>
          <t>ÖSTERÅKER</t>
        </is>
      </c>
      <c r="G88" t="n">
        <v>5.6</v>
      </c>
      <c r="H88" t="n">
        <v>0</v>
      </c>
      <c r="I88" t="n">
        <v>0</v>
      </c>
      <c r="J88" t="n">
        <v>0</v>
      </c>
      <c r="K88" t="n">
        <v>0</v>
      </c>
      <c r="L88" t="n">
        <v>0</v>
      </c>
      <c r="M88" t="n">
        <v>0</v>
      </c>
      <c r="N88" t="n">
        <v>0</v>
      </c>
      <c r="O88" t="n">
        <v>0</v>
      </c>
      <c r="P88" t="n">
        <v>0</v>
      </c>
      <c r="Q88" t="n">
        <v>0</v>
      </c>
      <c r="R88" s="2" t="inlineStr"/>
    </row>
    <row r="89" ht="15" customHeight="1">
      <c r="A89" t="inlineStr">
        <is>
          <t>A 464-2022</t>
        </is>
      </c>
      <c r="B89" s="1" t="n">
        <v>44565</v>
      </c>
      <c r="C89" s="1" t="n">
        <v>45936</v>
      </c>
      <c r="D89" t="inlineStr">
        <is>
          <t>STOCKHOLMS LÄN</t>
        </is>
      </c>
      <c r="E89" t="inlineStr">
        <is>
          <t>ÖSTERÅKER</t>
        </is>
      </c>
      <c r="F89" t="inlineStr">
        <is>
          <t>Övriga Aktiebolag</t>
        </is>
      </c>
      <c r="G89" t="n">
        <v>7.6</v>
      </c>
      <c r="H89" t="n">
        <v>0</v>
      </c>
      <c r="I89" t="n">
        <v>0</v>
      </c>
      <c r="J89" t="n">
        <v>0</v>
      </c>
      <c r="K89" t="n">
        <v>0</v>
      </c>
      <c r="L89" t="n">
        <v>0</v>
      </c>
      <c r="M89" t="n">
        <v>0</v>
      </c>
      <c r="N89" t="n">
        <v>0</v>
      </c>
      <c r="O89" t="n">
        <v>0</v>
      </c>
      <c r="P89" t="n">
        <v>0</v>
      </c>
      <c r="Q89" t="n">
        <v>0</v>
      </c>
      <c r="R89" s="2" t="inlineStr"/>
    </row>
    <row r="90" ht="15" customHeight="1">
      <c r="A90" t="inlineStr">
        <is>
          <t>A 845-2024</t>
        </is>
      </c>
      <c r="B90" s="1" t="n">
        <v>45300.91423611111</v>
      </c>
      <c r="C90" s="1" t="n">
        <v>45936</v>
      </c>
      <c r="D90" t="inlineStr">
        <is>
          <t>STOCKHOLMS LÄN</t>
        </is>
      </c>
      <c r="E90" t="inlineStr">
        <is>
          <t>ÖSTERÅKER</t>
        </is>
      </c>
      <c r="G90" t="n">
        <v>10.1</v>
      </c>
      <c r="H90" t="n">
        <v>0</v>
      </c>
      <c r="I90" t="n">
        <v>0</v>
      </c>
      <c r="J90" t="n">
        <v>0</v>
      </c>
      <c r="K90" t="n">
        <v>0</v>
      </c>
      <c r="L90" t="n">
        <v>0</v>
      </c>
      <c r="M90" t="n">
        <v>0</v>
      </c>
      <c r="N90" t="n">
        <v>0</v>
      </c>
      <c r="O90" t="n">
        <v>0</v>
      </c>
      <c r="P90" t="n">
        <v>0</v>
      </c>
      <c r="Q90" t="n">
        <v>0</v>
      </c>
      <c r="R90" s="2" t="inlineStr"/>
    </row>
    <row r="91" ht="15" customHeight="1">
      <c r="A91" t="inlineStr">
        <is>
          <t>A 31134-2023</t>
        </is>
      </c>
      <c r="B91" s="1" t="n">
        <v>45113</v>
      </c>
      <c r="C91" s="1" t="n">
        <v>45936</v>
      </c>
      <c r="D91" t="inlineStr">
        <is>
          <t>STOCKHOLMS LÄN</t>
        </is>
      </c>
      <c r="E91" t="inlineStr">
        <is>
          <t>ÖSTERÅKER</t>
        </is>
      </c>
      <c r="G91" t="n">
        <v>2.1</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45936</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45936</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34038-2025</t>
        </is>
      </c>
      <c r="B94" s="1" t="n">
        <v>45842</v>
      </c>
      <c r="C94" s="1" t="n">
        <v>45936</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34079-2025</t>
        </is>
      </c>
      <c r="B95" s="1" t="n">
        <v>45842</v>
      </c>
      <c r="C95" s="1" t="n">
        <v>45936</v>
      </c>
      <c r="D95" t="inlineStr">
        <is>
          <t>STOCKHOLMS LÄN</t>
        </is>
      </c>
      <c r="E95" t="inlineStr">
        <is>
          <t>ÖSTERÅKER</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45936</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34034-2025</t>
        </is>
      </c>
      <c r="B97" s="1" t="n">
        <v>45842</v>
      </c>
      <c r="C97" s="1" t="n">
        <v>45936</v>
      </c>
      <c r="D97" t="inlineStr">
        <is>
          <t>STOCKHOLMS LÄN</t>
        </is>
      </c>
      <c r="E97" t="inlineStr">
        <is>
          <t>ÖSTERÅKER</t>
        </is>
      </c>
      <c r="F97" t="inlineStr">
        <is>
          <t>Övriga Aktiebolag</t>
        </is>
      </c>
      <c r="G97" t="n">
        <v>3.9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45936</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45936</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45936</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24499-2023</t>
        </is>
      </c>
      <c r="B101" s="1" t="n">
        <v>45082</v>
      </c>
      <c r="C101" s="1" t="n">
        <v>45936</v>
      </c>
      <c r="D101" t="inlineStr">
        <is>
          <t>STOCKHOLMS LÄN</t>
        </is>
      </c>
      <c r="E101" t="inlineStr">
        <is>
          <t>ÖSTERÅKER</t>
        </is>
      </c>
      <c r="G101" t="n">
        <v>0.1</v>
      </c>
      <c r="H101" t="n">
        <v>0</v>
      </c>
      <c r="I101" t="n">
        <v>0</v>
      </c>
      <c r="J101" t="n">
        <v>0</v>
      </c>
      <c r="K101" t="n">
        <v>0</v>
      </c>
      <c r="L101" t="n">
        <v>0</v>
      </c>
      <c r="M101" t="n">
        <v>0</v>
      </c>
      <c r="N101" t="n">
        <v>0</v>
      </c>
      <c r="O101" t="n">
        <v>0</v>
      </c>
      <c r="P101" t="n">
        <v>0</v>
      </c>
      <c r="Q101" t="n">
        <v>0</v>
      </c>
      <c r="R101" s="2" t="inlineStr"/>
    </row>
    <row r="102" ht="15" customHeight="1">
      <c r="A102" t="inlineStr">
        <is>
          <t>A 35819-2025</t>
        </is>
      </c>
      <c r="B102" s="1" t="n">
        <v>45861</v>
      </c>
      <c r="C102" s="1" t="n">
        <v>45936</v>
      </c>
      <c r="D102" t="inlineStr">
        <is>
          <t>STOCKHOLMS LÄN</t>
        </is>
      </c>
      <c r="E102" t="inlineStr">
        <is>
          <t>ÖSTERÅKER</t>
        </is>
      </c>
      <c r="F102" t="inlineStr">
        <is>
          <t>Övriga Aktiebolag</t>
        </is>
      </c>
      <c r="G102" t="n">
        <v>8</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45936</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45936</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45936</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c r="A106" t="inlineStr">
        <is>
          <t>A 5286-2025</t>
        </is>
      </c>
      <c r="B106" s="1" t="n">
        <v>45692.44144675926</v>
      </c>
      <c r="C106" s="1" t="n">
        <v>45936</v>
      </c>
      <c r="D106" t="inlineStr">
        <is>
          <t>STOCKHOLMS LÄN</t>
        </is>
      </c>
      <c r="E106" t="inlineStr">
        <is>
          <t>ÖSTERÅKER</t>
        </is>
      </c>
      <c r="G106" t="n">
        <v>11.2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2025-10-06T12:37:47Z</dcterms:created>
  <dcterms:modified xmlns:dcterms="http://purl.org/dc/terms/" xmlns:xsi="http://www.w3.org/2001/XMLSchema-instance" xsi:type="dcterms:W3CDTF">2025-10-06T12:37:47Z</dcterms:modified>
</cp:coreProperties>
</file>