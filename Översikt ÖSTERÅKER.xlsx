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46319</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46319</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46319</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46319</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46319</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46319</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46319</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62578-2025</t>
        </is>
      </c>
      <c r="B13" t="inlineStr">
        <is>
          <t>avverkningsanmälan</t>
        </is>
      </c>
      <c r="C13" t="inlineStr">
        <is>
          <t>Föryngringsavverkning</t>
        </is>
      </c>
      <c r="D13" s="1" t="n">
        <v>46007</v>
      </c>
      <c r="E13" s="1" t="n">
        <v>46319</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46319</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46319</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46319</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46319</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46319</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30949-2024</t>
        </is>
      </c>
      <c r="B19" t="inlineStr">
        <is>
          <t>avverkningsanmälan</t>
        </is>
      </c>
      <c r="C19" t="inlineStr">
        <is>
          <t>Föryngringsavverkning</t>
        </is>
      </c>
      <c r="D19" s="1" t="n">
        <v>45499</v>
      </c>
      <c r="E19" s="1" t="n">
        <v>46319</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43308-2024</t>
        </is>
      </c>
      <c r="B20" t="inlineStr">
        <is>
          <t>avverkningsanmälan</t>
        </is>
      </c>
      <c r="C20" t="inlineStr">
        <is>
          <t>Föryngringsavverkning</t>
        </is>
      </c>
      <c r="D20" s="1" t="n">
        <v>45568</v>
      </c>
      <c r="E20" s="1" t="n">
        <v>46319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46319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67265-2021</t>
        </is>
      </c>
      <c r="B22" t="inlineStr">
        <is>
          <t>avverkningsanmälan</t>
        </is>
      </c>
      <c r="C22" t="inlineStr">
        <is>
          <t>Föryngringsavverkning</t>
        </is>
      </c>
      <c r="D22" s="1" t="n">
        <v>44523</v>
      </c>
      <c r="E22" s="1" t="n">
        <v>46319</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31716-2025</t>
        </is>
      </c>
      <c r="B23" t="inlineStr">
        <is>
          <t>avverkningsanmälan</t>
        </is>
      </c>
      <c r="C23" t="inlineStr">
        <is>
          <t>Föryngringsavverkning</t>
        </is>
      </c>
      <c r="D23" s="1" t="n">
        <v>45834</v>
      </c>
      <c r="E23" s="1" t="n">
        <v>46319</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46319</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61323-2022</t>
        </is>
      </c>
      <c r="B25" t="inlineStr">
        <is>
          <t>avverkningsanmälan</t>
        </is>
      </c>
      <c r="C25" t="inlineStr">
        <is>
          <t>Föryngringsavverkning</t>
        </is>
      </c>
      <c r="D25" s="1" t="n">
        <v>44915</v>
      </c>
      <c r="E25" s="1" t="n">
        <v>46319</v>
      </c>
      <c r="F25" t="inlineStr">
        <is>
          <t>STOCKHOLMS LÄN</t>
        </is>
      </c>
      <c r="G25" t="inlineStr">
        <is>
          <t>ÖSTERÅKER</t>
        </is>
      </c>
      <c r="I25" t="n">
        <v>2.7</v>
      </c>
      <c r="J25" t="n">
        <v>0</v>
      </c>
      <c r="K25" t="n">
        <v>0</v>
      </c>
      <c r="L25" t="n">
        <v>0</v>
      </c>
      <c r="M25" t="n">
        <v>1</v>
      </c>
      <c r="N25" t="n">
        <v>0</v>
      </c>
      <c r="O25" t="n">
        <v>0</v>
      </c>
      <c r="P25" t="n">
        <v>0</v>
      </c>
      <c r="Q25" t="n">
        <v>1</v>
      </c>
      <c r="R25" t="n">
        <v>1</v>
      </c>
      <c r="S25" t="n">
        <v>1</v>
      </c>
      <c r="T25" t="n">
        <v>1</v>
      </c>
      <c r="U25" t="n">
        <v>1</v>
      </c>
      <c r="V25" s="2" t="inlineStr">
        <is>
          <t>Gulvit blekspik</t>
        </is>
      </c>
      <c r="W25">
        <f>HYPERLINK("https://klasma.github.io/Logging_0117/artfynd/A 61323-2022 artfynd.xlsx", "A 61323-2022")</f>
        <v/>
      </c>
      <c r="X25">
        <f>HYPERLINK("https://klasma.github.io/Logging_0117/kartor/A 61323-2022 karta.png", "A 61323-2022")</f>
        <v/>
      </c>
      <c r="Y25">
        <f>HYPERLINK("https://klasma.github.io/Logging_0117/kartor_geotiff/A 61323-2022 georefererad karta.tif", "A 61323-2022")</f>
        <v/>
      </c>
      <c r="AA25">
        <f>HYPERLINK("https://klasma.github.io/Logging_0117/klagomål/A 61323-2022 FSC-klagomål.docx", "A 61323-2022")</f>
        <v/>
      </c>
      <c r="AB25">
        <f>HYPERLINK("https://klasma.github.io/Logging_0117/klagomålsmail/A 61323-2022 FSC-klagomål mail.docx", "A 61323-2022")</f>
        <v/>
      </c>
      <c r="AC25">
        <f>HYPERLINK("https://klasma.github.io/Logging_0117/tillsyn/A 61323-2022 tillsynsbegäran.docx", "A 61323-2022")</f>
        <v/>
      </c>
      <c r="AD25">
        <f>HYPERLINK("https://klasma.github.io/Logging_0117/tillsynsmail/A 61323-2022 tillsynsbegäran mail.docx", "A 61323-2022")</f>
        <v/>
      </c>
    </row>
    <row r="26" ht="15" customHeight="1">
      <c r="A26" t="inlineStr">
        <is>
          <t>A 62839-2025</t>
        </is>
      </c>
      <c r="B26" t="inlineStr">
        <is>
          <t>avverkningsanmälan</t>
        </is>
      </c>
      <c r="C26" t="inlineStr">
        <is>
          <t>Föryngringsavverkning</t>
        </is>
      </c>
      <c r="D26" s="1" t="n">
        <v>46008</v>
      </c>
      <c r="E26" s="1" t="n">
        <v>46319</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46319</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46319</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46319</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46319</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46319</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46319</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46319</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46319</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46319</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46319</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46319</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46319</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46319</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46319</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46319</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46319</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24499-2023</t>
        </is>
      </c>
      <c r="B43" t="inlineStr">
        <is>
          <t>avverkningsanmälan</t>
        </is>
      </c>
      <c r="C43" t="inlineStr">
        <is>
          <t>Föryngringsavverkning</t>
        </is>
      </c>
      <c r="D43" s="1" t="n">
        <v>45082</v>
      </c>
      <c r="E43" s="1" t="n">
        <v>46319</v>
      </c>
      <c r="F43" t="inlineStr">
        <is>
          <t>STOCKHOLMS LÄN</t>
        </is>
      </c>
      <c r="G43" t="inlineStr">
        <is>
          <t>ÖSTERÅKER</t>
        </is>
      </c>
      <c r="I43" t="n">
        <v>0.1</v>
      </c>
      <c r="J43" t="n">
        <v>0</v>
      </c>
      <c r="K43" t="n">
        <v>0</v>
      </c>
      <c r="L43" t="n">
        <v>0</v>
      </c>
      <c r="M43" t="n">
        <v>0</v>
      </c>
      <c r="N43" t="n">
        <v>0</v>
      </c>
      <c r="O43" t="n">
        <v>0</v>
      </c>
      <c r="P43" t="n">
        <v>0</v>
      </c>
      <c r="Q43" t="n">
        <v>0</v>
      </c>
      <c r="R43" t="n">
        <v>0</v>
      </c>
      <c r="S43" t="n">
        <v>0</v>
      </c>
      <c r="T43" t="n">
        <v>0</v>
      </c>
      <c r="U43" t="n">
        <v>0</v>
      </c>
      <c r="V43" s="2" t="inlineStr"/>
    </row>
    <row r="44" ht="15" customHeight="1">
      <c r="A44" t="inlineStr">
        <is>
          <t>A 23198-2026</t>
        </is>
      </c>
      <c r="B44" t="inlineStr">
        <is>
          <t>avverkningsanmälan</t>
        </is>
      </c>
      <c r="C44" t="inlineStr">
        <is>
          <t>Avverkning för annat ändamål</t>
        </is>
      </c>
      <c r="D44" s="1" t="n">
        <v>46161</v>
      </c>
      <c r="E44" s="1" t="n">
        <v>46319</v>
      </c>
      <c r="F44" t="inlineStr">
        <is>
          <t>STOCKHOLMS LÄN</t>
        </is>
      </c>
      <c r="G44" t="inlineStr">
        <is>
          <t>ÖSTERÅKER</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17196-2022</t>
        </is>
      </c>
      <c r="B45" t="inlineStr">
        <is>
          <t>avverkningsanmälan</t>
        </is>
      </c>
      <c r="C45" t="inlineStr">
        <is>
          <t>Föryngringsavverkning</t>
        </is>
      </c>
      <c r="D45" s="1" t="n">
        <v>44677</v>
      </c>
      <c r="E45" s="1" t="n">
        <v>46319</v>
      </c>
      <c r="F45" t="inlineStr">
        <is>
          <t>STOCKHOLMS LÄN</t>
        </is>
      </c>
      <c r="G45" t="inlineStr">
        <is>
          <t>ÖSTERÅKER</t>
        </is>
      </c>
      <c r="I45" t="n">
        <v>5.9</v>
      </c>
      <c r="J45" t="n">
        <v>0</v>
      </c>
      <c r="K45" t="n">
        <v>0</v>
      </c>
      <c r="L45" t="n">
        <v>0</v>
      </c>
      <c r="M45" t="n">
        <v>0</v>
      </c>
      <c r="N45" t="n">
        <v>0</v>
      </c>
      <c r="O45" t="n">
        <v>0</v>
      </c>
      <c r="P45" t="n">
        <v>0</v>
      </c>
      <c r="Q45" t="n">
        <v>0</v>
      </c>
      <c r="R45" t="n">
        <v>0</v>
      </c>
      <c r="S45" t="n">
        <v>0</v>
      </c>
      <c r="T45" t="n">
        <v>0</v>
      </c>
      <c r="U45" t="n">
        <v>0</v>
      </c>
      <c r="V45" s="2" t="inlineStr"/>
    </row>
    <row r="46" ht="15" customHeight="1">
      <c r="A46" t="inlineStr">
        <is>
          <t>A 9865-2025</t>
        </is>
      </c>
      <c r="B46" t="inlineStr">
        <is>
          <t>avverkningsanmälan</t>
        </is>
      </c>
      <c r="C46" t="inlineStr">
        <is>
          <t>Föryngringsavverkning</t>
        </is>
      </c>
      <c r="D46" s="1" t="n">
        <v>45716</v>
      </c>
      <c r="E46" s="1" t="n">
        <v>46319</v>
      </c>
      <c r="F46" t="inlineStr">
        <is>
          <t>STOCKHOLMS LÄN</t>
        </is>
      </c>
      <c r="G46" t="inlineStr">
        <is>
          <t>ÖSTERÅKER</t>
        </is>
      </c>
      <c r="I46" t="n">
        <v>7</v>
      </c>
      <c r="J46" t="n">
        <v>0</v>
      </c>
      <c r="K46" t="n">
        <v>0</v>
      </c>
      <c r="L46" t="n">
        <v>0</v>
      </c>
      <c r="M46" t="n">
        <v>0</v>
      </c>
      <c r="N46" t="n">
        <v>0</v>
      </c>
      <c r="O46" t="n">
        <v>0</v>
      </c>
      <c r="P46" t="n">
        <v>0</v>
      </c>
      <c r="Q46" t="n">
        <v>0</v>
      </c>
      <c r="R46" t="n">
        <v>0</v>
      </c>
      <c r="S46" t="n">
        <v>0</v>
      </c>
      <c r="T46" t="n">
        <v>0</v>
      </c>
      <c r="U46" t="n">
        <v>0</v>
      </c>
      <c r="V46" s="2" t="inlineStr"/>
    </row>
    <row r="47" ht="15" customHeight="1">
      <c r="A47" t="inlineStr">
        <is>
          <t>A 46688-2022</t>
        </is>
      </c>
      <c r="B47" t="inlineStr">
        <is>
          <t>avverkningsanmälan</t>
        </is>
      </c>
      <c r="C47" t="inlineStr">
        <is>
          <t>Föryngringsavverkning</t>
        </is>
      </c>
      <c r="D47" s="1" t="n">
        <v>44851</v>
      </c>
      <c r="E47" s="1" t="n">
        <v>46319</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46319</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46319</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26249-2026</t>
        </is>
      </c>
      <c r="B50" t="inlineStr">
        <is>
          <t>avverkningsanmälan</t>
        </is>
      </c>
      <c r="C50" t="inlineStr">
        <is>
          <t>Avverkning för annat ändamål</t>
        </is>
      </c>
      <c r="D50" s="1" t="n">
        <v>46182</v>
      </c>
      <c r="E50" s="1" t="n">
        <v>46319</v>
      </c>
      <c r="F50" t="inlineStr">
        <is>
          <t>STOCKHOLMS LÄN</t>
        </is>
      </c>
      <c r="G50" t="inlineStr">
        <is>
          <t>ÖSTERÅKER</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46319</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5286-2025</t>
        </is>
      </c>
      <c r="B52" t="inlineStr">
        <is>
          <t>avverkningsanmälan</t>
        </is>
      </c>
      <c r="C52" t="inlineStr">
        <is>
          <t>Föryngringsavverkning</t>
        </is>
      </c>
      <c r="D52" s="1" t="n">
        <v>45692</v>
      </c>
      <c r="E52" s="1" t="n">
        <v>46319</v>
      </c>
      <c r="F52" t="inlineStr">
        <is>
          <t>STOCKHOLMS LÄN</t>
        </is>
      </c>
      <c r="G52" t="inlineStr">
        <is>
          <t>ÖSTERÅKER</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46319</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39394-2023</t>
        </is>
      </c>
      <c r="B54" t="inlineStr">
        <is>
          <t>avverkningsanmälan</t>
        </is>
      </c>
      <c r="C54" t="inlineStr">
        <is>
          <t>Föryngringsavverkning</t>
        </is>
      </c>
      <c r="D54" s="1" t="n">
        <v>45166</v>
      </c>
      <c r="E54" s="1" t="n">
        <v>46319</v>
      </c>
      <c r="F54" t="inlineStr">
        <is>
          <t>STOCKHOLMS LÄN</t>
        </is>
      </c>
      <c r="G54" t="inlineStr">
        <is>
          <t>ÖSTERÅKER</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29443-2026</t>
        </is>
      </c>
      <c r="B55" t="inlineStr">
        <is>
          <t>avverkningsanmälan</t>
        </is>
      </c>
      <c r="C55" t="inlineStr">
        <is>
          <t>Föryngringsavverkning</t>
        </is>
      </c>
      <c r="D55" s="1" t="n">
        <v>46203</v>
      </c>
      <c r="E55" s="1" t="n">
        <v>46319</v>
      </c>
      <c r="F55" t="inlineStr">
        <is>
          <t>STOCKHOLMS LÄN</t>
        </is>
      </c>
      <c r="G55" t="inlineStr">
        <is>
          <t>ÖSTERÅKER</t>
        </is>
      </c>
      <c r="I55" t="n">
        <v>13.8</v>
      </c>
      <c r="J55" t="n">
        <v>0</v>
      </c>
      <c r="K55" t="n">
        <v>0</v>
      </c>
      <c r="L55" t="n">
        <v>0</v>
      </c>
      <c r="M55" t="n">
        <v>0</v>
      </c>
      <c r="N55" t="n">
        <v>0</v>
      </c>
      <c r="O55" t="n">
        <v>0</v>
      </c>
      <c r="P55" t="n">
        <v>0</v>
      </c>
      <c r="Q55" t="n">
        <v>0</v>
      </c>
      <c r="R55" t="n">
        <v>0</v>
      </c>
      <c r="S55" t="n">
        <v>0</v>
      </c>
      <c r="T55" t="n">
        <v>0</v>
      </c>
      <c r="U55" t="n">
        <v>0</v>
      </c>
      <c r="V55" s="2" t="inlineStr"/>
    </row>
    <row r="56" ht="15" customHeight="1">
      <c r="A56" t="inlineStr">
        <is>
          <t>A 845-2024</t>
        </is>
      </c>
      <c r="B56" t="inlineStr">
        <is>
          <t>avverkningsanmälan</t>
        </is>
      </c>
      <c r="C56" t="inlineStr">
        <is>
          <t>Föryngringsavverkning</t>
        </is>
      </c>
      <c r="D56" s="1" t="n">
        <v>45300</v>
      </c>
      <c r="E56" s="1" t="n">
        <v>46319</v>
      </c>
      <c r="F56" t="inlineStr">
        <is>
          <t>STOCKHOLMS LÄN</t>
        </is>
      </c>
      <c r="G56" t="inlineStr">
        <is>
          <t>ÖSTERÅKER</t>
        </is>
      </c>
      <c r="I56" t="n">
        <v>10.1</v>
      </c>
      <c r="J56" t="n">
        <v>0</v>
      </c>
      <c r="K56" t="n">
        <v>0</v>
      </c>
      <c r="L56" t="n">
        <v>0</v>
      </c>
      <c r="M56" t="n">
        <v>0</v>
      </c>
      <c r="N56" t="n">
        <v>0</v>
      </c>
      <c r="O56" t="n">
        <v>0</v>
      </c>
      <c r="P56" t="n">
        <v>0</v>
      </c>
      <c r="Q56" t="n">
        <v>0</v>
      </c>
      <c r="R56" t="n">
        <v>0</v>
      </c>
      <c r="S56" t="n">
        <v>0</v>
      </c>
      <c r="T56" t="n">
        <v>0</v>
      </c>
      <c r="U56" t="n">
        <v>0</v>
      </c>
      <c r="V56" s="2" t="inlineStr"/>
    </row>
    <row r="57" ht="15" customHeight="1">
      <c r="A57" t="inlineStr">
        <is>
          <t>A 37037-2023</t>
        </is>
      </c>
      <c r="B57" t="inlineStr">
        <is>
          <t>avverkningsanmälan</t>
        </is>
      </c>
      <c r="C57" t="inlineStr">
        <is>
          <t>Föryngringsavverkning</t>
        </is>
      </c>
      <c r="D57" s="1" t="n">
        <v>45155</v>
      </c>
      <c r="E57" s="1" t="n">
        <v>46319</v>
      </c>
      <c r="F57" t="inlineStr">
        <is>
          <t>STOCKHOLMS LÄN</t>
        </is>
      </c>
      <c r="G57" t="inlineStr">
        <is>
          <t>ÖSTERÅKER</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30599-2026</t>
        </is>
      </c>
      <c r="B58" t="inlineStr">
        <is>
          <t>avverkningsanmälan</t>
        </is>
      </c>
      <c r="C58" t="inlineStr">
        <is>
          <t>Föryngringsavverkning</t>
        </is>
      </c>
      <c r="D58" s="1" t="n">
        <v>46210</v>
      </c>
      <c r="E58" s="1" t="n">
        <v>46319</v>
      </c>
      <c r="F58" t="inlineStr">
        <is>
          <t>STOCKHOLMS LÄN</t>
        </is>
      </c>
      <c r="G58" t="inlineStr">
        <is>
          <t>ÖSTERÅKER</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31149-2026</t>
        </is>
      </c>
      <c r="B59" t="inlineStr">
        <is>
          <t>avverkningsanmälan</t>
        </is>
      </c>
      <c r="C59" t="inlineStr">
        <is>
          <t>Föryngringsavverkning</t>
        </is>
      </c>
      <c r="D59" s="1" t="n">
        <v>46216</v>
      </c>
      <c r="E59" s="1" t="n">
        <v>46319</v>
      </c>
      <c r="F59" t="inlineStr">
        <is>
          <t>STOCKHOLMS LÄN</t>
        </is>
      </c>
      <c r="G59" t="inlineStr">
        <is>
          <t>ÖSTERÅKER</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31156-2026</t>
        </is>
      </c>
      <c r="B60" t="inlineStr">
        <is>
          <t>avverkningsanmälan</t>
        </is>
      </c>
      <c r="C60" t="inlineStr">
        <is>
          <t>Föryngringsavverkning</t>
        </is>
      </c>
      <c r="D60" s="1" t="n">
        <v>46216</v>
      </c>
      <c r="E60" s="1" t="n">
        <v>46319</v>
      </c>
      <c r="F60" t="inlineStr">
        <is>
          <t>STOCKHOLMS LÄN</t>
        </is>
      </c>
      <c r="G60" t="inlineStr">
        <is>
          <t>ÖSTERÅKER</t>
        </is>
      </c>
      <c r="I60" t="n">
        <v>5.1</v>
      </c>
      <c r="J60" t="n">
        <v>0</v>
      </c>
      <c r="K60" t="n">
        <v>0</v>
      </c>
      <c r="L60" t="n">
        <v>0</v>
      </c>
      <c r="M60" t="n">
        <v>0</v>
      </c>
      <c r="N60" t="n">
        <v>0</v>
      </c>
      <c r="O60" t="n">
        <v>0</v>
      </c>
      <c r="P60" t="n">
        <v>0</v>
      </c>
      <c r="Q60" t="n">
        <v>0</v>
      </c>
      <c r="R60" t="n">
        <v>0</v>
      </c>
      <c r="S60" t="n">
        <v>0</v>
      </c>
      <c r="T60" t="n">
        <v>0</v>
      </c>
      <c r="U60" t="n">
        <v>0</v>
      </c>
      <c r="V60" s="2" t="inlineStr"/>
    </row>
    <row r="61" ht="15" customHeight="1">
      <c r="A61" t="inlineStr">
        <is>
          <t>A 31146-2026</t>
        </is>
      </c>
      <c r="B61" t="inlineStr">
        <is>
          <t>avverkningsanmälan</t>
        </is>
      </c>
      <c r="C61" t="inlineStr">
        <is>
          <t>Föryngringsavverkning</t>
        </is>
      </c>
      <c r="D61" s="1" t="n">
        <v>46216</v>
      </c>
      <c r="E61" s="1" t="n">
        <v>46319</v>
      </c>
      <c r="F61" t="inlineStr">
        <is>
          <t>STOCKHOLMS LÄN</t>
        </is>
      </c>
      <c r="G61" t="inlineStr">
        <is>
          <t>ÖSTERÅKER</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31154-2026</t>
        </is>
      </c>
      <c r="B62" t="inlineStr">
        <is>
          <t>avverkningsanmälan</t>
        </is>
      </c>
      <c r="C62" t="inlineStr">
        <is>
          <t>Föryngringsavverkning</t>
        </is>
      </c>
      <c r="D62" s="1" t="n">
        <v>46216</v>
      </c>
      <c r="E62" s="1" t="n">
        <v>46319</v>
      </c>
      <c r="F62" t="inlineStr">
        <is>
          <t>STOCKHOLMS LÄN</t>
        </is>
      </c>
      <c r="G62" t="inlineStr">
        <is>
          <t>ÖSTERÅKER</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5038-2026</t>
        </is>
      </c>
      <c r="B63" t="inlineStr">
        <is>
          <t>avverkningsanmälan</t>
        </is>
      </c>
      <c r="C63" t="inlineStr">
        <is>
          <t>Föryngringsavverkning</t>
        </is>
      </c>
      <c r="D63" s="1" t="n">
        <v>46049</v>
      </c>
      <c r="E63" s="1" t="n">
        <v>46319</v>
      </c>
      <c r="F63" t="inlineStr">
        <is>
          <t>STOCKHOLMS LÄN</t>
        </is>
      </c>
      <c r="G63" t="inlineStr">
        <is>
          <t>ÖSTERÅKER</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27137-2025</t>
        </is>
      </c>
      <c r="B64" t="inlineStr">
        <is>
          <t>avverkningsanmälan</t>
        </is>
      </c>
      <c r="C64" t="inlineStr">
        <is>
          <t>Föryngringsavverkning</t>
        </is>
      </c>
      <c r="D64" s="1" t="n">
        <v>45811</v>
      </c>
      <c r="E64" s="1" t="n">
        <v>46319</v>
      </c>
      <c r="F64" t="inlineStr">
        <is>
          <t>STOCKHOLMS LÄN</t>
        </is>
      </c>
      <c r="G64" t="inlineStr">
        <is>
          <t>ÖSTERÅKER</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40142-2026</t>
        </is>
      </c>
      <c r="B65" t="inlineStr">
        <is>
          <t>avverkningsanmälan</t>
        </is>
      </c>
      <c r="C65" t="inlineStr">
        <is>
          <t>Föryngringsavverkning</t>
        </is>
      </c>
      <c r="D65" s="1" t="n">
        <v>46293</v>
      </c>
      <c r="E65" s="1" t="n">
        <v>46319</v>
      </c>
      <c r="F65" t="inlineStr">
        <is>
          <t>STOCKHOLMS LÄN</t>
        </is>
      </c>
      <c r="G65" t="inlineStr">
        <is>
          <t>ÖSTERÅKER</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28143-2024</t>
        </is>
      </c>
      <c r="B66" t="inlineStr">
        <is>
          <t>avverkningsanmälan</t>
        </is>
      </c>
      <c r="C66" t="inlineStr">
        <is>
          <t>Föryngringsavverkning</t>
        </is>
      </c>
      <c r="D66" s="1" t="n">
        <v>45476</v>
      </c>
      <c r="E66" s="1" t="n">
        <v>46319</v>
      </c>
      <c r="F66" t="inlineStr">
        <is>
          <t>STOCKHOLMS LÄN</t>
        </is>
      </c>
      <c r="G66" t="inlineStr">
        <is>
          <t>ÖSTERÅKER</t>
        </is>
      </c>
      <c r="H66" t="inlineStr">
        <is>
          <t>Övriga Aktiebolag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12345-2026</t>
        </is>
      </c>
      <c r="B67" t="inlineStr">
        <is>
          <t>avverkningsanmälan</t>
        </is>
      </c>
      <c r="C67" t="inlineStr">
        <is>
          <t>Föryngringsavverkning</t>
        </is>
      </c>
      <c r="D67" s="1" t="n">
        <v>46087</v>
      </c>
      <c r="E67" s="1" t="n">
        <v>46319</v>
      </c>
      <c r="F67" t="inlineStr">
        <is>
          <t>STOCKHOLMS LÄN</t>
        </is>
      </c>
      <c r="G67" t="inlineStr">
        <is>
          <t>ÖSTERÅKER</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34034-2025</t>
        </is>
      </c>
      <c r="B68" t="inlineStr">
        <is>
          <t>avverkningsanmälan</t>
        </is>
      </c>
      <c r="C68" t="inlineStr">
        <is>
          <t>Föryngringsavverkning</t>
        </is>
      </c>
      <c r="D68" s="1" t="n">
        <v>45842</v>
      </c>
      <c r="E68" s="1" t="n">
        <v>46319</v>
      </c>
      <c r="F68" t="inlineStr">
        <is>
          <t>STOCKHOLMS LÄN</t>
        </is>
      </c>
      <c r="G68" t="inlineStr">
        <is>
          <t>ÖSTERÅKER</t>
        </is>
      </c>
      <c r="H68" t="inlineStr">
        <is>
          <t>Övriga Aktiebolag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35819-2025</t>
        </is>
      </c>
      <c r="B69" t="inlineStr">
        <is>
          <t>avverkningsanmälan</t>
        </is>
      </c>
      <c r="C69" t="inlineStr">
        <is>
          <t>Föryngringsavverkning</t>
        </is>
      </c>
      <c r="D69" s="1" t="n">
        <v>45861</v>
      </c>
      <c r="E69" s="1" t="n">
        <v>46319</v>
      </c>
      <c r="F69" t="inlineStr">
        <is>
          <t>STOCKHOLMS LÄN</t>
        </is>
      </c>
      <c r="G69" t="inlineStr">
        <is>
          <t>ÖSTERÅKER</t>
        </is>
      </c>
      <c r="H69" t="inlineStr">
        <is>
          <t>Övriga Aktiebolag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28146-2024</t>
        </is>
      </c>
      <c r="B70" t="inlineStr">
        <is>
          <t>avverkningsanmälan</t>
        </is>
      </c>
      <c r="C70" t="inlineStr">
        <is>
          <t>Föryngringsavverkning</t>
        </is>
      </c>
      <c r="D70" s="1" t="n">
        <v>45476</v>
      </c>
      <c r="E70" s="1" t="n">
        <v>46319</v>
      </c>
      <c r="F70" t="inlineStr">
        <is>
          <t>STOCKHOLMS LÄN</t>
        </is>
      </c>
      <c r="G70" t="inlineStr">
        <is>
          <t>ÖSTERÅKER</t>
        </is>
      </c>
      <c r="H70" t="inlineStr">
        <is>
          <t>Övriga Aktiebolag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46319</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22528-2024</t>
        </is>
      </c>
      <c r="B72" t="inlineStr">
        <is>
          <t>avverkningsanmälan</t>
        </is>
      </c>
      <c r="C72" t="inlineStr">
        <is>
          <t>Föryngringsavverkning</t>
        </is>
      </c>
      <c r="D72" s="1" t="n">
        <v>45447</v>
      </c>
      <c r="E72" s="1" t="n">
        <v>46319</v>
      </c>
      <c r="F72" t="inlineStr">
        <is>
          <t>STOCKHOLMS LÄN</t>
        </is>
      </c>
      <c r="G72" t="inlineStr">
        <is>
          <t>ÖSTERÅKER</t>
        </is>
      </c>
      <c r="H72" t="inlineStr">
        <is>
          <t>Övriga Aktiebolag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16803-2022</t>
        </is>
      </c>
      <c r="B73" t="inlineStr">
        <is>
          <t>avverkningsanmälan</t>
        </is>
      </c>
      <c r="C73" t="inlineStr">
        <is>
          <t>Föryngringsavverkning</t>
        </is>
      </c>
      <c r="D73" s="1" t="n">
        <v>44673</v>
      </c>
      <c r="E73" s="1" t="n">
        <v>46319</v>
      </c>
      <c r="F73" t="inlineStr">
        <is>
          <t>STOCKHOLMS LÄN</t>
        </is>
      </c>
      <c r="G73" t="inlineStr">
        <is>
          <t>ÖSTERÅKER</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41772-2026</t>
        </is>
      </c>
      <c r="B74" t="inlineStr">
        <is>
          <t>avverkningsanmälan</t>
        </is>
      </c>
      <c r="C74" t="inlineStr">
        <is>
          <t>Föryngringsavverkning</t>
        </is>
      </c>
      <c r="D74" s="1" t="n">
        <v>46302</v>
      </c>
      <c r="E74" s="1" t="n">
        <v>46319</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60482-2025</t>
        </is>
      </c>
      <c r="B75" t="inlineStr">
        <is>
          <t>avverkningsanmälan</t>
        </is>
      </c>
      <c r="C75" t="inlineStr">
        <is>
          <t>Föryngringsavverkning</t>
        </is>
      </c>
      <c r="D75" s="1" t="n">
        <v>45995</v>
      </c>
      <c r="E75" s="1" t="n">
        <v>46319</v>
      </c>
      <c r="F75" t="inlineStr">
        <is>
          <t>STOCKHOLMS LÄN</t>
        </is>
      </c>
      <c r="G75" t="inlineStr">
        <is>
          <t>ÖSTERÅKER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18711-2023</t>
        </is>
      </c>
      <c r="B76" t="inlineStr">
        <is>
          <t>avverkningsanmälan</t>
        </is>
      </c>
      <c r="C76" t="inlineStr">
        <is>
          <t>Föryngringsavverkning</t>
        </is>
      </c>
      <c r="D76" s="1" t="n">
        <v>45043</v>
      </c>
      <c r="E76" s="1" t="n">
        <v>46319</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34713-2025</t>
        </is>
      </c>
      <c r="B77" t="inlineStr">
        <is>
          <t>avverkningsanmälan</t>
        </is>
      </c>
      <c r="C77" t="inlineStr">
        <is>
          <t>Föryngringsavverkning</t>
        </is>
      </c>
      <c r="D77" s="1" t="n">
        <v>45848</v>
      </c>
      <c r="E77" s="1" t="n">
        <v>46319</v>
      </c>
      <c r="F77" t="inlineStr">
        <is>
          <t>STOCKHOLMS LÄN</t>
        </is>
      </c>
      <c r="G77" t="inlineStr">
        <is>
          <t>ÖSTERÅKER</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61710-2022</t>
        </is>
      </c>
      <c r="B78" t="inlineStr">
        <is>
          <t>avverkningsanmälan</t>
        </is>
      </c>
      <c r="C78" t="inlineStr">
        <is>
          <t>Föryngringsavverkning</t>
        </is>
      </c>
      <c r="D78" s="1" t="n">
        <v>44917</v>
      </c>
      <c r="E78" s="1" t="n">
        <v>46319</v>
      </c>
      <c r="F78" t="inlineStr">
        <is>
          <t>STOCKHOLMS LÄN</t>
        </is>
      </c>
      <c r="G78" t="inlineStr">
        <is>
          <t>ÖSTERÅKER</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23144-2024</t>
        </is>
      </c>
      <c r="B79" t="inlineStr">
        <is>
          <t>avverkningsanmälan</t>
        </is>
      </c>
      <c r="C79" t="inlineStr">
        <is>
          <t>Föryngringsavverkning</t>
        </is>
      </c>
      <c r="D79" s="1" t="n">
        <v>45450</v>
      </c>
      <c r="E79" s="1" t="n">
        <v>46319</v>
      </c>
      <c r="F79" t="inlineStr">
        <is>
          <t>STOCKHOLMS LÄN</t>
        </is>
      </c>
      <c r="G79" t="inlineStr">
        <is>
          <t>ÖSTERÅKER</t>
        </is>
      </c>
      <c r="H79" t="inlineStr">
        <is>
          <t>Övriga Aktiebolag</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17263-2022</t>
        </is>
      </c>
      <c r="B80" t="inlineStr">
        <is>
          <t>avverkningsanmälan</t>
        </is>
      </c>
      <c r="C80" t="inlineStr">
        <is>
          <t>Föryngringsavverkning</t>
        </is>
      </c>
      <c r="D80" s="1" t="n">
        <v>44678</v>
      </c>
      <c r="E80" s="1" t="n">
        <v>46319</v>
      </c>
      <c r="F80" t="inlineStr">
        <is>
          <t>STOCKHOLMS LÄN</t>
        </is>
      </c>
      <c r="G80" t="inlineStr">
        <is>
          <t>ÖSTERÅKER</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17353-2025</t>
        </is>
      </c>
      <c r="B81" t="inlineStr">
        <is>
          <t>avverkningsanmälan</t>
        </is>
      </c>
      <c r="C81" t="inlineStr">
        <is>
          <t>Föryngringsavverkning</t>
        </is>
      </c>
      <c r="D81" s="1" t="n">
        <v>45756</v>
      </c>
      <c r="E81" s="1" t="n">
        <v>46319</v>
      </c>
      <c r="F81" t="inlineStr">
        <is>
          <t>STOCKHOLMS LÄN</t>
        </is>
      </c>
      <c r="G81" t="inlineStr">
        <is>
          <t>ÖSTERÅKER</t>
        </is>
      </c>
      <c r="H81" t="inlineStr">
        <is>
          <t>Övriga Aktiebolag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34038-2025</t>
        </is>
      </c>
      <c r="B82" t="inlineStr">
        <is>
          <t>avverkningsanmälan</t>
        </is>
      </c>
      <c r="C82" t="inlineStr">
        <is>
          <t>Föryngringsavverkning</t>
        </is>
      </c>
      <c r="D82" s="1" t="n">
        <v>45842</v>
      </c>
      <c r="E82" s="1" t="n">
        <v>46319</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3917-2023</t>
        </is>
      </c>
      <c r="B83" t="inlineStr">
        <is>
          <t>avverkningsanmälan</t>
        </is>
      </c>
      <c r="C83" t="inlineStr">
        <is>
          <t>Föryngringsavverkning</t>
        </is>
      </c>
      <c r="D83" s="1" t="n">
        <v>44952</v>
      </c>
      <c r="E83" s="1" t="n">
        <v>46319</v>
      </c>
      <c r="F83" t="inlineStr">
        <is>
          <t>STOCKHOLMS LÄN</t>
        </is>
      </c>
      <c r="G83" t="inlineStr">
        <is>
          <t>ÖSTERÅKER</t>
        </is>
      </c>
      <c r="H83" t="inlineStr">
        <is>
          <t>Kommuner</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46319</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470-2022</t>
        </is>
      </c>
      <c r="B85" t="inlineStr">
        <is>
          <t>avverkningsanmälan</t>
        </is>
      </c>
      <c r="C85" t="inlineStr">
        <is>
          <t>Föryngringsavverkning</t>
        </is>
      </c>
      <c r="D85" s="1" t="n">
        <v>44565</v>
      </c>
      <c r="E85" s="1" t="n">
        <v>46319</v>
      </c>
      <c r="F85" t="inlineStr">
        <is>
          <t>STOCKHOLMS LÄN</t>
        </is>
      </c>
      <c r="G85" t="inlineStr">
        <is>
          <t>ÖSTERÅKER</t>
        </is>
      </c>
      <c r="H85" t="inlineStr">
        <is>
          <t>Övriga Aktiebolag</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33158-2024</t>
        </is>
      </c>
      <c r="B86" t="inlineStr">
        <is>
          <t>avverkningsanmälan</t>
        </is>
      </c>
      <c r="C86" t="inlineStr">
        <is>
          <t>Avverkning för annat ändamål</t>
        </is>
      </c>
      <c r="D86" s="1" t="n">
        <v>45518</v>
      </c>
      <c r="E86" s="1" t="n">
        <v>46319</v>
      </c>
      <c r="F86" t="inlineStr">
        <is>
          <t>STOCKHOLMS LÄN</t>
        </is>
      </c>
      <c r="G86" t="inlineStr">
        <is>
          <t>ÖSTERÅKER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46319</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61360-2022</t>
        </is>
      </c>
      <c r="B88" t="inlineStr">
        <is>
          <t>avverkningsanmälan</t>
        </is>
      </c>
      <c r="C88" t="inlineStr">
        <is>
          <t>Föryngringsavverkning</t>
        </is>
      </c>
      <c r="D88" s="1" t="n">
        <v>44915</v>
      </c>
      <c r="E88" s="1" t="n">
        <v>46319</v>
      </c>
      <c r="F88" t="inlineStr">
        <is>
          <t>STOCKHOLMS LÄN</t>
        </is>
      </c>
      <c r="G88" t="inlineStr">
        <is>
          <t>ÖSTERÅKER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62108-2022</t>
        </is>
      </c>
      <c r="B89" t="inlineStr">
        <is>
          <t>avverkningsanmälan</t>
        </is>
      </c>
      <c r="C89" t="inlineStr">
        <is>
          <t>Föryngringsavverkning</t>
        </is>
      </c>
      <c r="D89" s="1" t="n">
        <v>44920</v>
      </c>
      <c r="E89" s="1" t="n">
        <v>46319</v>
      </c>
      <c r="F89" t="inlineStr">
        <is>
          <t>STOCKHOLMS LÄN</t>
        </is>
      </c>
      <c r="G89" t="inlineStr">
        <is>
          <t>ÖSTERÅKER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6655-2023</t>
        </is>
      </c>
      <c r="B90" t="inlineStr">
        <is>
          <t>avverkningsanmälan</t>
        </is>
      </c>
      <c r="C90" t="inlineStr">
        <is>
          <t>Föryngringsavverkning</t>
        </is>
      </c>
      <c r="D90" s="1" t="n">
        <v>44966</v>
      </c>
      <c r="E90" s="1" t="n">
        <v>46319</v>
      </c>
      <c r="F90" t="inlineStr">
        <is>
          <t>STOCKHOLMS LÄN</t>
        </is>
      </c>
      <c r="G90" t="inlineStr">
        <is>
          <t>ÖSTERÅKER</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31134-2023</t>
        </is>
      </c>
      <c r="B91" t="inlineStr">
        <is>
          <t>avverkningsanmälan</t>
        </is>
      </c>
      <c r="C91" t="inlineStr">
        <is>
          <t>Föryngringsavverkning</t>
        </is>
      </c>
      <c r="D91" s="1" t="n">
        <v>45113</v>
      </c>
      <c r="E91" s="1" t="n">
        <v>46319</v>
      </c>
      <c r="F91" t="inlineStr">
        <is>
          <t>STOCKHOLMS LÄN</t>
        </is>
      </c>
      <c r="G91" t="inlineStr">
        <is>
          <t>ÖSTERÅKER</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57048-2024</t>
        </is>
      </c>
      <c r="B92" t="inlineStr">
        <is>
          <t>avverkningsanmälan</t>
        </is>
      </c>
      <c r="C92" t="inlineStr">
        <is>
          <t>Föryngringsavverkning</t>
        </is>
      </c>
      <c r="D92" s="1" t="n">
        <v>45629</v>
      </c>
      <c r="E92" s="1" t="n">
        <v>46319</v>
      </c>
      <c r="F92" t="inlineStr">
        <is>
          <t>STOCKHOLMS LÄN</t>
        </is>
      </c>
      <c r="G92" t="inlineStr">
        <is>
          <t>ÖSTERÅKER</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46319</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46319</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56909-2024</t>
        </is>
      </c>
      <c r="B95" t="inlineStr">
        <is>
          <t>avverkningsanmälan</t>
        </is>
      </c>
      <c r="C95" t="inlineStr">
        <is>
          <t>Avverkning för att bevara och utveckla /försöksver</t>
        </is>
      </c>
      <c r="D95" s="1" t="n">
        <v>45628</v>
      </c>
      <c r="E95" s="1" t="n">
        <v>46319</v>
      </c>
      <c r="F95" t="inlineStr">
        <is>
          <t>STOCKHOLMS LÄN</t>
        </is>
      </c>
      <c r="G95" t="inlineStr">
        <is>
          <t>ÖSTERÅKER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46319</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46319</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10185-2025</t>
        </is>
      </c>
      <c r="B98" t="inlineStr">
        <is>
          <t>avverkningsanmälan</t>
        </is>
      </c>
      <c r="C98" t="inlineStr">
        <is>
          <t>Föryngringsavverkning</t>
        </is>
      </c>
      <c r="D98" s="1" t="n">
        <v>45719</v>
      </c>
      <c r="E98" s="1" t="n">
        <v>46319</v>
      </c>
      <c r="F98" t="inlineStr">
        <is>
          <t>STOCKHOLMS LÄN</t>
        </is>
      </c>
      <c r="G98" t="inlineStr">
        <is>
          <t>ÖSTERÅKER</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16728-2022</t>
        </is>
      </c>
      <c r="B99" t="inlineStr">
        <is>
          <t>avverkningsanmälan</t>
        </is>
      </c>
      <c r="C99" t="inlineStr">
        <is>
          <t>Föryngringsavverkning</t>
        </is>
      </c>
      <c r="D99" s="1" t="n">
        <v>44673</v>
      </c>
      <c r="E99" s="1" t="n">
        <v>46319</v>
      </c>
      <c r="F99" t="inlineStr">
        <is>
          <t>STOCKHOLMS LÄN</t>
        </is>
      </c>
      <c r="G99" t="inlineStr">
        <is>
          <t>ÖSTERÅKER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14776-2024</t>
        </is>
      </c>
      <c r="B100" t="inlineStr">
        <is>
          <t>avverkningsanmälan</t>
        </is>
      </c>
      <c r="C100" t="inlineStr">
        <is>
          <t>Föryngringsavverkning</t>
        </is>
      </c>
      <c r="D100" s="1" t="n">
        <v>45397</v>
      </c>
      <c r="E100" s="1" t="n">
        <v>46319</v>
      </c>
      <c r="F100" t="inlineStr">
        <is>
          <t>STOCKHOLMS LÄN</t>
        </is>
      </c>
      <c r="G100" t="inlineStr">
        <is>
          <t>ÖSTERÅKER</t>
        </is>
      </c>
      <c r="I100" t="n">
        <v>13.6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61370-2022</t>
        </is>
      </c>
      <c r="B101" t="inlineStr">
        <is>
          <t>avverkningsanmälan</t>
        </is>
      </c>
      <c r="C101" t="inlineStr">
        <is>
          <t>Föryngringsavverkning</t>
        </is>
      </c>
      <c r="D101" s="1" t="n">
        <v>44915</v>
      </c>
      <c r="E101" s="1" t="n">
        <v>46319</v>
      </c>
      <c r="F101" t="inlineStr">
        <is>
          <t>STOCKHOLMS LÄN</t>
        </is>
      </c>
      <c r="G101" t="inlineStr">
        <is>
          <t>ÖSTERÅKER</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3817-2023</t>
        </is>
      </c>
      <c r="B102" t="inlineStr">
        <is>
          <t>avverkningsanmälan</t>
        </is>
      </c>
      <c r="C102" t="inlineStr">
        <is>
          <t>Föryngringsavverkning</t>
        </is>
      </c>
      <c r="D102" s="1" t="n">
        <v>44951</v>
      </c>
      <c r="E102" s="1" t="n">
        <v>46319</v>
      </c>
      <c r="F102" t="inlineStr">
        <is>
          <t>STOCKHOLMS LÄN</t>
        </is>
      </c>
      <c r="G102" t="inlineStr">
        <is>
          <t>ÖSTERÅKER</t>
        </is>
      </c>
      <c r="H102" t="inlineStr">
        <is>
          <t>Kommuner</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3828-2023</t>
        </is>
      </c>
      <c r="B103" t="inlineStr">
        <is>
          <t>avverkningsanmälan</t>
        </is>
      </c>
      <c r="C103" t="inlineStr">
        <is>
          <t>Föryngringsavverkning</t>
        </is>
      </c>
      <c r="D103" s="1" t="n">
        <v>44951</v>
      </c>
      <c r="E103" s="1" t="n">
        <v>46319</v>
      </c>
      <c r="F103" t="inlineStr">
        <is>
          <t>STOCKHOLMS LÄN</t>
        </is>
      </c>
      <c r="G103" t="inlineStr">
        <is>
          <t>ÖSTERÅKER</t>
        </is>
      </c>
      <c r="H103" t="inlineStr">
        <is>
          <t>Kommuner</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46319</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46319</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46319</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2026-10-24T02:04:59Z</dcterms:created>
  <dcterms:modified xmlns:dcterms="http://purl.org/dc/terms/" xmlns:xsi="http://www.w3.org/2001/XMLSchema-instance" xsi:type="dcterms:W3CDTF">2026-10-24T02:04:59Z</dcterms:modified>
</cp:coreProperties>
</file>